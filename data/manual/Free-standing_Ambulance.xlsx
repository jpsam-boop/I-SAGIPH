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Government" sheetId="2" r:id="rId6"/>
    <sheet state="visible" name="Private" sheetId="3" r:id="rId7"/>
    <sheet state="hidden" name="Master Data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Please Type Facility Name in Caps
e.g. SAN LAZARO HOSPITAL</t>
      </text>
    </comment>
    <comment authorId="0" ref="G6">
      <text>
        <t xml:space="preserve">Please Type Facility Name in Caps
e.g. SAN LAZARO HOSPITAL</t>
      </text>
    </comment>
    <comment authorId="0" ref="G5">
      <text>
        <t xml:space="preserve">Please Type Facility Name in Caps
e.g. SAN LAZARO HOSPITAL</t>
      </text>
    </comment>
    <comment authorId="0" ref="G4">
      <text>
        <t xml:space="preserve">Please Type Facility Name in Caps
e.g. SAN LAZARO HOSPITAL</t>
      </text>
    </comment>
    <comment authorId="0" ref="G3">
      <text>
        <t xml:space="preserve">Please Type Facility Name in Caps
e.g. SAN LAZARO HOSPITAL</t>
      </text>
    </comment>
  </commentList>
</comments>
</file>

<file path=xl/sharedStrings.xml><?xml version="1.0" encoding="utf-8"?>
<sst xmlns="http://schemas.openxmlformats.org/spreadsheetml/2006/main" count="3350" uniqueCount="2349">
  <si>
    <r>
      <rPr>
        <rFont val="Arial"/>
        <b/>
        <color rgb="FFFFFFFF"/>
        <sz val="12.0"/>
      </rPr>
      <t xml:space="preserve">Distribution of  Non-institution-based/Free-standing Ambulance Service Provider in the Philippines
</t>
    </r>
    <r>
      <rPr>
        <rFont val="Arial"/>
        <b/>
        <color rgb="FFFF9900"/>
        <sz val="12.0"/>
      </rPr>
      <t xml:space="preserve"> (as of June 30, 2026)</t>
    </r>
  </si>
  <si>
    <t>REGION</t>
  </si>
  <si>
    <t>GOVERNMENT</t>
  </si>
  <si>
    <t>Number of ASP</t>
  </si>
  <si>
    <t>PRIVATE</t>
  </si>
  <si>
    <t>Nunber of ASP</t>
  </si>
  <si>
    <t>Total Number of  Units</t>
  </si>
  <si>
    <t>Total Number of ASP</t>
  </si>
  <si>
    <t>Type I</t>
  </si>
  <si>
    <t>Type II</t>
  </si>
  <si>
    <t>Type I and II</t>
  </si>
  <si>
    <t>Number of Units</t>
  </si>
  <si>
    <t>NCR</t>
  </si>
  <si>
    <t>ILOCOS REGION</t>
  </si>
  <si>
    <t>CAGAYAN VALLEY</t>
  </si>
  <si>
    <t>CENTRAL LUZON</t>
  </si>
  <si>
    <t>CALABARZON</t>
  </si>
  <si>
    <t>MIMAROPA</t>
  </si>
  <si>
    <t>BICOL REGION</t>
  </si>
  <si>
    <t>WESTERN VISAYAS</t>
  </si>
  <si>
    <t>CENTRAL VISAYAS</t>
  </si>
  <si>
    <t>EASTERN VISAYAS</t>
  </si>
  <si>
    <t>ZAMBOANGA PENINSULA</t>
  </si>
  <si>
    <t>NORTHERN MINDANAO</t>
  </si>
  <si>
    <t>DAVAO</t>
  </si>
  <si>
    <t>SOCCSKSARGEN</t>
  </si>
  <si>
    <t>CARAGA</t>
  </si>
  <si>
    <t>CAR</t>
  </si>
  <si>
    <t>NIR</t>
  </si>
  <si>
    <t>BARMM</t>
  </si>
  <si>
    <t>Total Number Ambulance and Ambulance Service Providers</t>
  </si>
  <si>
    <t>#</t>
  </si>
  <si>
    <t>NHFR CODE</t>
  </si>
  <si>
    <t>PROVINCE</t>
  </si>
  <si>
    <t>CITY/ MUNICIPALITY</t>
  </si>
  <si>
    <t>BLDG OR HOUSE NO., STREET, BRGY (as applicable)</t>
  </si>
  <si>
    <t>NAME OF AMBULANCE SERVICE PROVIDER</t>
  </si>
  <si>
    <t>OWNERSHIP</t>
  </si>
  <si>
    <t>OWNER/ HEAD OF FACILITY</t>
  </si>
  <si>
    <t>NO. OF UNITS</t>
  </si>
  <si>
    <t>TYPE</t>
  </si>
  <si>
    <t>PLATE NO./ CONDUCTION STICKER</t>
  </si>
  <si>
    <t>CONTACT NOS.</t>
  </si>
  <si>
    <t>EMAIL ADDRESS</t>
  </si>
  <si>
    <t xml:space="preserve">VALIDITY FROM </t>
  </si>
  <si>
    <t>VALIDITY UNTIL</t>
  </si>
  <si>
    <t>LICENSED NO.</t>
  </si>
  <si>
    <t>APPLICATION STATUS</t>
  </si>
  <si>
    <t>APPLICATION STATUS
(IF WITH CHANGES)</t>
  </si>
  <si>
    <t>REMARKS</t>
  </si>
  <si>
    <t>Reference used by DMU</t>
  </si>
  <si>
    <t>REGION 1</t>
  </si>
  <si>
    <t>Ilocos Norte</t>
  </si>
  <si>
    <t>Adams</t>
  </si>
  <si>
    <t>Poblacion I</t>
  </si>
  <si>
    <t>ADAMS RURAL HEALTH UNIT</t>
  </si>
  <si>
    <t>Government</t>
  </si>
  <si>
    <t>Local Government Unit of Adams</t>
  </si>
  <si>
    <t>JN 255 A
 JN 342 A</t>
  </si>
  <si>
    <t>02-03-2527-ASP- 1</t>
  </si>
  <si>
    <t>Still Accredited</t>
  </si>
  <si>
    <t>*</t>
  </si>
  <si>
    <t>Bacarra</t>
  </si>
  <si>
    <t>Rizal Boulevard St., Brgy. 1 Sta. Rita</t>
  </si>
  <si>
    <t>BACARRA MUNICIPAL HEALTH OFFICE</t>
  </si>
  <si>
    <t>Bacarra Municipal Health Office</t>
  </si>
  <si>
    <t>NAO 4264</t>
  </si>
  <si>
    <t>0929-794-1241</t>
  </si>
  <si>
    <t>bacarrarhu@gmail.com</t>
  </si>
  <si>
    <t>02-03-2426-ASP-1</t>
  </si>
  <si>
    <t>Dumalneg</t>
  </si>
  <si>
    <t>J. Raval St., Cabaritan, District I</t>
  </si>
  <si>
    <t>DUMALNEG MUNICIPAL HEALTH OFFICE</t>
  </si>
  <si>
    <t>F0 N939</t>
  </si>
  <si>
    <t>(077) 670-7405</t>
  </si>
  <si>
    <r>
      <rPr>
        <rFont val="Arial"/>
        <color rgb="FF1155CC"/>
        <sz val="11.0"/>
        <u/>
      </rPr>
      <t>dumalneg_rhu2014@yahoo.com</t>
    </r>
  </si>
  <si>
    <t>02-02-2527-ASP-2</t>
  </si>
  <si>
    <t>Vintar</t>
  </si>
  <si>
    <t>Gomez St., San Nicolas (Pob.)</t>
  </si>
  <si>
    <t>VINTAR MUNICIPAL HEALTH OFFICE</t>
  </si>
  <si>
    <t>Local Government Unit of Vintar</t>
  </si>
  <si>
    <t>A2 A223</t>
  </si>
  <si>
    <t>(077) 670 5274</t>
  </si>
  <si>
    <r>
      <rPr>
        <rFont val="Arial"/>
        <color rgb="FF1155CC"/>
        <sz val="11.0"/>
        <u/>
      </rPr>
      <t>municipalityofvintar@gmail.com</t>
    </r>
  </si>
  <si>
    <t>02-01-2527-ASP-1</t>
  </si>
  <si>
    <t>Ilocos Sur</t>
  </si>
  <si>
    <t>San Juan City</t>
  </si>
  <si>
    <t>Taft St., Brgy. Lira, San</t>
  </si>
  <si>
    <t>SAN JUAN RURAL HEALTH UNIT</t>
  </si>
  <si>
    <t>Municipality of San Juan, Ilocos Sur</t>
  </si>
  <si>
    <t>I30 109</t>
  </si>
  <si>
    <t>02-01-2628-ASP-1</t>
  </si>
  <si>
    <t>Renewal</t>
  </si>
  <si>
    <t>La Union</t>
  </si>
  <si>
    <t>San Fernando City</t>
  </si>
  <si>
    <t>Quezon Avenue, Sevilla</t>
  </si>
  <si>
    <t>DEPARTMENT OF SOCIAL WELFARE AND DEVELOPMENT - FIELD OFFICE I</t>
  </si>
  <si>
    <t>A9 0981, A9 M098, A9 S332, A9 Y132, A9 M083</t>
  </si>
  <si>
    <t>(072) 687 8000</t>
  </si>
  <si>
    <r>
      <rPr>
        <rFont val="Arial"/>
        <color rgb="FF1155CC"/>
        <sz val="11.0"/>
        <u/>
      </rPr>
      <t>fo1@dswd.gov.ph</t>
    </r>
  </si>
  <si>
    <t>03-0008-2527-ASP-1</t>
  </si>
  <si>
    <t>N/A</t>
  </si>
  <si>
    <t>Pangasinan</t>
  </si>
  <si>
    <t>Alaminos City</t>
  </si>
  <si>
    <t>Quezon Ave., Poblacion</t>
  </si>
  <si>
    <t>CITY GOVERNMENT OF ALAMINOS (CDRRMO)</t>
  </si>
  <si>
    <t>Local Government Unit of Alaminos City</t>
  </si>
  <si>
    <t>SHR 992</t>
  </si>
  <si>
    <t>03-0001-2527-ASP-1</t>
  </si>
  <si>
    <t>Bayambang</t>
  </si>
  <si>
    <t>Brgy. Roxas St., Zone II</t>
  </si>
  <si>
    <t>LOCAL GOVERNMENT UNIT OF BAYAMBANG</t>
  </si>
  <si>
    <t>Local Government Unit of Bayambang</t>
  </si>
  <si>
    <t>SNA 9118
 SNN 1990
FAA 215</t>
  </si>
  <si>
    <t>(075) 632-12-19</t>
  </si>
  <si>
    <t>posobayambang2016@yahoo.com</t>
  </si>
  <si>
    <t>DOH051440</t>
  </si>
  <si>
    <t>REGION 2</t>
  </si>
  <si>
    <t>Cagayan</t>
  </si>
  <si>
    <t>Aparri</t>
  </si>
  <si>
    <t>Zone 1, Backling</t>
  </si>
  <si>
    <t>APARRI WEST SUPER HEALTH CENTER</t>
  </si>
  <si>
    <t>LGU</t>
  </si>
  <si>
    <t>SNA 9428</t>
  </si>
  <si>
    <t>aparriwest_mho@yahoo.com</t>
  </si>
  <si>
    <t>08-011-2527-ASP-1</t>
  </si>
  <si>
    <t>New Faciliy</t>
  </si>
  <si>
    <t>Buguey</t>
  </si>
  <si>
    <t>Buguey Fire Station, Centro</t>
  </si>
  <si>
    <t>LGU -BUGUEY AMBULANCE</t>
  </si>
  <si>
    <t>SAB 6386</t>
  </si>
  <si>
    <t>lgubuguey@ymail.com</t>
  </si>
  <si>
    <t>08-002-2426-ASP-1</t>
  </si>
  <si>
    <t>Nueva Vizcaya</t>
  </si>
  <si>
    <t>Bagabag</t>
  </si>
  <si>
    <t>San Pedro</t>
  </si>
  <si>
    <t>BAGABAG- RURAL HEALTH UNIT</t>
  </si>
  <si>
    <t>SNA 9490</t>
  </si>
  <si>
    <t>rhubagabag@gmail.com</t>
  </si>
  <si>
    <t>DOH051668</t>
  </si>
  <si>
    <t>Bambang</t>
  </si>
  <si>
    <t>Boyie Street, Buag</t>
  </si>
  <si>
    <t>RURAL HEALTH UNIT OF BAMBANG</t>
  </si>
  <si>
    <t>SND 3325; SND 3302; SNA 9434</t>
  </si>
  <si>
    <t>mhobambang.nv@gmail.com</t>
  </si>
  <si>
    <t>08-012-2527-ASP-1</t>
  </si>
  <si>
    <t>Bayombong</t>
  </si>
  <si>
    <t>Capitol Compound, District IV</t>
  </si>
  <si>
    <t>PHILLIPINE RED CROSS- NUEVA VIZCAYA CHAPTER</t>
  </si>
  <si>
    <t>PRC Nueva Vizcaya Chapter</t>
  </si>
  <si>
    <t>AKA 4168</t>
  </si>
  <si>
    <t>nueva.vizcaya@redcross.org.ph&gt;</t>
  </si>
  <si>
    <t>09-0001-25-27-ASP-1</t>
  </si>
  <si>
    <t>Quirino</t>
  </si>
  <si>
    <t>Cabarroguis</t>
  </si>
  <si>
    <t>Poblacion, Mangandingay</t>
  </si>
  <si>
    <t>PROVINCIAL GOVERNMENT OF QUIRINO/ PROVINCIAL HEALTH OFFICE</t>
  </si>
  <si>
    <t>Province</t>
  </si>
  <si>
    <t>SND 3293</t>
  </si>
  <si>
    <t>09-0002-24-26-ASP-1</t>
  </si>
  <si>
    <t>Diffun</t>
  </si>
  <si>
    <t>#6 Doña Street, Andres Bonifacio</t>
  </si>
  <si>
    <t>DIFFUN MUNICIPAL HEALTH OFFICE AND REPRODUCTIVE HEALTH CLINIC</t>
  </si>
  <si>
    <t>F5K 722, SNN 2215, SNA 9468</t>
  </si>
  <si>
    <t>mho_diffun@yahoo.com.ph</t>
  </si>
  <si>
    <t>09-0002-25-27-ASP-1</t>
  </si>
  <si>
    <t>REGION 3</t>
  </si>
  <si>
    <t>Bataan</t>
  </si>
  <si>
    <t>Bagac</t>
  </si>
  <si>
    <t>Atilano Ricardo, Bagac, Bataan</t>
  </si>
  <si>
    <t>MUNICIPAL GOVERNMENT OF BAGAC, BATAAN</t>
  </si>
  <si>
    <t>LGU - Bagac, Bataan</t>
  </si>
  <si>
    <t>SND 3129
SND 3130</t>
  </si>
  <si>
    <t>0977-7979-300</t>
  </si>
  <si>
    <t>rhubagac@gmail.com</t>
  </si>
  <si>
    <t>09-0001-26-28-ASP-1</t>
  </si>
  <si>
    <t>Limay</t>
  </si>
  <si>
    <t>Real St. , Poblacion, Limay, Bataan</t>
  </si>
  <si>
    <t>LIMAY RURAL HEALTH UNIT</t>
  </si>
  <si>
    <t>LGU - Limay, Bataan</t>
  </si>
  <si>
    <t>F4 J772
F2 G639
F2 G632</t>
  </si>
  <si>
    <t>0908-810-3361</t>
  </si>
  <si>
    <t>nursemalou74@gmail.com</t>
  </si>
  <si>
    <t>09-0001-24-26-ASP-1</t>
  </si>
  <si>
    <t>Bulacan</t>
  </si>
  <si>
    <t>San Jose del Monte City</t>
  </si>
  <si>
    <t>CDRRMO Bldg., Sapang Palay Proper, City of San Jose Del Monte, Bulacan</t>
  </si>
  <si>
    <t>CITY DISASTER RISK REDUCTION AND MANAGEMENT OFFICE</t>
  </si>
  <si>
    <t>LGU - City of San Jose Del Monte, Bulacan</t>
  </si>
  <si>
    <t>F40064
F40078
F40068
F40103</t>
  </si>
  <si>
    <t>044-3066234/09326000119/09552067200/09328449461/09176384674</t>
  </si>
  <si>
    <t>cs3.cdrrmo@gmail.com/franwaynesanpedro3@gmail.com</t>
  </si>
  <si>
    <t>10-0019-2426-ASP-1</t>
  </si>
  <si>
    <t>Nueva Ecija</t>
  </si>
  <si>
    <t>Bongabon</t>
  </si>
  <si>
    <t>Sinipit Poblacion, Bongabon, Nueva Ecija</t>
  </si>
  <si>
    <t>BONGABON MUNICIPAL HEALTH OFFICE</t>
  </si>
  <si>
    <t>LGU - Bongabon, Nueva Ecija</t>
  </si>
  <si>
    <t>F5 1241</t>
  </si>
  <si>
    <t>0915-764-2460</t>
  </si>
  <si>
    <t>bongabonhrh@gmail.com</t>
  </si>
  <si>
    <t>10-0004-2527-ASP-1</t>
  </si>
  <si>
    <t>new facility in 2025</t>
  </si>
  <si>
    <t>Cabanatuan City</t>
  </si>
  <si>
    <t>Kapitan Pepe, Cabanatuan City, Nueva Ecija</t>
  </si>
  <si>
    <t>CABANATUAN CITY HEALTH OFFICE</t>
  </si>
  <si>
    <t>LGU - Cabanatuan City, Nueva Ecija</t>
  </si>
  <si>
    <t>F4 D076</t>
  </si>
  <si>
    <t>cho_cabanatuancity@yahoo.com</t>
  </si>
  <si>
    <t>10-0005-2527-ASP-1</t>
  </si>
  <si>
    <t>Lupao</t>
  </si>
  <si>
    <t>Neri St., Poblacion South, Lupao, Nueva Ecija</t>
  </si>
  <si>
    <t>LUPAO MUNICIPAL HEALTH CENTER</t>
  </si>
  <si>
    <t>LGU - Lupao, Nueva Ecija</t>
  </si>
  <si>
    <t>F4D 060</t>
  </si>
  <si>
    <t>0917-133-4856</t>
  </si>
  <si>
    <t>lupaorhu88@gmail.com</t>
  </si>
  <si>
    <t>10-0001-2628-ASP-1</t>
  </si>
  <si>
    <t>San Isidro</t>
  </si>
  <si>
    <t>Plaza Santos, Poblacion, San Isidro, Nueva Ecija</t>
  </si>
  <si>
    <t>SAN ISIDRO MUNICIPAL HEALTH OFFICE</t>
  </si>
  <si>
    <t>LGU - San Isidro, Nueva Ecija</t>
  </si>
  <si>
    <t>F4D 052</t>
  </si>
  <si>
    <t>0966-422-9067</t>
  </si>
  <si>
    <t>mhosanisidronuevaecija@gmail.com</t>
  </si>
  <si>
    <t>10-0002-2628-ASP-1</t>
  </si>
  <si>
    <t>Pampanga</t>
  </si>
  <si>
    <t>Heroes Hall, San Juan, City of San Fernando, Pampanga</t>
  </si>
  <si>
    <t>CITY HEALTH OFFICE - HEALTH EMERGENCY MANAGEMENT STAFF</t>
  </si>
  <si>
    <t>LGU - City of San Fernando, Pampanga</t>
  </si>
  <si>
    <t>F3R 357
QT 365A</t>
  </si>
  <si>
    <t>0919-078-8456</t>
  </si>
  <si>
    <t>citymedical2.hems2.csfp2@gmail.com</t>
  </si>
  <si>
    <t>DOH053160</t>
  </si>
  <si>
    <t>Tarlac</t>
  </si>
  <si>
    <t>Concepcion</t>
  </si>
  <si>
    <t>Alpha, Balutu, Concepcion, Tarlac</t>
  </si>
  <si>
    <t>CONCEPCION RURAL HEALTH UNIT II</t>
  </si>
  <si>
    <t>Private</t>
  </si>
  <si>
    <t>LGU - Concepcion, Tarlac</t>
  </si>
  <si>
    <t>F4 D157</t>
  </si>
  <si>
    <t>(045) 456-6365</t>
  </si>
  <si>
    <t>rhu2balutu@yahoo.com</t>
  </si>
  <si>
    <t>DOH051320</t>
  </si>
  <si>
    <t>new facility in 2024</t>
  </si>
  <si>
    <t>La Paz</t>
  </si>
  <si>
    <t>Caramutan, La Paz, Tarlac</t>
  </si>
  <si>
    <t>LA PAZ MUNICIPAL HEALTH OFFICE</t>
  </si>
  <si>
    <t>LGU - La Paz, Tarlac</t>
  </si>
  <si>
    <t>F5 J098</t>
  </si>
  <si>
    <t>0912-614-9866</t>
  </si>
  <si>
    <t>lapazrhu12022@gmail.com</t>
  </si>
  <si>
    <t>DOH048687</t>
  </si>
  <si>
    <t>San Roque, La Paz, Tarlac</t>
  </si>
  <si>
    <t>LA PAZ RURAL HEALTH UNIT I</t>
  </si>
  <si>
    <t>F5 J082</t>
  </si>
  <si>
    <t>11-003-2426-ASP-1</t>
  </si>
  <si>
    <t>Tarlac City</t>
  </si>
  <si>
    <t>Hilario St., Ligtasan, Tarlac City, Tarlac</t>
  </si>
  <si>
    <t>CITY HEALTH OFFICE TARLAC</t>
  </si>
  <si>
    <t>LGU - Tarlac City, Tarlac</t>
  </si>
  <si>
    <t>F4 D109</t>
  </si>
  <si>
    <t>045-491-8911</t>
  </si>
  <si>
    <t>cho_tarlac@yahoo.com</t>
  </si>
  <si>
    <t>11-001-2527-ASP-1</t>
  </si>
  <si>
    <t>REGION 5</t>
  </si>
  <si>
    <t>Albay</t>
  </si>
  <si>
    <t>Malilipot</t>
  </si>
  <si>
    <t>Brgy. 2, Poblacion, Malilipot, Albay</t>
  </si>
  <si>
    <t>LGU MALILIPOT</t>
  </si>
  <si>
    <t>Lgu Malilipot</t>
  </si>
  <si>
    <t>SND2810/0037345035</t>
  </si>
  <si>
    <t>malilipotrhu@yahoo.com</t>
  </si>
  <si>
    <t>Camarines Sur</t>
  </si>
  <si>
    <t>Buhi</t>
  </si>
  <si>
    <t>Zone 5, San Buenaventura District 5, Buhi, Camarines Sur</t>
  </si>
  <si>
    <t>MUNICIPAL HEALTH OFFICE (BUHI-HEMS)</t>
  </si>
  <si>
    <t>Municipal Health Office (Buhi-HEMS)</t>
  </si>
  <si>
    <t>F3V 668 / F3V 678 / F3V 697</t>
  </si>
  <si>
    <t>0917-501-9705</t>
  </si>
  <si>
    <t>buhirhu1@gmail.com</t>
  </si>
  <si>
    <t>REGION 7</t>
  </si>
  <si>
    <t>Cebu</t>
  </si>
  <si>
    <t>Mandaue City</t>
  </si>
  <si>
    <t>Mezzanine Floor, FCB Building Corner P. Burgos Street and AC Cortes Avenue, Alang-Alang, Mandaue, Cebu</t>
  </si>
  <si>
    <t>CENTER FOR HEALTHCARE PROFESSIONS CEBU, INC.</t>
  </si>
  <si>
    <t>GAU 7180</t>
  </si>
  <si>
    <t>0917-777-0851 / +63 (32) 420 1881</t>
  </si>
  <si>
    <t>info@chpcebu.com</t>
  </si>
  <si>
    <t>REGION 8</t>
  </si>
  <si>
    <t>Eastern Samar</t>
  </si>
  <si>
    <t>Oras</t>
  </si>
  <si>
    <t>Barangay Butnga, Oras, Eastern Samar</t>
  </si>
  <si>
    <t>ORAS RURAL HEALTH UNIT</t>
  </si>
  <si>
    <t>Local Government Unit of Oras</t>
  </si>
  <si>
    <t>SND 2749</t>
  </si>
  <si>
    <t>orasrhu23@gmail.com</t>
  </si>
  <si>
    <t>11-001-2426-ASP-1</t>
  </si>
  <si>
    <t>Leyte</t>
  </si>
  <si>
    <t>MacArthur</t>
  </si>
  <si>
    <t>Taragona St., Barangay Poblacion, district 1, MacArthur, Leyte</t>
  </si>
  <si>
    <t>MACARTHUR RURAL HEALTH UNIT</t>
  </si>
  <si>
    <t>LGU MacArthur</t>
  </si>
  <si>
    <t>SND 2760</t>
  </si>
  <si>
    <t>rhumacarthur17@gmail.com</t>
  </si>
  <si>
    <t>11-01-2527-PCF-1</t>
  </si>
  <si>
    <t>Mahaplag</t>
  </si>
  <si>
    <t>Barangay Poblacion, Mahaplag, Leyte</t>
  </si>
  <si>
    <t>RHU MAHAPLAG</t>
  </si>
  <si>
    <t>Local Government Unit of Mahaplag</t>
  </si>
  <si>
    <t>SND 2932</t>
  </si>
  <si>
    <t>shcmahaplag@gmail.com</t>
  </si>
  <si>
    <t>12-001-2527-ASP-1</t>
  </si>
  <si>
    <t>Ormoc City</t>
  </si>
  <si>
    <t>Aunubing Street, Barangay Cogon, Ormoc City</t>
  </si>
  <si>
    <t>CITY HEALTH DEPARTMENT</t>
  </si>
  <si>
    <t>City Government of Ormoc</t>
  </si>
  <si>
    <t>SND 3510</t>
  </si>
  <si>
    <t>chd.ormoc@yahoo.com</t>
  </si>
  <si>
    <t>16-002-25-ASP-1</t>
  </si>
  <si>
    <t>Tacloban City</t>
  </si>
  <si>
    <t>Barangay 25, Kanhuraw Hill, Tacloban City</t>
  </si>
  <si>
    <t>TACLOBAN CITY HEALTH OFFICE</t>
  </si>
  <si>
    <t>City of Tacloban</t>
  </si>
  <si>
    <t>SND 2750</t>
  </si>
  <si>
    <t>chotacloban2022@gmail.com</t>
  </si>
  <si>
    <t>16-004-25-ASP-1</t>
  </si>
  <si>
    <t>Samar</t>
  </si>
  <si>
    <t>San Jose de Buan</t>
  </si>
  <si>
    <t>Barangay 3 Poblacion, San Jose de Buan, Samar</t>
  </si>
  <si>
    <t>SAN JOSE DE BUAN MUNICIPAL HEALTH OFFICE</t>
  </si>
  <si>
    <t>Local Government Unit of San Jose de Buan</t>
  </si>
  <si>
    <t>JR111A</t>
  </si>
  <si>
    <t>sanjosedebuanrhu@gmail.com</t>
  </si>
  <si>
    <t>16-003-25-ASP-1</t>
  </si>
  <si>
    <t>Santa Margarita</t>
  </si>
  <si>
    <t>Maharlika Highway, Barangay Monbon, Sta. Margairta, Samar</t>
  </si>
  <si>
    <t>RURAL HEALTH UNIT STA. MARGARITA</t>
  </si>
  <si>
    <t>Local Government Unit of Sta. Margairta</t>
  </si>
  <si>
    <t>F3V-658</t>
  </si>
  <si>
    <t>rhusta.margaritasamar@gmail,.com</t>
  </si>
  <si>
    <t>Talalora</t>
  </si>
  <si>
    <t>Santiago Street, Poblacion 1, Talalora, Samar</t>
  </si>
  <si>
    <t>RURAL HEALTH UNIT TALALORA</t>
  </si>
  <si>
    <t>Local Government Unit of Talalora</t>
  </si>
  <si>
    <t>F5T-597</t>
  </si>
  <si>
    <t>health.talalora@gmail.com</t>
  </si>
  <si>
    <t>16-002 -24-ASP-1</t>
  </si>
  <si>
    <t>Southern Leyte</t>
  </si>
  <si>
    <t>Anahawan</t>
  </si>
  <si>
    <t>Purok Sampaguita, Poblacion, Southern Leyte</t>
  </si>
  <si>
    <t>ANAHAWAN RURAL HEALTH UNIT &amp; FAMILY PLANNING CENTER</t>
  </si>
  <si>
    <t>Local Government Unit of Anahawan</t>
  </si>
  <si>
    <t>SND 2743</t>
  </si>
  <si>
    <t>16-005-25-ASP-1</t>
  </si>
  <si>
    <t>3rd Quarter</t>
  </si>
  <si>
    <t>Liloan</t>
  </si>
  <si>
    <t>Mabini Street, Poblacion, Liloan, Southern Leyte</t>
  </si>
  <si>
    <t>RURAL HEALTH UNIT - LILOAN</t>
  </si>
  <si>
    <t>LGU Liloan</t>
  </si>
  <si>
    <t>SND 2746; SND 3033</t>
  </si>
  <si>
    <t>rhuliloan@gmail.com</t>
  </si>
  <si>
    <t>13-0005-2628-ASP-2</t>
  </si>
  <si>
    <t>Maasin City</t>
  </si>
  <si>
    <t>P. Roa cor. A. Bascug Streets, Maasin City</t>
  </si>
  <si>
    <t>MAASIN CITY URBAN HEALTH CENTER PRIMARY CARE FACILITY</t>
  </si>
  <si>
    <t>City of Maasin</t>
  </si>
  <si>
    <t>F6Y475</t>
  </si>
  <si>
    <t>chumaasin@gmail.com</t>
  </si>
  <si>
    <t>13-0001-2527-ASP-1</t>
  </si>
  <si>
    <t>Malitbog</t>
  </si>
  <si>
    <t>Barangay Taliwa, Malitbog, Southern Leyte</t>
  </si>
  <si>
    <t>MALITBOG RURAL HEALTH UNIT</t>
  </si>
  <si>
    <t>Local Government Unit of Malitbog</t>
  </si>
  <si>
    <t>SND 2756</t>
  </si>
  <si>
    <t>malitbogrhu@yahoo.com</t>
  </si>
  <si>
    <t>13-0008-2527-ASP-2</t>
  </si>
  <si>
    <t>Padre Burgos</t>
  </si>
  <si>
    <t>Poblacion, Padre Burgos, Southern Leyte</t>
  </si>
  <si>
    <t>PADRE BURGOS RURAL HEALTH UNIT</t>
  </si>
  <si>
    <t>Local Government Unit of Padre Burgos</t>
  </si>
  <si>
    <t>F5-1441</t>
  </si>
  <si>
    <t>09617330098/09690364114</t>
  </si>
  <si>
    <t>padreburgosrhu@gmail.com</t>
  </si>
  <si>
    <t>13-0011-2628-ASP-1</t>
  </si>
  <si>
    <t>Pintuyan</t>
  </si>
  <si>
    <t>Barangay Sta. Cruz, Pinuyan, Southern Leyte</t>
  </si>
  <si>
    <t>RURAL HEALTH UNIT - PINTUYAN</t>
  </si>
  <si>
    <t>LGU Pintuyan</t>
  </si>
  <si>
    <t>SND 5217</t>
  </si>
  <si>
    <t>rhu.pintuyan@gmail.com</t>
  </si>
  <si>
    <t>DOH048691</t>
  </si>
  <si>
    <t>REGION 9</t>
  </si>
  <si>
    <t>Zamboanga del Norte</t>
  </si>
  <si>
    <t>Kalawit</t>
  </si>
  <si>
    <t>Poblacion</t>
  </si>
  <si>
    <t>RURAL HEALTH UNIT OF KALAWIT</t>
  </si>
  <si>
    <t>Earl Ryan L. Espra, RMT,MD</t>
  </si>
  <si>
    <t>CS# F5 T559</t>
  </si>
  <si>
    <t>06-045-2426-PCF-1</t>
  </si>
  <si>
    <t>Transferred</t>
  </si>
  <si>
    <t>OSS with PCF</t>
  </si>
  <si>
    <t>Zamboanga City</t>
  </si>
  <si>
    <t>Brgy. Biasong</t>
  </si>
  <si>
    <t>DIPOLOG FIRE STATION</t>
  </si>
  <si>
    <t>FCINSP Rommel S. Carpio</t>
  </si>
  <si>
    <t>F5G065</t>
  </si>
  <si>
    <t>065-212-3222</t>
  </si>
  <si>
    <t>dipologcfs@gmail.com</t>
  </si>
  <si>
    <t>14-006-2426-PCF-1</t>
  </si>
  <si>
    <t>OSS with its PCF</t>
  </si>
  <si>
    <t>Zamboanga del Sur</t>
  </si>
  <si>
    <t>Molave</t>
  </si>
  <si>
    <t>Capistrano St.,</t>
  </si>
  <si>
    <t>RURAL HEALTH UNIT OF MOLAVE</t>
  </si>
  <si>
    <t>Felipe F. Son Jr.,MD</t>
  </si>
  <si>
    <t>CS # D2M279</t>
  </si>
  <si>
    <t>14-0002-2527-ASP-1</t>
  </si>
  <si>
    <t>Mayor Cesar C. Climaco Ave., Barangay Zone II, District 1</t>
  </si>
  <si>
    <t>ZAMBOANGA CITY FIRE DISTRICT, BFP 9</t>
  </si>
  <si>
    <t>FSUPT Leo S. Pioquinto</t>
  </si>
  <si>
    <t>SND 6515 &amp;
 SGA 2851</t>
  </si>
  <si>
    <t>062-957-3766</t>
  </si>
  <si>
    <t>zcfiredistrict@gmail.com</t>
  </si>
  <si>
    <t>14-0001-2628-ASP-1</t>
  </si>
  <si>
    <t>Zamboanga Sibugay</t>
  </si>
  <si>
    <t>Siay Municipal Health Office</t>
  </si>
  <si>
    <t>SIAY RURAL HEALTH UNIT</t>
  </si>
  <si>
    <t>Siay Rural Health Unit</t>
  </si>
  <si>
    <t>F4E986</t>
  </si>
  <si>
    <t>rhusiay@gmail.com</t>
  </si>
  <si>
    <t>DOH051944</t>
  </si>
  <si>
    <t>REGION 10</t>
  </si>
  <si>
    <t>Lanao del Norte</t>
  </si>
  <si>
    <t>Pantar</t>
  </si>
  <si>
    <t>Brgy. Campong</t>
  </si>
  <si>
    <t>PANTAR RURAL HEALTH UNIT</t>
  </si>
  <si>
    <t>Local Government of Pantar</t>
  </si>
  <si>
    <t>Plate No. F5I158 with CR. No. 458968112</t>
  </si>
  <si>
    <t>03-0001-2628-ASP-1</t>
  </si>
  <si>
    <t>Poona Piagapo</t>
  </si>
  <si>
    <t>Pened, Poona, Lanao del Norte</t>
  </si>
  <si>
    <t>RHU POONA AMBULANCE SERVICE</t>
  </si>
  <si>
    <t>LGU Poona Piagapo</t>
  </si>
  <si>
    <t>SND 1964</t>
  </si>
  <si>
    <t>rhu.poonapiagapo@gmail.com</t>
  </si>
  <si>
    <t>DOH050819</t>
  </si>
  <si>
    <t>Barangay Poblacion, Municipality of Tangcal</t>
  </si>
  <si>
    <t>TANGCAL RURAL HEALTH UNIT</t>
  </si>
  <si>
    <t>Tangcal Rural Health Unit</t>
  </si>
  <si>
    <t>Plate No. F5I182 with C.R. No. 458968193</t>
  </si>
  <si>
    <t>DOH050715</t>
  </si>
  <si>
    <t>Misamis Occidental</t>
  </si>
  <si>
    <t>Ozamiz City</t>
  </si>
  <si>
    <t>Abanil St., Aguada</t>
  </si>
  <si>
    <t>CITY HEALTH OFFICE OZAMIZ</t>
  </si>
  <si>
    <t>Local Government Unit of Ozamiz</t>
  </si>
  <si>
    <t>Plate No. F4K 628 with C.R. No. 432367541</t>
  </si>
  <si>
    <t>DOH050687</t>
  </si>
  <si>
    <t>Misamis Oriental</t>
  </si>
  <si>
    <t>Cagayan de Oro City</t>
  </si>
  <si>
    <t>Mortola Hayes St., Brgy. 40</t>
  </si>
  <si>
    <t>CITY HEALTH OFFICE CAGAYAN DE ORO</t>
  </si>
  <si>
    <t>City Government of Cagayan de Oro</t>
  </si>
  <si>
    <t>Conduction Sticker No. Z2 G789 with Engine No. 1GD9080905</t>
  </si>
  <si>
    <t>03-0014-2527-ASP-1</t>
  </si>
  <si>
    <t>J.V. Seriña St., Carmen, Cagayan de Oro City</t>
  </si>
  <si>
    <t>DOH CENTER FOR HEALTH DEVELOPMENT - NORTHERN MINDANAO</t>
  </si>
  <si>
    <t>Department of Health</t>
  </si>
  <si>
    <t>CS No. N2A 479 with CR. No. 450946215</t>
  </si>
  <si>
    <t>03-0004-2527-ASP-1</t>
  </si>
  <si>
    <t>Upper Puerto</t>
  </si>
  <si>
    <t>DOH-TREATMENT AND REHABILITATION CENTER CAGAYAN DE ORO CITY</t>
  </si>
  <si>
    <t>Plate No. SND 5700 with Engine No. YD25094457B</t>
  </si>
  <si>
    <t>DOH050778</t>
  </si>
  <si>
    <t>REGION 11</t>
  </si>
  <si>
    <t>Davao de Oro</t>
  </si>
  <si>
    <t>Nabunturan</t>
  </si>
  <si>
    <t>Purok 9, Poblacion Nabunturan, Davao de Oro</t>
  </si>
  <si>
    <t>MUNICIPAL GOVERNMENT OF NABUNTURAN</t>
  </si>
  <si>
    <t>Municipal Government of Nabunturan</t>
  </si>
  <si>
    <t>(CS) A7V191</t>
  </si>
  <si>
    <t>(084)317-0005</t>
  </si>
  <si>
    <t>DOH050770</t>
  </si>
  <si>
    <t>Davao del Norte</t>
  </si>
  <si>
    <t>New Corella</t>
  </si>
  <si>
    <t>Purok 2, Poblacion New Corella, Davao del Norte</t>
  </si>
  <si>
    <t>LOCAL GOVERNMENT UNIT OF NEW CORELLA</t>
  </si>
  <si>
    <t>Local Government Unit of New Corella</t>
  </si>
  <si>
    <t>MV File 1301-1906520
CS No. F5 J048</t>
  </si>
  <si>
    <t>0919 730 4579</t>
  </si>
  <si>
    <t>govnewcorella@gmail.com</t>
  </si>
  <si>
    <t>03-0002-2527-ASP-1</t>
  </si>
  <si>
    <t>Davao del Sur</t>
  </si>
  <si>
    <t>Davao City</t>
  </si>
  <si>
    <t>Daang Patnubay St., Cetral 911 Compound, Brgy. 76-A, Davao City</t>
  </si>
  <si>
    <t>CITY DISASTER RISK REDUCTION AND MANAGEMENT OFFICE-CENTRAL 911</t>
  </si>
  <si>
    <t>CITY GOVERNMENT OF DAVAO</t>
  </si>
  <si>
    <t>MV FILE NO. 1101-0000888615
MV FILE NO. 1101-0000888628
MV FILE NO. 1101-0000888620
MV FILE NO. 1101-0000888623
MV FILE NO. 1101-0000888626
MV FILE NO. 1101-0000880480
MV FILE NO. 1101-0000875869
PLATE NO. LCU 9514</t>
  </si>
  <si>
    <t>285-8984</t>
  </si>
  <si>
    <t>cddrmo@davaocity.gov.ph
911@davaocity.gov.ph</t>
  </si>
  <si>
    <t>05-0002-2527-ASP-1</t>
  </si>
  <si>
    <t>Magallanes St., 39-D Poblacion, Davao City</t>
  </si>
  <si>
    <t>AUG 1, 2024-DEC 31, 2026
1. F4D-471-0301-00001336721
2. F4D-493-0301-00001334727
3. F4D-101-1301-00001336732
4. F4D-495-1301-00001336724
5. F4E-475-1301-00001333621
6. F4E-518-1301-00001333621
7. F4K-332-1101-00001178296</t>
  </si>
  <si>
    <t>0945 544 7467</t>
  </si>
  <si>
    <t>cho.licensing@gmail.com</t>
  </si>
  <si>
    <t>DOH048670</t>
  </si>
  <si>
    <t>with submitted Form 2 for the deletion of ASP</t>
  </si>
  <si>
    <t>NOV 7.2024-DEC 31, 2026
8. MV FILE NO. 1101-00001178303
9. MV FILE NO. 1101-00001178300
10. FILE NO. 0201-00001336725
11. FILE NO. 0301-00001344440
12. FILE NO. 0301-00001336728</t>
  </si>
  <si>
    <t>DOH048679</t>
  </si>
  <si>
    <t>FEB 11, 2025 - 31 DEC 2027
13. FILE NO. 0301-00001333616
14. FILE NO. 0301-00001336722
15. FILE NO. 0301-00001333627</t>
  </si>
  <si>
    <t>08-004-2426-ASP-1</t>
  </si>
  <si>
    <t>Davao Occidental</t>
  </si>
  <si>
    <t>Lupon</t>
  </si>
  <si>
    <t>Purok Pag-asa, Bagumbayan, Lupon, Davao Oriental</t>
  </si>
  <si>
    <t>LGU LUPON</t>
  </si>
  <si>
    <t>NU 350 Plate No. 130110</t>
  </si>
  <si>
    <t>(087) 808-3050
0939 819 5404</t>
  </si>
  <si>
    <t>1mholupon@gmail.com</t>
  </si>
  <si>
    <t>08-013-2628-ASP-1</t>
  </si>
  <si>
    <t>Davao Oriental</t>
  </si>
  <si>
    <t>Mati City</t>
  </si>
  <si>
    <t>Madang, Brgy. Central, District II, Mati City, Davao Oriental</t>
  </si>
  <si>
    <t>CITY HEALTH OFFICE - MATI CITY</t>
  </si>
  <si>
    <t>Mati City Health Office</t>
  </si>
  <si>
    <t>F3 W185</t>
  </si>
  <si>
    <t>0963-594-9952 / 0921-676-2469</t>
  </si>
  <si>
    <t>08-008-2527-ASP-1</t>
  </si>
  <si>
    <t>REGION 12</t>
  </si>
  <si>
    <t>Sarangani</t>
  </si>
  <si>
    <t>Alabel</t>
  </si>
  <si>
    <t>Kawas</t>
  </si>
  <si>
    <t>SOCCSKSARGEN Drug Abuse Treatment and Rehabilitation Center</t>
  </si>
  <si>
    <t>DOH SOCCSKSARGEN DATRC / IMELDA K. QUIÑONES, MD, MAHA, FPSMSG</t>
  </si>
  <si>
    <t>F5 P150/ CR NO.46688198-4</t>
  </si>
  <si>
    <t>soccsksargen.datrc@gmail.com</t>
  </si>
  <si>
    <t>02/10//2025</t>
  </si>
  <si>
    <t>08-005-2527-ASP-1</t>
  </si>
  <si>
    <t>REGION 13</t>
  </si>
  <si>
    <t>Agusan del Norte</t>
  </si>
  <si>
    <t>Butuan City</t>
  </si>
  <si>
    <t>BMC Compound, Brgy. Tinivisan</t>
  </si>
  <si>
    <t>CITY HEALTH  DEPARTMENT</t>
  </si>
  <si>
    <t>City Goverment of Butuan</t>
  </si>
  <si>
    <t>CB488A,  JJ814A, F4H409</t>
  </si>
  <si>
    <t>(085)806-3731   09163108663</t>
  </si>
  <si>
    <t>chd@butuan.gov.ph</t>
  </si>
  <si>
    <t>08-014-2628-ASP-1</t>
  </si>
  <si>
    <t>Surigao del Norte</t>
  </si>
  <si>
    <t>Burgos</t>
  </si>
  <si>
    <t>Pobalcion 2, Burgos</t>
  </si>
  <si>
    <t>RURAL HEALTH UNIT - BURGOS</t>
  </si>
  <si>
    <t>RHU- Burgos</t>
  </si>
  <si>
    <t>SNN1676</t>
  </si>
  <si>
    <t>rhuburgossdn@gmail.com</t>
  </si>
  <si>
    <t>08-009-2527-ASP-1</t>
  </si>
  <si>
    <t>Del Carmen</t>
  </si>
  <si>
    <t>Purok 4, Del Carmen (Pob.)</t>
  </si>
  <si>
    <t>RURAL HEALTH UNIT - DEL CARMEN</t>
  </si>
  <si>
    <t>LGU-Del Carmen</t>
  </si>
  <si>
    <t>SN1678, SNN 1679</t>
  </si>
  <si>
    <t>08-006-2527-ASP-1</t>
  </si>
  <si>
    <t>General Luna</t>
  </si>
  <si>
    <t>Boulevard Poblacion, General. Luna, surigao del Norte</t>
  </si>
  <si>
    <t>RHU GENERAL LUNA</t>
  </si>
  <si>
    <t>1.Plate # CB465A CRN 0049863954            2.Plate # F6W519 CRN 48363106-1</t>
  </si>
  <si>
    <t>genlunarhu@gmail.com</t>
  </si>
  <si>
    <t>08-007-2527-ASP-1</t>
  </si>
  <si>
    <t>Pilar</t>
  </si>
  <si>
    <t>Brgy. Pilaring, Pilar, Surigao del Norte</t>
  </si>
  <si>
    <t>RURAL HEALTH UNIT PILAR</t>
  </si>
  <si>
    <t>Plate no. JJ 766A       CRN 006205182  Plate no. CB549A       CRN 4836105-0</t>
  </si>
  <si>
    <t>lgupilar_siargaoislands@yahoo.com</t>
  </si>
  <si>
    <t>08-003-2426-ASP-1</t>
  </si>
  <si>
    <t>Purok 5, Brgy. Del Carmen, San Isidro</t>
  </si>
  <si>
    <t>RURAL HEALTH UNIT - SAN ISIDRO</t>
  </si>
  <si>
    <t>RHU - San Isidro</t>
  </si>
  <si>
    <t>SNN 1677</t>
  </si>
  <si>
    <t>rhusanisidrosiargao@gmail.com</t>
  </si>
  <si>
    <t>08-010-2527-ASP-1</t>
  </si>
  <si>
    <t>Metro Manila</t>
  </si>
  <si>
    <t>Makati City</t>
  </si>
  <si>
    <t>2nd Floor Legaspi Towers 200, Paseo de Roxas, San Lorenzo, Makati City</t>
  </si>
  <si>
    <t>GAMES AND AMUSEMENTS BOARD - MAKATI CITY</t>
  </si>
  <si>
    <t>Games and Amusement Board</t>
  </si>
  <si>
    <t>Plate No. F4K252, CR No. 455544036</t>
  </si>
  <si>
    <t>0998-5844-569 / 8812-1505</t>
  </si>
  <si>
    <t>medical@gab.gov.ph</t>
  </si>
  <si>
    <t>DOH050621</t>
  </si>
  <si>
    <t>7/F Makati City Hall Building I, JP Rizal St., Poblacion, Makati City</t>
  </si>
  <si>
    <t>MAKATI HEALTH DEPARTMENT</t>
  </si>
  <si>
    <t>City Government of Makati</t>
  </si>
  <si>
    <t>K1T925</t>
  </si>
  <si>
    <t>8870-7605 - 88701607</t>
  </si>
  <si>
    <t>health@makati.gov.ph</t>
  </si>
  <si>
    <t>01-0003-2527-ASP-1</t>
  </si>
  <si>
    <t>DOH000000000054577</t>
  </si>
  <si>
    <t>Parañaque City</t>
  </si>
  <si>
    <t>SAN ANTONIO VALLEY 1, BRGY. SAN ANTONIO, PARAÑAQUE CITY</t>
  </si>
  <si>
    <t>PARAÑAQUE HEALTH EMERGENCY MANAGEMENT SERVICE</t>
  </si>
  <si>
    <t>Parañaque LGU</t>
  </si>
  <si>
    <t>Plate No. SND2091, Plate No. SND2078</t>
  </si>
  <si>
    <t>09298777779 / 8826-8195</t>
  </si>
  <si>
    <t>pquehems@gmail.com</t>
  </si>
  <si>
    <t>01-0006-2527-ASP-1</t>
  </si>
  <si>
    <t>Taguig City</t>
  </si>
  <si>
    <t>375 Manuel L. Quezon St. Brgy. Lower Bicutan, Taguig City</t>
  </si>
  <si>
    <t>DOCTORS ON CALL - EMERGENCY MEDICAL SERVICES (DOC-EMS)</t>
  </si>
  <si>
    <t>City Government of Taguig</t>
  </si>
  <si>
    <t>Plate No.SND2647  CR No. 47097669</t>
  </si>
  <si>
    <t>02-855-7500</t>
  </si>
  <si>
    <t>doctoroncallems@gmail.com / cho@taguig.gov.ph</t>
  </si>
  <si>
    <t>01-0004-2527-ASP-1</t>
  </si>
  <si>
    <t>Existing with Changes</t>
  </si>
  <si>
    <t>Valenzuela City</t>
  </si>
  <si>
    <t>Valenzuela City Hall Complex, KARUHATAN, CITY OF VALENZUELA, NCR, THIRD DISTRICT</t>
  </si>
  <si>
    <t>VALENZUELA CITY HEALTH OFFICE</t>
  </si>
  <si>
    <t>City Government of Valenzuela</t>
  </si>
  <si>
    <t>VO 5810</t>
  </si>
  <si>
    <t>(02) 8352 1000</t>
  </si>
  <si>
    <t>jmexcondejr@valenzuela.gov.ph</t>
  </si>
  <si>
    <t>02-05-2527-ASP-1</t>
  </si>
  <si>
    <t>Negros Occidental</t>
  </si>
  <si>
    <t>Talisay City</t>
  </si>
  <si>
    <t>Brgy. Zone 4-A Talisay, Negros Occidental</t>
  </si>
  <si>
    <t>TALISAY CITY PRIMARY CARE FACILITY</t>
  </si>
  <si>
    <t>Government of Talisay City, Negros Occidental</t>
  </si>
  <si>
    <t>Conduction Sticker
-A6N056</t>
  </si>
  <si>
    <t>495-4985</t>
  </si>
  <si>
    <t>talisaycho@yahoo.com</t>
  </si>
  <si>
    <t>02-01-2426-ASP-1</t>
  </si>
  <si>
    <t>CORDILLERA</t>
  </si>
  <si>
    <t>Abra</t>
  </si>
  <si>
    <t>Daguioman</t>
  </si>
  <si>
    <t>Poblacion Tui, Daguioman, Abra</t>
  </si>
  <si>
    <t>DAGUIOMAN RURAL HEALTH UNIT</t>
  </si>
  <si>
    <t>Local Government Unit of Daguioman</t>
  </si>
  <si>
    <t>F5J 871</t>
  </si>
  <si>
    <t>daguiomanabra@gmail.com</t>
  </si>
  <si>
    <t>01-0005-2527-ASP-1</t>
  </si>
  <si>
    <t>Apayao</t>
  </si>
  <si>
    <t>Luna</t>
  </si>
  <si>
    <t>San Isidro Sur, Luna, Apayao</t>
  </si>
  <si>
    <t>PROVINCIAL HEALTH OFFICE OF APAYAO</t>
  </si>
  <si>
    <t>Provincial Local Government of Apayao</t>
  </si>
  <si>
    <t>SOZ 738</t>
  </si>
  <si>
    <t>phoapayao@gmail.com</t>
  </si>
  <si>
    <t>01-0002-2527-ASP-1</t>
  </si>
  <si>
    <t>Benguet</t>
  </si>
  <si>
    <t>Baguio City</t>
  </si>
  <si>
    <t>Central Fire Station Abanao Extension, Benguet, Baguio City</t>
  </si>
  <si>
    <t>BAGUIO CITY EMERGENCY MEDICAL SERVICES</t>
  </si>
  <si>
    <t>13109,F4H 491</t>
  </si>
  <si>
    <t>baguiocityems@gmail.com</t>
  </si>
  <si>
    <t>DOH048582</t>
  </si>
  <si>
    <t>BGHMC Compound, Kennon Rd., Baguio City</t>
  </si>
  <si>
    <t>DEPARTMENT OF HEALTH CORDILLERA CENTER FOR HEALTH DEVELOPMENT</t>
  </si>
  <si>
    <t>Cordillera Administrative Region Center for Health Development</t>
  </si>
  <si>
    <t>N2 A475</t>
  </si>
  <si>
    <t>074-4428098/09209382585</t>
  </si>
  <si>
    <t>chdcarhems@yahoo.com</t>
  </si>
  <si>
    <t>01-0001-2527-ASP-1</t>
  </si>
  <si>
    <t>Balanga City</t>
  </si>
  <si>
    <t>Capitol Compound, San Jose, Balanga City, Bataan</t>
  </si>
  <si>
    <t>PHILIPPINE RED CROSS - BATAAN CHAPTER</t>
  </si>
  <si>
    <t>Philippine Red Cross - Bataan Chapter</t>
  </si>
  <si>
    <t>WII 832</t>
  </si>
  <si>
    <t>0967-210-6103</t>
  </si>
  <si>
    <t>bataan@redcross.org.ph</t>
  </si>
  <si>
    <t xml:space="preserve">13-0005-2527-ASP-2
</t>
  </si>
  <si>
    <t>Rosita Building, Papaya Road, Mabini Homesite, Cabanatuan City, Nueva Ecija</t>
  </si>
  <si>
    <t>MED 1 AMBULANCE SERVICES INC.</t>
  </si>
  <si>
    <t>Noel Gonzales</t>
  </si>
  <si>
    <t>CCA 3765</t>
  </si>
  <si>
    <t>0905-327-0088</t>
  </si>
  <si>
    <t>med1ambulancetransport@gmail.com</t>
  </si>
  <si>
    <t>13-0006-2527-ASP-2</t>
  </si>
  <si>
    <t>Old Capitol Building, Llanera St., Quezon, Cabanatuan City, Nueva Ecija</t>
  </si>
  <si>
    <t>PHILIPPINE RED CROSS - NUEVA ECIJA CHAPTER</t>
  </si>
  <si>
    <t>Philippine Red Cross - Nueva Ecija Chapter</t>
  </si>
  <si>
    <t>ZTT 729</t>
  </si>
  <si>
    <t>0943-523-8878</t>
  </si>
  <si>
    <t>nueva.ecija@redcross.org.ph</t>
  </si>
  <si>
    <t>13-0007-2527-ASP-2</t>
  </si>
  <si>
    <t>Angeles City</t>
  </si>
  <si>
    <t>111 Rivera Avenue, Marisol Village Barangay Ninoy Aquino, Angeles City, Pampanga</t>
  </si>
  <si>
    <t>PROMPT AMBULANCE AND HEALTH SERVICES CORPORATION</t>
  </si>
  <si>
    <t>Prompt Ambulance and Health Services Corporation</t>
  </si>
  <si>
    <t>NEX 7329, NDZ 8064</t>
  </si>
  <si>
    <t>(045) 436-7392</t>
  </si>
  <si>
    <t>promptambulanceservice@yahoo.com</t>
  </si>
  <si>
    <t>13-0001-2628-ASP-2</t>
  </si>
  <si>
    <t>Manila North Road, Baliti, City of San Fernando, Pampanga</t>
  </si>
  <si>
    <t>ITALIAN - THAI DEVELOPMENT PUBLIC COMPANY LIMITED</t>
  </si>
  <si>
    <t>Italian - Thai Development Public Company Limited</t>
  </si>
  <si>
    <t>NEW 6362</t>
  </si>
  <si>
    <t>0917-121-6216</t>
  </si>
  <si>
    <t>joshuaelmer_dungca@yahoo.com</t>
  </si>
  <si>
    <t>13-0002-2628-ASP-2</t>
  </si>
  <si>
    <t>Capitol Site, San Vicente, Tarlac City, Tarlac</t>
  </si>
  <si>
    <t>PHILIPPINE RED CROSS - TARLAC CHAPTER</t>
  </si>
  <si>
    <t>Philippine Red Cross - Tarlac Chapter</t>
  </si>
  <si>
    <t>NDH 6075</t>
  </si>
  <si>
    <t>0917-819-2312</t>
  </si>
  <si>
    <t>tarlac@redcross.org.ph</t>
  </si>
  <si>
    <t>13-0003-2628-ASP-2</t>
  </si>
  <si>
    <t>Zambales</t>
  </si>
  <si>
    <t>Olongapo City</t>
  </si>
  <si>
    <t>#39 Magsaysay Drive, East Tapinac, Olongapo City, Zambales</t>
  </si>
  <si>
    <t>PHILIPPINE RED CROSS - OLONGAPO CHAPTER</t>
  </si>
  <si>
    <t>Philippine Red Cross - Olongapo Chapter</t>
  </si>
  <si>
    <t>ABD 2943
NER 7045
DAP 7104</t>
  </si>
  <si>
    <t>0917-889-2733</t>
  </si>
  <si>
    <t>olongapo@redcross.org.ph</t>
  </si>
  <si>
    <t>13-0004-2628-ASP-2</t>
  </si>
  <si>
    <t>REGION 4-A</t>
  </si>
  <si>
    <t>Batangas</t>
  </si>
  <si>
    <t>Batac</t>
  </si>
  <si>
    <t>P. Panganiban St.,, BATANGAS CITY, BATANGAS</t>
  </si>
  <si>
    <t>SAVING PEOPLE'S HEALTH MULTI-PURPOSE COOPERATIVE</t>
  </si>
  <si>
    <t>ZGV892</t>
  </si>
  <si>
    <t>(043) 723 8387/7232167</t>
  </si>
  <si>
    <t>sphmc_coop@yahoo.com</t>
  </si>
  <si>
    <t>13-0006-2628-ASP-2</t>
  </si>
  <si>
    <t>Batangas City</t>
  </si>
  <si>
    <t>Calansing, Simlong, Batangas City, Batangas</t>
  </si>
  <si>
    <t>ESYY TRANSPORT SERVICES</t>
  </si>
  <si>
    <t>Socorro A. Bas</t>
  </si>
  <si>
    <t>IOG 155</t>
  </si>
  <si>
    <t>0967-829-3533 / (043) 781-3885</t>
  </si>
  <si>
    <t>esyy.ph@gmail.com</t>
  </si>
  <si>
    <t>13-0007-2628-ASP-2</t>
  </si>
  <si>
    <t>Lipa City</t>
  </si>
  <si>
    <t>DP. Laygo St., Sabang, Lipa City, Batangas</t>
  </si>
  <si>
    <t>PHILIPPINE RED CROSS BATANGAS CHAPTER – LIPA CITY BRANCH EMS STATION</t>
  </si>
  <si>
    <t>Philippine Red Cross</t>
  </si>
  <si>
    <t>NIE472</t>
  </si>
  <si>
    <t>043-7400768/09980570443/09171800459</t>
  </si>
  <si>
    <t>sslipa.redcrossbatangas@gmail.com</t>
  </si>
  <si>
    <t>13-0008-2628-ASP-2</t>
  </si>
  <si>
    <t>Cavite</t>
  </si>
  <si>
    <t>Dasmariñas City</t>
  </si>
  <si>
    <t>Block 1 Lot 4 Fatima, CITY OF DASMARIÑAS, CAVITE</t>
  </si>
  <si>
    <t>BIO-AID DIAGNOSTIC CENTER</t>
  </si>
  <si>
    <t>CNN Healthcare Management Inc.</t>
  </si>
  <si>
    <t>TIB324</t>
  </si>
  <si>
    <t>(046) 851 0703/8511453</t>
  </si>
  <si>
    <t>codojr.ccnhealthcare@gmail.com</t>
  </si>
  <si>
    <t>13-0009-2628-ASP-2</t>
  </si>
  <si>
    <t>218 San Jose, Dasmariñas, Cavite</t>
  </si>
  <si>
    <t>Datastat Emergency &amp; Safety Training Consultancy Services</t>
  </si>
  <si>
    <t>Catherine M. Tapawan</t>
  </si>
  <si>
    <t>AOA 4809</t>
  </si>
  <si>
    <t>med1sanitater@gmail.com</t>
  </si>
  <si>
    <t>13-0010-2628-ASP-2</t>
  </si>
  <si>
    <t>Rizal</t>
  </si>
  <si>
    <t>Antipolo City</t>
  </si>
  <si>
    <t>L-8 B-B Don Pedro St. Villa Cecilia Subd. Mambugan, Antipolo City, Rizal</t>
  </si>
  <si>
    <t>ER MED AMBULANCE SERVICES</t>
  </si>
  <si>
    <t>Mr. Jefferson D. Sernande</t>
  </si>
  <si>
    <t>FOY 444 NED 2593</t>
  </si>
  <si>
    <t>0915-132-4861</t>
  </si>
  <si>
    <t>er.med@yahoo.com</t>
  </si>
  <si>
    <t>14-0001-2527-ASP-2</t>
  </si>
  <si>
    <t>Naga City</t>
  </si>
  <si>
    <t xml:space="preserve">Sardonyx St., Villa Grande Homes Subd., Concepcion Grande, Naga City, Camarines Sur
</t>
  </si>
  <si>
    <t>JHJA TRANSPORT SERVICES</t>
  </si>
  <si>
    <t>Juven C. Peñaflorida, RMT</t>
  </si>
  <si>
    <t>XHG581/13949670-0</t>
  </si>
  <si>
    <t>st.johnhosp72_naga_4400@yahoo.com</t>
  </si>
  <si>
    <t>DOH049053</t>
  </si>
  <si>
    <t>REGION 6</t>
  </si>
  <si>
    <t>Iloilo</t>
  </si>
  <si>
    <t>Iloilo City</t>
  </si>
  <si>
    <t>45 GUZMAN STREET BRGY. GUZMAN -JESENA</t>
  </si>
  <si>
    <t>LIFEBEAT AMBULANCE SEVICE PROVIDER</t>
  </si>
  <si>
    <t>Frankie Nolasco Famillaran</t>
  </si>
  <si>
    <t>FAF4123</t>
  </si>
  <si>
    <t>lifebeambulanceservices@gmail.com</t>
  </si>
  <si>
    <t>DOH049054</t>
  </si>
  <si>
    <t>2ND FLOOR, B LIFESTYLE COMPLEX, DIVERSION RD., CUARTERO, JARO, ILOILO CITY</t>
  </si>
  <si>
    <t>RONINEMS CORPORATION</t>
  </si>
  <si>
    <t>Dr. Hyacinth Sillo</t>
  </si>
  <si>
    <t>FAP6752</t>
  </si>
  <si>
    <t>roninems2024@gmail.com</t>
  </si>
  <si>
    <t>DOH049052</t>
  </si>
  <si>
    <t>Cebu City</t>
  </si>
  <si>
    <t>CMS Compound Governor Cuenco Avenue, Banilad , Cebu City</t>
  </si>
  <si>
    <t>EMERGENCY RESCUE UNIT FOUNDATION PHIL. INC.</t>
  </si>
  <si>
    <t>Emergency Rescue Unit Foundation, Phil. Inc.</t>
  </si>
  <si>
    <t>GAC 5538. GAM 5089, GAC 5537, GAC 5539</t>
  </si>
  <si>
    <t>(63) (32) 233-9300</t>
  </si>
  <si>
    <t>connect@eruf161.com.ph</t>
  </si>
  <si>
    <t>DOH044545</t>
  </si>
  <si>
    <t>Mayor Jaldon St.</t>
  </si>
  <si>
    <t>ALS LIFE SUPPORT</t>
  </si>
  <si>
    <t>Rioklyn P. Toledo</t>
  </si>
  <si>
    <t>NAR 2129/ NGT 6334</t>
  </si>
  <si>
    <t>alszamboinc@gmail.com</t>
  </si>
  <si>
    <t>DOH054730</t>
  </si>
  <si>
    <t>Brgy. Libertad, Kauswagan, Lanao del Norte</t>
  </si>
  <si>
    <t>GNPOWER KAUSWAGAN LTD. CO.</t>
  </si>
  <si>
    <t>Gnpower Kauswagan Ltd. Co.</t>
  </si>
  <si>
    <t>KAR3385</t>
  </si>
  <si>
    <t>063-8339040/09178355613</t>
  </si>
  <si>
    <t>eden.yurong@gnpk.com.ph</t>
  </si>
  <si>
    <t>DOH052049</t>
  </si>
  <si>
    <t>Amya Building, Quimpo Boulevard Cor. Tulip Drive, Ecoland, Davao City</t>
  </si>
  <si>
    <t>ECOLAND MEDICAL AND WELLNESS CENTER, INC.</t>
  </si>
  <si>
    <t>Ecoland Medical and Wellness Center, Inc.</t>
  </si>
  <si>
    <t>MAU 5157</t>
  </si>
  <si>
    <t>(082) 2241883</t>
  </si>
  <si>
    <t>ecomedhospital@gmail.com</t>
  </si>
  <si>
    <t>DOH049043</t>
  </si>
  <si>
    <t>Door 7 &amp; 8, SPK Building, Km. 7, Lanang, Vicente Hizon Sr., Davao City, Davao del Sur</t>
  </si>
  <si>
    <t>PROHEALTH EMS</t>
  </si>
  <si>
    <t>Prohealth EMS</t>
  </si>
  <si>
    <t>LAG 9501</t>
  </si>
  <si>
    <t>0923 083 9803</t>
  </si>
  <si>
    <t>info.prohealthsolutions@gmail.com</t>
  </si>
  <si>
    <t>13-0001-2426-ASP-2</t>
  </si>
  <si>
    <t>Malita</t>
  </si>
  <si>
    <t>Sitio Inaburan, Brgy. Culaman, Municipality of Malita Davao</t>
  </si>
  <si>
    <t>SAN MIGUEL CONSOLIDATED POWER CORPORATION</t>
  </si>
  <si>
    <t>NCQ 2711</t>
  </si>
  <si>
    <t>kdeloso@smcgph.sanmiguel.com.ph</t>
  </si>
  <si>
    <t>13-0003-2426-ASP-2</t>
  </si>
  <si>
    <t>South Cotabato</t>
  </si>
  <si>
    <t>Lake Sebu</t>
  </si>
  <si>
    <t>Kibang, Brgy. Ned</t>
  </si>
  <si>
    <t>DELTA EARTHMOVING, INC.</t>
  </si>
  <si>
    <t>Ronald M. Manalac</t>
  </si>
  <si>
    <t>NIP 5428/1301-17350</t>
  </si>
  <si>
    <t>13-0004-2527-ASP-2</t>
  </si>
  <si>
    <t>1-C Moonlite St., Brgy. Singkamas, Makati City</t>
  </si>
  <si>
    <t>AMBULANCE SERVICE CODEBLUE EMERGENCY</t>
  </si>
  <si>
    <t>Julian Enrique</t>
  </si>
  <si>
    <t>NEU4046</t>
  </si>
  <si>
    <t>0966-597-7754</t>
  </si>
  <si>
    <t>codeblueems08@gmail.com</t>
  </si>
  <si>
    <t>03-0011-2527-ASP-2</t>
  </si>
  <si>
    <t>25D Zeta II Bldg. 191, Salcedo St, Legaspi Village, CITY OF MAKATI, NCR, FOURTH DISTRICT</t>
  </si>
  <si>
    <t>ARGONIX MEDICAL CORPORATION</t>
  </si>
  <si>
    <t>NBW 1961, NBR 5741</t>
  </si>
  <si>
    <t>(02) 8373 7377 / 0925-734-8476</t>
  </si>
  <si>
    <t>argonixph@gmail.com</t>
  </si>
  <si>
    <t>DOH049027</t>
  </si>
  <si>
    <t>2260 Chino Roces Ext. Brgy. Magallanes, Makati</t>
  </si>
  <si>
    <t>LEIGHTON FIRST BALFOUR JOINT VENTURE</t>
  </si>
  <si>
    <t>Paul Hedley</t>
  </si>
  <si>
    <t>Plate No. CCD7644 CR No. 84323381</t>
  </si>
  <si>
    <t>0916-775-1797</t>
  </si>
  <si>
    <t>maria.vito@lfbjv.com.ph</t>
  </si>
  <si>
    <t>4A-0002-2527-ASP-2</t>
  </si>
  <si>
    <t>Mandaluyong City</t>
  </si>
  <si>
    <t>No. 6 ADB Avenue, Wack-wack, Mandaluyong City</t>
  </si>
  <si>
    <t>ASIAN DEVELOPMENT BANK</t>
  </si>
  <si>
    <t>Plate No. 205-0114, CR No. 463251526</t>
  </si>
  <si>
    <t>86322-4444</t>
  </si>
  <si>
    <t>adusdiisariyavong@dba.org</t>
  </si>
  <si>
    <t>DOH051456</t>
  </si>
  <si>
    <t xml:space="preserve">DOH000000000050173	</t>
  </si>
  <si>
    <t>Williams St., Cor Mayflower St., Highway Hills, Greenfield District, Mandaluyong City</t>
  </si>
  <si>
    <t>HEALTH DELIVERY SYSTEM INC.</t>
  </si>
  <si>
    <t>Health Delivery System Inc.</t>
  </si>
  <si>
    <t>PLATE NO. NCQ3713, CR No. 029052187 /  PLATE NO. NKF 7750, CR NO. 0099004956</t>
  </si>
  <si>
    <t>eric.elumbaring@healthfirst.com.ph</t>
  </si>
  <si>
    <t>DOH049026</t>
  </si>
  <si>
    <t>Unit 207 Building F, Banahaw Medium Rise Condominium, Banahaw Street, Brgy. Highway Hills, Mandaluyong City</t>
  </si>
  <si>
    <t>MEDIXTOGO AMBULANCE SERVICE</t>
  </si>
  <si>
    <t>Dr. Joel B. Santos</t>
  </si>
  <si>
    <t>Plate No.. NHB4706 CR NO. 046217973-4</t>
  </si>
  <si>
    <t>medixtogo@gmail.com</t>
  </si>
  <si>
    <t>4A-0003-2527-ASP-2</t>
  </si>
  <si>
    <t>37 EDSA cor. Boni Ave., Brgy. Ilaya, Mandaluyong City</t>
  </si>
  <si>
    <t>PHILIPPINE RED CROSS - NATIONAL HEADQUARTERS</t>
  </si>
  <si>
    <t>NIF 6637/DBF 2871/DBF 2874/DBF 2873 &amp; DBF 2894</t>
  </si>
  <si>
    <t>prc.ems@redcross.org.ph</t>
  </si>
  <si>
    <t>DOH049050</t>
  </si>
  <si>
    <t>Manila</t>
  </si>
  <si>
    <t>10 Granada St., Brgy. Gulod, Quezon City, Metro Manila</t>
  </si>
  <si>
    <t>AMBUCARE EMS SOLUTIONS</t>
  </si>
  <si>
    <t>Mr. Ryan N. Tizon</t>
  </si>
  <si>
    <t>PVO 421</t>
  </si>
  <si>
    <t>0999-8829-586</t>
  </si>
  <si>
    <t>ambucare_ems@yahoo.com</t>
  </si>
  <si>
    <t>4A-0001-2527-ASP-2</t>
  </si>
  <si>
    <t>DOH000000000050266</t>
  </si>
  <si>
    <t>540 ANTIPOLO ST., BRGY. 148, TONDO, MANILA</t>
  </si>
  <si>
    <t>ARCHERS AMBULANCE SERVICE</t>
  </si>
  <si>
    <t>Mr. Kevin E. Concepcion</t>
  </si>
  <si>
    <t>NFW7687</t>
  </si>
  <si>
    <t>09177988870 / 090228798716</t>
  </si>
  <si>
    <t>archerambulance@gmail.com</t>
  </si>
  <si>
    <t>05-0001-2527-ASP-2</t>
  </si>
  <si>
    <t>1232 JUANING ST., 471, 1ST DISTRICT, SAMPALOC, MANILA</t>
  </si>
  <si>
    <t>FIL-AM RESCUE EQUIPMENT TRADING</t>
  </si>
  <si>
    <t>BEVERLY JOHN F. PARAYNO</t>
  </si>
  <si>
    <t>WSR629</t>
  </si>
  <si>
    <t>0995-9741-161</t>
  </si>
  <si>
    <t>filamems@gmail.com</t>
  </si>
  <si>
    <t>06-0001-2426-ASP-2</t>
  </si>
  <si>
    <t>#123 Juaning Street Sampaloc, Manila</t>
  </si>
  <si>
    <t>FILAM RESCUE VOLUNTEERS INC.</t>
  </si>
  <si>
    <t>Filam Rescue Volunteers Inc.</t>
  </si>
  <si>
    <t>WGD 808</t>
  </si>
  <si>
    <t>0995-974-1161</t>
  </si>
  <si>
    <t>filamrescuevolunteer@gmail.com</t>
  </si>
  <si>
    <t>06-0001-2527-ASP-2</t>
  </si>
  <si>
    <t>1849 DAGUPAN COR. BALAYA ST., TONDO, BRGY. 54, MANILA</t>
  </si>
  <si>
    <t>PRIMECARE AMBULANCE SERVICE</t>
  </si>
  <si>
    <t>JEFFREY D. DATUIN</t>
  </si>
  <si>
    <t>Plate No. NEO 5969, CS No. 366347704</t>
  </si>
  <si>
    <t>0917-1151882</t>
  </si>
  <si>
    <t>rwjcorrugating@gmail.com</t>
  </si>
  <si>
    <t>DOH049031</t>
  </si>
  <si>
    <t>6th Floor Vertex One Felix Huertas Road, Sta. Cruz, Manila</t>
  </si>
  <si>
    <t>PT ADHI KARYA (PERSERO) TBK</t>
  </si>
  <si>
    <t>NIO3504</t>
  </si>
  <si>
    <t>0928-306-5960</t>
  </si>
  <si>
    <t>ujang.ramdam@adhi.co.id</t>
  </si>
  <si>
    <t>09-0003-2426-ASP-2</t>
  </si>
  <si>
    <t>500 Santol St., Sta. Mesa, CITY OF MANILA, NCR, CITY OF MANILA, FIRST DISTRICT</t>
  </si>
  <si>
    <t>TRANSCARE EMERGENCY MEDICAL SERVICES</t>
  </si>
  <si>
    <t>UQM 891 AAB 2697</t>
  </si>
  <si>
    <t>0928 389 0790 / 0936-923-2149</t>
  </si>
  <si>
    <t>transcareemergencyservices@gmail.com</t>
  </si>
  <si>
    <t>DOH051439</t>
  </si>
  <si>
    <t>Marikina City</t>
  </si>
  <si>
    <t>756 Instruccion Street, Sampaloc, Manila, CITY OF MANILA, NCR, CITY OF MANILA, FIRST DISTRICT</t>
  </si>
  <si>
    <t>ACE COR MEDICAL SERVICES</t>
  </si>
  <si>
    <t>NBK 2140, NAD 2378, NCG 5936, NAA8988, NEJ3042, NEJ6549</t>
  </si>
  <si>
    <t>0917-506-2280</t>
  </si>
  <si>
    <t>acecorambulance@yahoo.com</t>
  </si>
  <si>
    <t>11-02-2527-PCF-2</t>
  </si>
  <si>
    <t>Muntinlupa City</t>
  </si>
  <si>
    <t>Meralco Road, Sucat, Muntinlupa, 2nd District Muntinlupa</t>
  </si>
  <si>
    <t>PT ADHI KARYA (PERSERO) TBK - PHILIPPINE BRANCH</t>
  </si>
  <si>
    <t>NBR4229</t>
  </si>
  <si>
    <t>8525-4971</t>
  </si>
  <si>
    <t>scrp.cps03c@adhiptppjv.com</t>
  </si>
  <si>
    <t>11-002-2527-ASP-2</t>
  </si>
  <si>
    <t>#10 Millennium Bldg., MIA Rd., Brgy. Tambo, Parañaque City</t>
  </si>
  <si>
    <t>ALS LIFE SUPPORT SERVICES INC.</t>
  </si>
  <si>
    <t>GAJ1014, YHR911</t>
  </si>
  <si>
    <t>0917-769-5222 / 87093146</t>
  </si>
  <si>
    <t>capttoledo@gmail.com</t>
  </si>
  <si>
    <t>11-03-2628-ASP-2</t>
  </si>
  <si>
    <t>Valgosons Bldg. 8484 East Service Road, Km.18, Sucat, Parañaque City</t>
  </si>
  <si>
    <t>LIFELINE16911 MEDICAL INC.</t>
  </si>
  <si>
    <t>Michael H. Deakin</t>
  </si>
  <si>
    <t>NCZ8610 - CR No. 215185736/ Plate No. ACS9251 - CR No. 210600515 / Plate No. ACS8150 - CR No. 210594753 / Plate No. NAG9241 - CR No. 302246103 / Plate No. AAD8868 - CR No. 229188374 / Plate No. NAF8733 - CR No. 272562253 / Plate No. NCM9280 - CR No. 303456263 / Plate No. GAE8963 - CR No. 277219482 / Plate No. NEH4779 - CR No. 35615789-6/ Plate No. NEH4780 - CR No. 35615788-5 / Plate No. YKF292 - CR No. 254981134 / CS No. 70103 - MV File No. 0701-00000649529 - CR No. 277219504 / Plate No. GAJ1010 – CR No. 335555566 / 
Plate No. NGN8584 – CR No. 42915599-6 / Plate No. GAE8961 – CR No. 277562253 / Plate No. CCA3331 – CR No. 022559924</t>
  </si>
  <si>
    <t>0917-5416-911 / 8839-2525</t>
  </si>
  <si>
    <t>michaeldeakin@gmail.com</t>
  </si>
  <si>
    <t>12-001-2427-ASP-2</t>
  </si>
  <si>
    <t>Pasig City</t>
  </si>
  <si>
    <t>Meralco Center, Ortigas Ave., Ugong, Pasig City, Metro Manila</t>
  </si>
  <si>
    <t>MANILA ELECTRIC COMPANY</t>
  </si>
  <si>
    <t>Manila Electric Company</t>
  </si>
  <si>
    <t>NFI 1053 , NFI 1054</t>
  </si>
  <si>
    <t>0998-882-2977</t>
  </si>
  <si>
    <t>abfdilla@meralco.com.ph</t>
  </si>
  <si>
    <t>DOH049042</t>
  </si>
  <si>
    <t>Quezon City</t>
  </si>
  <si>
    <t>30 F. Bautista St. corner Pabillare St., Brgy. Damayan, San Francisco del Monte, Quezon City</t>
  </si>
  <si>
    <t>ALB AMBULANCE RESCUE SERVICES</t>
  </si>
  <si>
    <t>Mr. Lancelot Chua</t>
  </si>
  <si>
    <t>IO B760</t>
  </si>
  <si>
    <t>0956-967-7795</t>
  </si>
  <si>
    <t>albsquadron@outlook.ph</t>
  </si>
  <si>
    <t>DOH049039</t>
  </si>
  <si>
    <t>42 Nicanor Roxas St., Brgy. Sta. Teresita, Quezon City</t>
  </si>
  <si>
    <t>AMBUCORE GENERAL MERCHANDISE</t>
  </si>
  <si>
    <t>Dan Ryan Yap Uy</t>
  </si>
  <si>
    <t>NET 1618</t>
  </si>
  <si>
    <t>89256292/09175765682</t>
  </si>
  <si>
    <t>ambucore@yahoo.com</t>
  </si>
  <si>
    <t>DOH049041</t>
  </si>
  <si>
    <t>DOH000000000054590</t>
  </si>
  <si>
    <t>71 Lopez Jaena St., Doña Aurora, District 4, Quezon City</t>
  </si>
  <si>
    <t>MEDFLIGHT AMBULANCE CORP.</t>
  </si>
  <si>
    <t>Osborne C. Magpale</t>
  </si>
  <si>
    <t>NGL 1012</t>
  </si>
  <si>
    <t>0917-167-5872</t>
  </si>
  <si>
    <t>operations@medflight.info</t>
  </si>
  <si>
    <t>DOH049047</t>
  </si>
  <si>
    <t>B12 L7 Galilee St., Brgy. Kaligayahan, Zabarte, Novaliches, Quezon City</t>
  </si>
  <si>
    <t>MEDIC ONE AMBULANCE AMBULANCE SERVICES</t>
  </si>
  <si>
    <t>Ms. Mary Ann Estrada</t>
  </si>
  <si>
    <t>NEX7268</t>
  </si>
  <si>
    <t>msestrada@medic1serv.com</t>
  </si>
  <si>
    <t>DOH049040</t>
  </si>
  <si>
    <t>Blk. 6 Lot 1, King Alexander St., Kingspoint Grandvillas, Novaliches Bagbag, Quezon City</t>
  </si>
  <si>
    <t>ROI RYMK EQUIPMENT RENTAL</t>
  </si>
  <si>
    <t>Mishael Roi Velasquez De Santos</t>
  </si>
  <si>
    <t>Plate No. NCM3460, CS No. 37447327-1</t>
  </si>
  <si>
    <t>0927-560-7220</t>
  </si>
  <si>
    <t>INFINITYambulancePH@gmail.com</t>
  </si>
  <si>
    <t>13-0002-2527-ASP-2</t>
  </si>
  <si>
    <t>missed encoding, updated 6/30/2026</t>
  </si>
  <si>
    <t>Unit 9-H, 54 Aurelio Street, Philand Drive Extension,, PASONG TAMO, QUEZON CITY, NCR, SECOND DISTRICT</t>
  </si>
  <si>
    <t>STOUTCON EMERGENCY RESPONSE SERVICES</t>
  </si>
  <si>
    <t>Mr. Godfrey Allan A. Pancheca</t>
  </si>
  <si>
    <t>NBA 9429 A3T598 MU0909</t>
  </si>
  <si>
    <t>0977-7513072/9392750</t>
  </si>
  <si>
    <t>stoutconservices@gmail.com</t>
  </si>
  <si>
    <t>13-0003-2527-ASP-2</t>
  </si>
  <si>
    <t>Blk 53 Lot 47, Quintana Street, Upper Bicutan, Taguig City, Metro Manila</t>
  </si>
  <si>
    <t>STYX AMBULANCE SERVICE</t>
  </si>
  <si>
    <t>Dr. Shiela M, Ramos</t>
  </si>
  <si>
    <t>NFW 2814, NEV 2944</t>
  </si>
  <si>
    <t>0919-007-7845</t>
  </si>
  <si>
    <t>styxambulance@gmail.com</t>
  </si>
  <si>
    <t>DOH049045</t>
  </si>
  <si>
    <t>Bangued</t>
  </si>
  <si>
    <t>Corner Taft, Washington St., Zone 6, Bangued Abra</t>
  </si>
  <si>
    <t>PHILIPPINE RED CROSS - ABRA CHAPTER</t>
  </si>
  <si>
    <t>Philippine National Red Cross</t>
  </si>
  <si>
    <t>NBB 2748</t>
  </si>
  <si>
    <t>(074) 752 5393</t>
  </si>
  <si>
    <t>abra@redcross.org.ph</t>
  </si>
  <si>
    <t>03-0007-2527-ASP-2</t>
  </si>
  <si>
    <t>Notre Dame de Charters Hospital Upper General Luna Baguio City</t>
  </si>
  <si>
    <t>AIRBAG INCORPORATED</t>
  </si>
  <si>
    <t>Airbag Incorporated</t>
  </si>
  <si>
    <t>YAA8650, EH604A</t>
  </si>
  <si>
    <t>63 9672113479</t>
  </si>
  <si>
    <t>airbagambulance20212@gmail.com</t>
  </si>
  <si>
    <t>03-0006-2527-ASP-2</t>
  </si>
  <si>
    <t>Country Club Road, South Drive Baguio City, Benguet</t>
  </si>
  <si>
    <t>BAGUIO COUNTRY CLUB CORPORATION</t>
  </si>
  <si>
    <t>ADF 467</t>
  </si>
  <si>
    <t>(074) 619 - 2050 0917-791-4918</t>
  </si>
  <si>
    <t>health_safety@bcc.com.ph</t>
  </si>
  <si>
    <t>03-0009-2527-ASP-2</t>
  </si>
  <si>
    <t>Post Office Loop, BAGUIO CITY, BENGUET</t>
  </si>
  <si>
    <t>BAGUIO-BENGUET PUBLIC INFORMATION CIVIC ACTION GROUP PHIL., INC, (BB-PICAG, INC.)</t>
  </si>
  <si>
    <t>Mr. Antonio Rafio</t>
  </si>
  <si>
    <t>ALA 3649</t>
  </si>
  <si>
    <t>(074) 442 8911</t>
  </si>
  <si>
    <t>info.picag@gmail.com</t>
  </si>
  <si>
    <t>03-0003-2527-ASP-2</t>
  </si>
  <si>
    <t>39 Harrison Road Baguio City</t>
  </si>
  <si>
    <t>PHILIPPINE RED CROSS - BAGUIO CHAPTER</t>
  </si>
  <si>
    <t>NIE 522</t>
  </si>
  <si>
    <t>baguio@redcross.org.ph</t>
  </si>
  <si>
    <t>DOH049022</t>
  </si>
  <si>
    <t>La Trinidad</t>
  </si>
  <si>
    <t>Benguet General Hopital Compound, Km5, La Trinidad Benguet</t>
  </si>
  <si>
    <t>PHILIPPINE RED CROSS - BENGUET CHAPTER</t>
  </si>
  <si>
    <t>NIS 862</t>
  </si>
  <si>
    <t>benguet@redcross.org.ph</t>
  </si>
  <si>
    <t>03-0010-2527-ASP-2</t>
  </si>
  <si>
    <t>CHD</t>
  </si>
  <si>
    <t>CITY / MUNICIPALITY</t>
  </si>
  <si>
    <t>Clinical Lab</t>
  </si>
  <si>
    <t>Infirmary</t>
  </si>
  <si>
    <t>Clinical Lab - Hospital</t>
  </si>
  <si>
    <t>Cancer Treatment Facility - Hospital</t>
  </si>
  <si>
    <t>Status</t>
  </si>
  <si>
    <t>Dental Lab</t>
  </si>
  <si>
    <t>Psychiatrict Care</t>
  </si>
  <si>
    <t>LDWA</t>
  </si>
  <si>
    <t>Type of Ambulance Service</t>
  </si>
  <si>
    <t>Covid Testing</t>
  </si>
  <si>
    <t>Dialysis Clinics</t>
  </si>
  <si>
    <t>Medical Facility for Oversease Workers and Seafarers</t>
  </si>
  <si>
    <t>DATRC</t>
  </si>
  <si>
    <t>Modality</t>
  </si>
  <si>
    <t xml:space="preserve">Chemical Water </t>
  </si>
  <si>
    <t>AD-ONS SERVICES</t>
  </si>
  <si>
    <t>BSF</t>
  </si>
  <si>
    <t>Service Capability</t>
  </si>
  <si>
    <t>DOH RETAINED</t>
  </si>
  <si>
    <t>Secondary</t>
  </si>
  <si>
    <t>Cancer Specialty Hospital</t>
  </si>
  <si>
    <t>New</t>
  </si>
  <si>
    <t>FIXED</t>
  </si>
  <si>
    <t>Custodial Psychiatric Care Facility</t>
  </si>
  <si>
    <t>Microbiological</t>
  </si>
  <si>
    <t>rRT PCR</t>
  </si>
  <si>
    <t>Hospital based</t>
  </si>
  <si>
    <t>Regular Land-based and Seafarer</t>
  </si>
  <si>
    <t xml:space="preserve">Residential </t>
  </si>
  <si>
    <t>Institution-based</t>
  </si>
  <si>
    <t>Therapeutic Community</t>
  </si>
  <si>
    <t>METRO MANILA</t>
  </si>
  <si>
    <t>Aborlan</t>
  </si>
  <si>
    <t>General</t>
  </si>
  <si>
    <t>Level 1</t>
  </si>
  <si>
    <t>G6PD Confirmatory</t>
  </si>
  <si>
    <t>Hospital-based</t>
  </si>
  <si>
    <t>Blood Station</t>
  </si>
  <si>
    <t>Primary</t>
  </si>
  <si>
    <t>Tertiary</t>
  </si>
  <si>
    <t>Cancer Specialty Center in a General Hospital</t>
  </si>
  <si>
    <t>REMOVABLE</t>
  </si>
  <si>
    <t>Acute Chronic Psychiatric Facility</t>
  </si>
  <si>
    <t>Physico-Chemical</t>
  </si>
  <si>
    <t>Cartridge-based PCR</t>
  </si>
  <si>
    <t>Non hospital based</t>
  </si>
  <si>
    <t>Special Seafarer's Medical Facility</t>
  </si>
  <si>
    <t>Non-Residential</t>
  </si>
  <si>
    <t>Free Standing</t>
  </si>
  <si>
    <t>Eclectic</t>
  </si>
  <si>
    <t>Abra de Ilog</t>
  </si>
  <si>
    <t>Specialty</t>
  </si>
  <si>
    <t>Level 2</t>
  </si>
  <si>
    <t>rHIVda Confirmatory Laboratory</t>
  </si>
  <si>
    <t>Non-Hospital-based</t>
  </si>
  <si>
    <t>Blood Collection Unit</t>
  </si>
  <si>
    <t>UNIVERSITY/SCHOOL</t>
  </si>
  <si>
    <t>Molecular Lab</t>
  </si>
  <si>
    <t>Cancer Treatment Unit in a General Hospital</t>
  </si>
  <si>
    <t>Microbiological and Physico-Chemical</t>
  </si>
  <si>
    <t>Type I &amp; II</t>
  </si>
  <si>
    <t>rRT PCR/ Cartridge-based PCR</t>
  </si>
  <si>
    <t>Residential with Oupatient Service</t>
  </si>
  <si>
    <t>Hazelden Minnesotta</t>
  </si>
  <si>
    <t>CAGAYAN VALLEY REGION</t>
  </si>
  <si>
    <t>Agusan del Sur</t>
  </si>
  <si>
    <t>Abucay</t>
  </si>
  <si>
    <t>Level 3</t>
  </si>
  <si>
    <t>Dialysis Clinic</t>
  </si>
  <si>
    <t>Blood Collection Unit/Blood Services</t>
  </si>
  <si>
    <t>GOCC</t>
  </si>
  <si>
    <t>Faith-based</t>
  </si>
  <si>
    <t>Aklan</t>
  </si>
  <si>
    <t>Abulug</t>
  </si>
  <si>
    <t>Diagnostic X-ray Services</t>
  </si>
  <si>
    <t>Blood Bank</t>
  </si>
  <si>
    <t>Limited</t>
  </si>
  <si>
    <t>AFP</t>
  </si>
  <si>
    <t>Abuyog</t>
  </si>
  <si>
    <t>HIV Testing Laboratory</t>
  </si>
  <si>
    <t>Blood Bank with additional function</t>
  </si>
  <si>
    <t>PAF</t>
  </si>
  <si>
    <t>REGION 4-B</t>
  </si>
  <si>
    <t>Antique</t>
  </si>
  <si>
    <t>Physical Medicine and Rehabilitation Unit</t>
  </si>
  <si>
    <t>Blood Center</t>
  </si>
  <si>
    <t>Institutional Character</t>
  </si>
  <si>
    <t>PNP</t>
  </si>
  <si>
    <t>Agdangan</t>
  </si>
  <si>
    <t>Blood Collection Unit/Blood Station</t>
  </si>
  <si>
    <t>DND</t>
  </si>
  <si>
    <t>WESTERN VISAYAS REGION</t>
  </si>
  <si>
    <t>Aurora</t>
  </si>
  <si>
    <t>Aglipay</t>
  </si>
  <si>
    <t>Specialized Diagnostic X-ray Services</t>
  </si>
  <si>
    <t>Non-Institution based</t>
  </si>
  <si>
    <t>MOH BARMM</t>
  </si>
  <si>
    <t>CENTRAL VISAYAS REGION</t>
  </si>
  <si>
    <t>Basilan</t>
  </si>
  <si>
    <t>Agno</t>
  </si>
  <si>
    <t>Tertiary Laboratory w/ histopathology</t>
  </si>
  <si>
    <t>PGH</t>
  </si>
  <si>
    <t>EASTERN VISAYAS REGION</t>
  </si>
  <si>
    <t>Agoncillo</t>
  </si>
  <si>
    <t>Anatomic Pathology</t>
  </si>
  <si>
    <t>Batanes</t>
  </si>
  <si>
    <t>Agoo</t>
  </si>
  <si>
    <t>Dental X-ray Services</t>
  </si>
  <si>
    <t>Function</t>
  </si>
  <si>
    <t>NORTHERN MINDANAO REGION</t>
  </si>
  <si>
    <t>Aguilar</t>
  </si>
  <si>
    <t>Ambulatory Surgical Clinic</t>
  </si>
  <si>
    <t>CP</t>
  </si>
  <si>
    <t>SOUTHERN MINDANAO REGION</t>
  </si>
  <si>
    <t>Aguinaldo</t>
  </si>
  <si>
    <t>AP</t>
  </si>
  <si>
    <t>Biliran</t>
  </si>
  <si>
    <t>Agutaya</t>
  </si>
  <si>
    <t>Cancer Treatment Facility</t>
  </si>
  <si>
    <t>CP-AP</t>
  </si>
  <si>
    <t>Bohol</t>
  </si>
  <si>
    <t>Ajuy</t>
  </si>
  <si>
    <t>Laboratory for Drinking Water Analysis</t>
  </si>
  <si>
    <t>CP With Associate AP</t>
  </si>
  <si>
    <t>Bukidnon</t>
  </si>
  <si>
    <t>Akbar</t>
  </si>
  <si>
    <t>Radiation Therapy Service</t>
  </si>
  <si>
    <t>NEGROS ISLAND REGION</t>
  </si>
  <si>
    <t>MOH - BARMM</t>
  </si>
  <si>
    <t>Al-Barka</t>
  </si>
  <si>
    <t>Radiation Oncology Services</t>
  </si>
  <si>
    <t>Ala Esperanza</t>
  </si>
  <si>
    <t>Pharmacy</t>
  </si>
  <si>
    <t>Camarines Norte</t>
  </si>
  <si>
    <t>Alabat</t>
  </si>
  <si>
    <t>Mobile Clinical Laboratory</t>
  </si>
  <si>
    <t>Psychiatric Care</t>
  </si>
  <si>
    <t>Camiguin</t>
  </si>
  <si>
    <t>Alamada</t>
  </si>
  <si>
    <t>Capiz</t>
  </si>
  <si>
    <t>Alaminos</t>
  </si>
  <si>
    <t>Catanduanes</t>
  </si>
  <si>
    <t>Alangalang</t>
  </si>
  <si>
    <t>Albuera</t>
  </si>
  <si>
    <t>Cotabato</t>
  </si>
  <si>
    <t>Alburquerque</t>
  </si>
  <si>
    <t>Alcala</t>
  </si>
  <si>
    <t>Alcantara</t>
  </si>
  <si>
    <t>Alcoy</t>
  </si>
  <si>
    <t>Alegria</t>
  </si>
  <si>
    <t>Aleosan</t>
  </si>
  <si>
    <t>Dinagat Islands</t>
  </si>
  <si>
    <t>Alfonso</t>
  </si>
  <si>
    <t>Alfonso Castañeda</t>
  </si>
  <si>
    <t>Guimaras</t>
  </si>
  <si>
    <t>Alfonso Lista</t>
  </si>
  <si>
    <t>Ifugao</t>
  </si>
  <si>
    <t>Aliaga</t>
  </si>
  <si>
    <t>Alicia</t>
  </si>
  <si>
    <t>Alilem</t>
  </si>
  <si>
    <t>Alimodian</t>
  </si>
  <si>
    <t>Isabela</t>
  </si>
  <si>
    <t>Alitagtag</t>
  </si>
  <si>
    <t>Kalinga</t>
  </si>
  <si>
    <t>Allacapan</t>
  </si>
  <si>
    <t>Allen</t>
  </si>
  <si>
    <t>Laguna</t>
  </si>
  <si>
    <t>Almagro</t>
  </si>
  <si>
    <t>Almeria</t>
  </si>
  <si>
    <t>Lanao del Sur</t>
  </si>
  <si>
    <t>Aloguinsan</t>
  </si>
  <si>
    <t>Aloran</t>
  </si>
  <si>
    <t>Maguindanao del Norte</t>
  </si>
  <si>
    <t>Altavas</t>
  </si>
  <si>
    <t>Maguindao del Sur</t>
  </si>
  <si>
    <t>Alubijid</t>
  </si>
  <si>
    <t>Marinduque</t>
  </si>
  <si>
    <t>Alvarez</t>
  </si>
  <si>
    <t>Masbate</t>
  </si>
  <si>
    <t>Amadeo</t>
  </si>
  <si>
    <t>Amai Manabilang</t>
  </si>
  <si>
    <t>Ambaguio</t>
  </si>
  <si>
    <t>Mountain Province</t>
  </si>
  <si>
    <t>Amlan</t>
  </si>
  <si>
    <t>Ampatuan</t>
  </si>
  <si>
    <t>Negros Oriental</t>
  </si>
  <si>
    <t>Amulung</t>
  </si>
  <si>
    <t>Northern Samar</t>
  </si>
  <si>
    <t>Anao</t>
  </si>
  <si>
    <t>Anda</t>
  </si>
  <si>
    <t>Occidental Mindoro</t>
  </si>
  <si>
    <t>Angadanan</t>
  </si>
  <si>
    <t>Oriental Mindoro</t>
  </si>
  <si>
    <t>Angat</t>
  </si>
  <si>
    <t>Palawan</t>
  </si>
  <si>
    <t>Angono</t>
  </si>
  <si>
    <t>Anilao</t>
  </si>
  <si>
    <t>Quezon</t>
  </si>
  <si>
    <t>Anini-y</t>
  </si>
  <si>
    <t>Antequera</t>
  </si>
  <si>
    <t>Antipas</t>
  </si>
  <si>
    <t>Romblon</t>
  </si>
  <si>
    <t>Apalit</t>
  </si>
  <si>
    <t>Siquijor</t>
  </si>
  <si>
    <t>Araceli</t>
  </si>
  <si>
    <t>Sorsogon</t>
  </si>
  <si>
    <t>Arakan</t>
  </si>
  <si>
    <t>Arayat</t>
  </si>
  <si>
    <t>Argao</t>
  </si>
  <si>
    <t>Sultan Kudarat</t>
  </si>
  <si>
    <t>Aringay</t>
  </si>
  <si>
    <t>Sulu</t>
  </si>
  <si>
    <t>Aritao</t>
  </si>
  <si>
    <t>Aroroy</t>
  </si>
  <si>
    <t>Surigao del Sur</t>
  </si>
  <si>
    <t>Arteche</t>
  </si>
  <si>
    <t>Tawi-Tawi</t>
  </si>
  <si>
    <t>Asingan</t>
  </si>
  <si>
    <t>Asipulo</t>
  </si>
  <si>
    <t>Asturias</t>
  </si>
  <si>
    <t>Asuncion</t>
  </si>
  <si>
    <t>Atimonan</t>
  </si>
  <si>
    <t>Atok</t>
  </si>
  <si>
    <t>Proseperidad</t>
  </si>
  <si>
    <t>Dagupan City</t>
  </si>
  <si>
    <t>Ayungon</t>
  </si>
  <si>
    <t>Daraga</t>
  </si>
  <si>
    <t>Baao</t>
  </si>
  <si>
    <t>Babatngon</t>
  </si>
  <si>
    <t>Bacacay</t>
  </si>
  <si>
    <t>General Trias</t>
  </si>
  <si>
    <t>Ubay</t>
  </si>
  <si>
    <t>Baclayon</t>
  </si>
  <si>
    <t>Bacnotan</t>
  </si>
  <si>
    <t>Koronadal City</t>
  </si>
  <si>
    <t>Baco</t>
  </si>
  <si>
    <t>Bacolod City</t>
  </si>
  <si>
    <t>General Santos</t>
  </si>
  <si>
    <t>Bacolod-Kalawi</t>
  </si>
  <si>
    <t>Bacolor</t>
  </si>
  <si>
    <t>North Cotabato</t>
  </si>
  <si>
    <t>Bacong</t>
  </si>
  <si>
    <t>Maguindanao</t>
  </si>
  <si>
    <t>Bacoor City</t>
  </si>
  <si>
    <t>Polomolok</t>
  </si>
  <si>
    <t>Bacuag</t>
  </si>
  <si>
    <t>Badian</t>
  </si>
  <si>
    <t>Badiangan</t>
  </si>
  <si>
    <t>Badoc</t>
  </si>
  <si>
    <t>Bagamanoc</t>
  </si>
  <si>
    <t>Tagoloan</t>
  </si>
  <si>
    <t>Valencia City</t>
  </si>
  <si>
    <t>Baganga</t>
  </si>
  <si>
    <t>Baggao</t>
  </si>
  <si>
    <t>Bago City</t>
  </si>
  <si>
    <t>Bagulin</t>
  </si>
  <si>
    <t>Bagumbayan</t>
  </si>
  <si>
    <t>Bais City</t>
  </si>
  <si>
    <t>Bakun</t>
  </si>
  <si>
    <t>Balabac</t>
  </si>
  <si>
    <t>Balabagan</t>
  </si>
  <si>
    <t>Balagtas</t>
  </si>
  <si>
    <t>Balamban</t>
  </si>
  <si>
    <t>Balangiga</t>
  </si>
  <si>
    <t>Balangkayan</t>
  </si>
  <si>
    <t>Balaoan</t>
  </si>
  <si>
    <t>Balasan</t>
  </si>
  <si>
    <t>Balatan</t>
  </si>
  <si>
    <t>Balayan</t>
  </si>
  <si>
    <t>Balbalan</t>
  </si>
  <si>
    <t>Baleno</t>
  </si>
  <si>
    <t>Baler</t>
  </si>
  <si>
    <t>Sipocot</t>
  </si>
  <si>
    <t>Balete</t>
  </si>
  <si>
    <t>Baliangao</t>
  </si>
  <si>
    <t>Baliguian</t>
  </si>
  <si>
    <t>Balilihan</t>
  </si>
  <si>
    <t>Balindong</t>
  </si>
  <si>
    <t>Balingasag</t>
  </si>
  <si>
    <t>Balingoan</t>
  </si>
  <si>
    <t>Baliuag</t>
  </si>
  <si>
    <t>Ballesteros</t>
  </si>
  <si>
    <t>Balo-i</t>
  </si>
  <si>
    <t>Balud</t>
  </si>
  <si>
    <t>Balungao</t>
  </si>
  <si>
    <t>Bamban</t>
  </si>
  <si>
    <t>Banac</t>
  </si>
  <si>
    <t>Banate</t>
  </si>
  <si>
    <t>Banaue</t>
  </si>
  <si>
    <t>Banaybanay</t>
  </si>
  <si>
    <t>Banayoyo</t>
  </si>
  <si>
    <t>Banga</t>
  </si>
  <si>
    <t>Bangar</t>
  </si>
  <si>
    <t>Bangui</t>
  </si>
  <si>
    <t>Banguingui</t>
  </si>
  <si>
    <t>Bani</t>
  </si>
  <si>
    <t>Banisilan</t>
  </si>
  <si>
    <t>Banna</t>
  </si>
  <si>
    <t>Bansalan</t>
  </si>
  <si>
    <t>Bansud</t>
  </si>
  <si>
    <t>Bantay</t>
  </si>
  <si>
    <t>Bantayan</t>
  </si>
  <si>
    <t>Banton</t>
  </si>
  <si>
    <t>Baras</t>
  </si>
  <si>
    <t>Barbaza</t>
  </si>
  <si>
    <t>Barcelona</t>
  </si>
  <si>
    <t>Barili</t>
  </si>
  <si>
    <t>Barira</t>
  </si>
  <si>
    <t>Barlig</t>
  </si>
  <si>
    <t>Barobo</t>
  </si>
  <si>
    <t>Barotac Nuevo</t>
  </si>
  <si>
    <t>Barotac Viejo</t>
  </si>
  <si>
    <t>Baroy</t>
  </si>
  <si>
    <t>Barugo</t>
  </si>
  <si>
    <t>Basay</t>
  </si>
  <si>
    <t>Basco</t>
  </si>
  <si>
    <t>Basey</t>
  </si>
  <si>
    <t>Basilisa</t>
  </si>
  <si>
    <t>Basista</t>
  </si>
  <si>
    <t>Basud</t>
  </si>
  <si>
    <t>Batad</t>
  </si>
  <si>
    <t>Batan</t>
  </si>
  <si>
    <t>Bataraza</t>
  </si>
  <si>
    <t>Bato</t>
  </si>
  <si>
    <t>Batuan</t>
  </si>
  <si>
    <t>Bauan</t>
  </si>
  <si>
    <t>Bauang</t>
  </si>
  <si>
    <t>Bauko</t>
  </si>
  <si>
    <t>Baungon</t>
  </si>
  <si>
    <t>Bautista</t>
  </si>
  <si>
    <t>Bay</t>
  </si>
  <si>
    <t>Bayabas</t>
  </si>
  <si>
    <t>Bayang</t>
  </si>
  <si>
    <t>Bayawan City</t>
  </si>
  <si>
    <t>Baybay City</t>
  </si>
  <si>
    <t>Bayog</t>
  </si>
  <si>
    <t>Bayugan City</t>
  </si>
  <si>
    <t>Belison</t>
  </si>
  <si>
    <t>Benito Soliven</t>
  </si>
  <si>
    <t>Besao</t>
  </si>
  <si>
    <t>Bien Unido</t>
  </si>
  <si>
    <t>Bilar</t>
  </si>
  <si>
    <t>Binalbagan</t>
  </si>
  <si>
    <t>Binalonan</t>
  </si>
  <si>
    <t>Biñan City</t>
  </si>
  <si>
    <t>Binangonan</t>
  </si>
  <si>
    <t>Bindoy</t>
  </si>
  <si>
    <t>Bingawan</t>
  </si>
  <si>
    <t>Binidayan</t>
  </si>
  <si>
    <t>Binmaley</t>
  </si>
  <si>
    <t>Binuangan</t>
  </si>
  <si>
    <t>Biri</t>
  </si>
  <si>
    <t>Bislig City</t>
  </si>
  <si>
    <t>Boac</t>
  </si>
  <si>
    <t>Bobon</t>
  </si>
  <si>
    <t>Bocaue</t>
  </si>
  <si>
    <t>Bogo City</t>
  </si>
  <si>
    <t>Bokod</t>
  </si>
  <si>
    <t>Bolinao</t>
  </si>
  <si>
    <t>Boliney</t>
  </si>
  <si>
    <t>Boljoon</t>
  </si>
  <si>
    <t>Bombon</t>
  </si>
  <si>
    <t>Bongabong</t>
  </si>
  <si>
    <t>Bongao</t>
  </si>
  <si>
    <t>Bonifacio</t>
  </si>
  <si>
    <t>Bontoc</t>
  </si>
  <si>
    <t>Borbon</t>
  </si>
  <si>
    <t>Borongan City</t>
  </si>
  <si>
    <t>Boston</t>
  </si>
  <si>
    <t>Botolan</t>
  </si>
  <si>
    <t>Braulio E. Dujali</t>
  </si>
  <si>
    <t>Brooke's Point</t>
  </si>
  <si>
    <t>Buadiposo-Buntong</t>
  </si>
  <si>
    <t>Bubong</t>
  </si>
  <si>
    <t>Bucay</t>
  </si>
  <si>
    <t>Bucloc</t>
  </si>
  <si>
    <t>Buenavista</t>
  </si>
  <si>
    <t>Bugallon</t>
  </si>
  <si>
    <t>Bugasong</t>
  </si>
  <si>
    <t>Buguias</t>
  </si>
  <si>
    <t>Bula</t>
  </si>
  <si>
    <t>Bulakan</t>
  </si>
  <si>
    <t>Bulalacao</t>
  </si>
  <si>
    <t>Bulan</t>
  </si>
  <si>
    <t>Buldon</t>
  </si>
  <si>
    <t>Buluan</t>
  </si>
  <si>
    <t>Bulusan</t>
  </si>
  <si>
    <t>Bunawan</t>
  </si>
  <si>
    <t>Burauen</t>
  </si>
  <si>
    <t>Burdeos</t>
  </si>
  <si>
    <t>Buruanga</t>
  </si>
  <si>
    <t>Bustos</t>
  </si>
  <si>
    <t>Busuanga</t>
  </si>
  <si>
    <t>Butig</t>
  </si>
  <si>
    <t>Buug</t>
  </si>
  <si>
    <t>Caba</t>
  </si>
  <si>
    <t>Cabadbaran City</t>
  </si>
  <si>
    <t>Cabagan</t>
  </si>
  <si>
    <t>Cabangan</t>
  </si>
  <si>
    <t>Cabanglasan</t>
  </si>
  <si>
    <t>Cabatuan</t>
  </si>
  <si>
    <t>Cabiao</t>
  </si>
  <si>
    <t>Cabucgayan</t>
  </si>
  <si>
    <t>Cabugao</t>
  </si>
  <si>
    <t>Cabusao</t>
  </si>
  <si>
    <t>Cabuyao City</t>
  </si>
  <si>
    <t>Cadiz City</t>
  </si>
  <si>
    <t>Cagayancillo</t>
  </si>
  <si>
    <t>Cagdianao</t>
  </si>
  <si>
    <t>Cagwait</t>
  </si>
  <si>
    <t>Caibiran</t>
  </si>
  <si>
    <t>Cainta</t>
  </si>
  <si>
    <t>Cajidiocan</t>
  </si>
  <si>
    <t>Calabanga</t>
  </si>
  <si>
    <t>Calaca</t>
  </si>
  <si>
    <t>Calamba City</t>
  </si>
  <si>
    <t>Calanasan</t>
  </si>
  <si>
    <t>Calanogas</t>
  </si>
  <si>
    <t>Calapan City</t>
  </si>
  <si>
    <t>Calape</t>
  </si>
  <si>
    <t>Calasiao</t>
  </si>
  <si>
    <t>Calatagan</t>
  </si>
  <si>
    <t>Calatrava</t>
  </si>
  <si>
    <t>Calauag</t>
  </si>
  <si>
    <t>Calauan</t>
  </si>
  <si>
    <t>Calayan</t>
  </si>
  <si>
    <t>Calbayog City</t>
  </si>
  <si>
    <t>Calbiga</t>
  </si>
  <si>
    <t>Calinog</t>
  </si>
  <si>
    <t>Calintaan</t>
  </si>
  <si>
    <t>Caloocan City</t>
  </si>
  <si>
    <t>Calubian</t>
  </si>
  <si>
    <t>Calumpit</t>
  </si>
  <si>
    <t>Caluya</t>
  </si>
  <si>
    <t>Camalaniugan</t>
  </si>
  <si>
    <t>Camalig</t>
  </si>
  <si>
    <t>Camaligan</t>
  </si>
  <si>
    <t>Camiling</t>
  </si>
  <si>
    <t>Can-avid</t>
  </si>
  <si>
    <t>Canaman</t>
  </si>
  <si>
    <t>Candaba</t>
  </si>
  <si>
    <t>Candelaria</t>
  </si>
  <si>
    <t>Candijay</t>
  </si>
  <si>
    <t>Candon City</t>
  </si>
  <si>
    <t>Candoni</t>
  </si>
  <si>
    <t>Canlaon City</t>
  </si>
  <si>
    <t>Cantilan</t>
  </si>
  <si>
    <t>Caoayan</t>
  </si>
  <si>
    <t>Capalonga</t>
  </si>
  <si>
    <t>Capas</t>
  </si>
  <si>
    <t>Capoocan</t>
  </si>
  <si>
    <t>Capul</t>
  </si>
  <si>
    <t>Caraga</t>
  </si>
  <si>
    <t>Caramoan</t>
  </si>
  <si>
    <t>Caramoran</t>
  </si>
  <si>
    <t>Carasi</t>
  </si>
  <si>
    <t>Carcar City</t>
  </si>
  <si>
    <t>Cardona</t>
  </si>
  <si>
    <t>Carigara</t>
  </si>
  <si>
    <t>Carles</t>
  </si>
  <si>
    <t>Carmen</t>
  </si>
  <si>
    <t>Carmona</t>
  </si>
  <si>
    <t>Carranglan</t>
  </si>
  <si>
    <t>Carrascal</t>
  </si>
  <si>
    <t>Casiguran</t>
  </si>
  <si>
    <t>Castilla</t>
  </si>
  <si>
    <t>Castillejos</t>
  </si>
  <si>
    <t>Cataingan</t>
  </si>
  <si>
    <t>Catanauan</t>
  </si>
  <si>
    <t>Catarman</t>
  </si>
  <si>
    <t>Catbalogan City</t>
  </si>
  <si>
    <t>Cateel</t>
  </si>
  <si>
    <t>Catigbian</t>
  </si>
  <si>
    <t>Catmon</t>
  </si>
  <si>
    <t>Catubig</t>
  </si>
  <si>
    <t>Cauayan City</t>
  </si>
  <si>
    <t>Cavinti</t>
  </si>
  <si>
    <t>Cavite City</t>
  </si>
  <si>
    <t>Cawayan</t>
  </si>
  <si>
    <t>Cervantes</t>
  </si>
  <si>
    <t>Clarin</t>
  </si>
  <si>
    <t>Claver</t>
  </si>
  <si>
    <t>Claveria</t>
  </si>
  <si>
    <t>Columbio</t>
  </si>
  <si>
    <t>Compostela</t>
  </si>
  <si>
    <t>Conner</t>
  </si>
  <si>
    <t>Consolacion</t>
  </si>
  <si>
    <t>Corcuera</t>
  </si>
  <si>
    <t>Cordon</t>
  </si>
  <si>
    <t>Cordova</t>
  </si>
  <si>
    <t>Corella</t>
  </si>
  <si>
    <t>Coron</t>
  </si>
  <si>
    <t>Cortes</t>
  </si>
  <si>
    <t>Cotabato City</t>
  </si>
  <si>
    <t>Cuartero</t>
  </si>
  <si>
    <t>Cuenca</t>
  </si>
  <si>
    <t>Culaba</t>
  </si>
  <si>
    <t>Culasi</t>
  </si>
  <si>
    <t>Culion</t>
  </si>
  <si>
    <t>Currimao</t>
  </si>
  <si>
    <t>Cuyapo</t>
  </si>
  <si>
    <t>Cuyo</t>
  </si>
  <si>
    <t>Daanbantayan</t>
  </si>
  <si>
    <t>Daet</t>
  </si>
  <si>
    <t>Dagami</t>
  </si>
  <si>
    <t>Dagohoy</t>
  </si>
  <si>
    <t>Dalaguete</t>
  </si>
  <si>
    <t>Damulog</t>
  </si>
  <si>
    <t>Danao City</t>
  </si>
  <si>
    <t>Dangcagan</t>
  </si>
  <si>
    <t>Danglas</t>
  </si>
  <si>
    <t>Dao</t>
  </si>
  <si>
    <t>Dapa</t>
  </si>
  <si>
    <t>Dapitan City</t>
  </si>
  <si>
    <t>Daram</t>
  </si>
  <si>
    <t>Dasol</t>
  </si>
  <si>
    <t>Datu Abdullah Sangki</t>
  </si>
  <si>
    <t>Datu Anggal Midtimbang</t>
  </si>
  <si>
    <t>Datu Blah T. Sinsuat</t>
  </si>
  <si>
    <t>Datu Hoffer Ampatuan</t>
  </si>
  <si>
    <t>Datu Montawal</t>
  </si>
  <si>
    <t>Datu Odin Sinsuat</t>
  </si>
  <si>
    <t>Datu Paglas</t>
  </si>
  <si>
    <t>Datu Piang</t>
  </si>
  <si>
    <t>Datu Salibo</t>
  </si>
  <si>
    <t>Datu Saudi-Ampatuan</t>
  </si>
  <si>
    <t>Datu Unsay</t>
  </si>
  <si>
    <t>Dauin</t>
  </si>
  <si>
    <t>Dauis</t>
  </si>
  <si>
    <t>Del Gallego</t>
  </si>
  <si>
    <t>Delfin Albano</t>
  </si>
  <si>
    <t>Diadi</t>
  </si>
  <si>
    <t>Digos City</t>
  </si>
  <si>
    <t>Dilasag</t>
  </si>
  <si>
    <t>Dimasalang</t>
  </si>
  <si>
    <t>Dimataling</t>
  </si>
  <si>
    <t>Dimiao</t>
  </si>
  <si>
    <t>Dinagat</t>
  </si>
  <si>
    <t>Dinalungan</t>
  </si>
  <si>
    <t>Dinalupihan</t>
  </si>
  <si>
    <t>Dinapigue</t>
  </si>
  <si>
    <t>Dinas</t>
  </si>
  <si>
    <t>Dingalan</t>
  </si>
  <si>
    <t>Dingle</t>
  </si>
  <si>
    <t>Dingras</t>
  </si>
  <si>
    <t>Dipaculao</t>
  </si>
  <si>
    <t>Diplahan</t>
  </si>
  <si>
    <t>Dipolog City</t>
  </si>
  <si>
    <t>Ditsaan-Ramain</t>
  </si>
  <si>
    <t>Divilacan</t>
  </si>
  <si>
    <t>Dolores</t>
  </si>
  <si>
    <t>Don Carlos</t>
  </si>
  <si>
    <t>Don Marcelino</t>
  </si>
  <si>
    <t>Don Victoriano Chiongbian</t>
  </si>
  <si>
    <t>Doña Remedios Trinidad</t>
  </si>
  <si>
    <t>Donsol</t>
  </si>
  <si>
    <t>Dueñas</t>
  </si>
  <si>
    <t>Duero</t>
  </si>
  <si>
    <t>Dulag</t>
  </si>
  <si>
    <t>Dumaguete City</t>
  </si>
  <si>
    <t>Dumalag</t>
  </si>
  <si>
    <t>Dumalinao</t>
  </si>
  <si>
    <t>Dumangas</t>
  </si>
  <si>
    <t>Dumanjug</t>
  </si>
  <si>
    <t>Dumaran</t>
  </si>
  <si>
    <t>Dumarao</t>
  </si>
  <si>
    <t>Dumingag</t>
  </si>
  <si>
    <t>Dupax del Norte</t>
  </si>
  <si>
    <t>Dupax del Sur</t>
  </si>
  <si>
    <t>Echague</t>
  </si>
  <si>
    <t>El Nido</t>
  </si>
  <si>
    <t>El Salvador City</t>
  </si>
  <si>
    <t>Enrile</t>
  </si>
  <si>
    <t>Enrique B. Magalona</t>
  </si>
  <si>
    <t>Enrique Villanueva</t>
  </si>
  <si>
    <t>Escalante City</t>
  </si>
  <si>
    <t>Esperanza</t>
  </si>
  <si>
    <t>Estancia</t>
  </si>
  <si>
    <t>Famy</t>
  </si>
  <si>
    <t>Ferrol</t>
  </si>
  <si>
    <t>Flora</t>
  </si>
  <si>
    <t>Floridablanca</t>
  </si>
  <si>
    <t>Gabaldon</t>
  </si>
  <si>
    <t>Gainza</t>
  </si>
  <si>
    <t>Galimuyod</t>
  </si>
  <si>
    <t>Gamay</t>
  </si>
  <si>
    <t>Gamu</t>
  </si>
  <si>
    <t>Ganassi</t>
  </si>
  <si>
    <t>Gandara</t>
  </si>
  <si>
    <t>Gapan City</t>
  </si>
  <si>
    <t>Garchitorena</t>
  </si>
  <si>
    <t>Garcia Hernandez</t>
  </si>
  <si>
    <t>Gasan</t>
  </si>
  <si>
    <t>Gattaran</t>
  </si>
  <si>
    <t>General Emilio Aguinaldo</t>
  </si>
  <si>
    <t>General MacArthur</t>
  </si>
  <si>
    <t>General Mamerto Natividad</t>
  </si>
  <si>
    <t>General Mariano Alvarez</t>
  </si>
  <si>
    <t>General Nakar</t>
  </si>
  <si>
    <t>General Salipada K. Pendatun</t>
  </si>
  <si>
    <t>General Santos City</t>
  </si>
  <si>
    <t>General Tinio</t>
  </si>
  <si>
    <t>General Trias City</t>
  </si>
  <si>
    <t>Gerona</t>
  </si>
  <si>
    <t>Getafe</t>
  </si>
  <si>
    <t>Gigaquit</t>
  </si>
  <si>
    <t>Gigmoto</t>
  </si>
  <si>
    <t>Ginatilan</t>
  </si>
  <si>
    <t>Gingoog City</t>
  </si>
  <si>
    <t>Giporlos</t>
  </si>
  <si>
    <t>Gitagum</t>
  </si>
  <si>
    <t>Glan</t>
  </si>
  <si>
    <t>Gloria</t>
  </si>
  <si>
    <t>Goa</t>
  </si>
  <si>
    <t>Godod</t>
  </si>
  <si>
    <t>Gonzaga</t>
  </si>
  <si>
    <t>Governor Generoso</t>
  </si>
  <si>
    <t>Gregorio del Pilar</t>
  </si>
  <si>
    <t>Guagua</t>
  </si>
  <si>
    <t>Gubat</t>
  </si>
  <si>
    <t>Guiguinto</t>
  </si>
  <si>
    <t>Guihulngan City</t>
  </si>
  <si>
    <t>Guimba</t>
  </si>
  <si>
    <t>Guimbal</t>
  </si>
  <si>
    <t>Guinayangan</t>
  </si>
  <si>
    <t>Guindulman</t>
  </si>
  <si>
    <t>Guindulungan</t>
  </si>
  <si>
    <t>Guinobatan</t>
  </si>
  <si>
    <t>Guinsiliban</t>
  </si>
  <si>
    <t>Guipos</t>
  </si>
  <si>
    <t>Guiuan</t>
  </si>
  <si>
    <t>Gumaca</t>
  </si>
  <si>
    <t>Gutalac</t>
  </si>
  <si>
    <t>Hadji Mohammad Ajul</t>
  </si>
  <si>
    <t>Hadji Muhtamad</t>
  </si>
  <si>
    <t>Hadji Panglima Tahil</t>
  </si>
  <si>
    <t>Hagonoy</t>
  </si>
  <si>
    <t>Hamtic</t>
  </si>
  <si>
    <t>Hermosa</t>
  </si>
  <si>
    <t>Hernani</t>
  </si>
  <si>
    <t>Hilongos</t>
  </si>
  <si>
    <t>Himamaylan City</t>
  </si>
  <si>
    <t>Hinabangan</t>
  </si>
  <si>
    <t>Hinatuan</t>
  </si>
  <si>
    <t>Hindang</t>
  </si>
  <si>
    <t>Hingyon</t>
  </si>
  <si>
    <t>Hinigaran</t>
  </si>
  <si>
    <t>Hinoba-an</t>
  </si>
  <si>
    <t>Hinunangan</t>
  </si>
  <si>
    <t>Hinundayan</t>
  </si>
  <si>
    <t>Hungduan</t>
  </si>
  <si>
    <t>Iba</t>
  </si>
  <si>
    <t>Ibaan</t>
  </si>
  <si>
    <t>Ibajay</t>
  </si>
  <si>
    <t>Igbaras</t>
  </si>
  <si>
    <t>Iguig</t>
  </si>
  <si>
    <t>Ilagan City</t>
  </si>
  <si>
    <t>Iligan City</t>
  </si>
  <si>
    <t>Ilog</t>
  </si>
  <si>
    <t>Imelda</t>
  </si>
  <si>
    <t>Impasugong</t>
  </si>
  <si>
    <t>Imus City</t>
  </si>
  <si>
    <t>Inabanga</t>
  </si>
  <si>
    <t>Indanan</t>
  </si>
  <si>
    <t>Indang</t>
  </si>
  <si>
    <t>Infanta</t>
  </si>
  <si>
    <t>Initao</t>
  </si>
  <si>
    <t>Inopacan</t>
  </si>
  <si>
    <t>Ipil</t>
  </si>
  <si>
    <t>Iriga City</t>
  </si>
  <si>
    <t>Irosin</t>
  </si>
  <si>
    <t>Isabel</t>
  </si>
  <si>
    <t>Isabela City</t>
  </si>
  <si>
    <t>Isulan</t>
  </si>
  <si>
    <t>Itbayat</t>
  </si>
  <si>
    <t>Itogon</t>
  </si>
  <si>
    <t>Ivana</t>
  </si>
  <si>
    <t>Ivisan</t>
  </si>
  <si>
    <t>Jabonga</t>
  </si>
  <si>
    <t>Jaen</t>
  </si>
  <si>
    <t>Jagna</t>
  </si>
  <si>
    <t>Jalajala</t>
  </si>
  <si>
    <t>Jamindan</t>
  </si>
  <si>
    <t>Janiuay</t>
  </si>
  <si>
    <t>Jaro</t>
  </si>
  <si>
    <t>Jasaan</t>
  </si>
  <si>
    <t>Javier</t>
  </si>
  <si>
    <t>Jiabong</t>
  </si>
  <si>
    <t>Jimalalud</t>
  </si>
  <si>
    <t>Jimenez</t>
  </si>
  <si>
    <t>Jipapad</t>
  </si>
  <si>
    <t>Jolo</t>
  </si>
  <si>
    <t>Jomalig</t>
  </si>
  <si>
    <t>Jones</t>
  </si>
  <si>
    <t>Jordan</t>
  </si>
  <si>
    <t>Jose Abad Santos</t>
  </si>
  <si>
    <t>Jose Dalman</t>
  </si>
  <si>
    <t>Jose Panganiban</t>
  </si>
  <si>
    <t>Josefina</t>
  </si>
  <si>
    <t>Jovellar</t>
  </si>
  <si>
    <t>Juban</t>
  </si>
  <si>
    <t>Julita</t>
  </si>
  <si>
    <t>Kabacan</t>
  </si>
  <si>
    <t>Kabankalan City</t>
  </si>
  <si>
    <t>Kabasalan</t>
  </si>
  <si>
    <t>Kabayan</t>
  </si>
  <si>
    <t>Kabugao</t>
  </si>
  <si>
    <t>Kabuntalan</t>
  </si>
  <si>
    <t>Kadingilan</t>
  </si>
  <si>
    <t>Kalamansig</t>
  </si>
  <si>
    <t>Kalayaan</t>
  </si>
  <si>
    <t>Kalibo</t>
  </si>
  <si>
    <t>Kalilangan</t>
  </si>
  <si>
    <t>Kalingalan Caluang</t>
  </si>
  <si>
    <t>Kananga</t>
  </si>
  <si>
    <t>Kapai</t>
  </si>
  <si>
    <t>Kapalong</t>
  </si>
  <si>
    <t>Kapangan</t>
  </si>
  <si>
    <t>Kapatagan</t>
  </si>
  <si>
    <t>Kasibu</t>
  </si>
  <si>
    <t>Katipunan</t>
  </si>
  <si>
    <t>Kauswagan</t>
  </si>
  <si>
    <t>Kawayan</t>
  </si>
  <si>
    <t>Kawit</t>
  </si>
  <si>
    <t>Kayapa</t>
  </si>
  <si>
    <t>Kiamba</t>
  </si>
  <si>
    <t>Kiangan</t>
  </si>
  <si>
    <t>Kibawe</t>
  </si>
  <si>
    <t>Kiblawan</t>
  </si>
  <si>
    <t>Kibungan</t>
  </si>
  <si>
    <t>Kidapawan City</t>
  </si>
  <si>
    <t>Kinoguitan</t>
  </si>
  <si>
    <t>Kitaotao</t>
  </si>
  <si>
    <t>Kitcharao</t>
  </si>
  <si>
    <t>Kolambugan</t>
  </si>
  <si>
    <t>Kumalarang</t>
  </si>
  <si>
    <t>La Carlota City</t>
  </si>
  <si>
    <t>La Castellana</t>
  </si>
  <si>
    <t>La Libertad</t>
  </si>
  <si>
    <t>Laak</t>
  </si>
  <si>
    <t>Labangan</t>
  </si>
  <si>
    <t>Labason</t>
  </si>
  <si>
    <t>Labo</t>
  </si>
  <si>
    <t>Labrador</t>
  </si>
  <si>
    <t>Lacub</t>
  </si>
  <si>
    <t>Lagangilang</t>
  </si>
  <si>
    <t>Lagawe</t>
  </si>
  <si>
    <t>Lagayan</t>
  </si>
  <si>
    <t>Lagonglong</t>
  </si>
  <si>
    <t>Lagonoy</t>
  </si>
  <si>
    <t>Laguindingan</t>
  </si>
  <si>
    <t>Lakewood</t>
  </si>
  <si>
    <t>Lal-lo</t>
  </si>
  <si>
    <t>Lala</t>
  </si>
  <si>
    <t>Lambayong</t>
  </si>
  <si>
    <t>Lambunao</t>
  </si>
  <si>
    <t>Lamitan City</t>
  </si>
  <si>
    <t>Lamut</t>
  </si>
  <si>
    <t>Langiden</t>
  </si>
  <si>
    <t>Languyan</t>
  </si>
  <si>
    <t>Lantapan</t>
  </si>
  <si>
    <t>Lantawan</t>
  </si>
  <si>
    <t>Lanuza</t>
  </si>
  <si>
    <t>Laoac</t>
  </si>
  <si>
    <t>Laoag City</t>
  </si>
  <si>
    <t>Laoang</t>
  </si>
  <si>
    <t>Lapinig</t>
  </si>
  <si>
    <t>Lapu-Lapu City</t>
  </si>
  <si>
    <t>Lapuyan</t>
  </si>
  <si>
    <t>Larena</t>
  </si>
  <si>
    <t>Las Navas</t>
  </si>
  <si>
    <t>Las Nieves</t>
  </si>
  <si>
    <t>Las Piñas City</t>
  </si>
  <si>
    <t>Lasam</t>
  </si>
  <si>
    <t>Laua-an</t>
  </si>
  <si>
    <t>Laur</t>
  </si>
  <si>
    <t>Laurel</t>
  </si>
  <si>
    <t>Lavezares</t>
  </si>
  <si>
    <t>Lawaan</t>
  </si>
  <si>
    <t>Lazi</t>
  </si>
  <si>
    <t>Lebak</t>
  </si>
  <si>
    <t>Leganes</t>
  </si>
  <si>
    <t>Legazpi City</t>
  </si>
  <si>
    <t>Lemery</t>
  </si>
  <si>
    <t>Leon</t>
  </si>
  <si>
    <t>Leon B. Postigo</t>
  </si>
  <si>
    <t>Lezo</t>
  </si>
  <si>
    <t>Lian</t>
  </si>
  <si>
    <t>Lianga</t>
  </si>
  <si>
    <t>Libacao</t>
  </si>
  <si>
    <t>Libagon</t>
  </si>
  <si>
    <t>Libertad</t>
  </si>
  <si>
    <t>Libjo</t>
  </si>
  <si>
    <t>Libmanan</t>
  </si>
  <si>
    <t>Libon</t>
  </si>
  <si>
    <t>Libona</t>
  </si>
  <si>
    <t>Libungan</t>
  </si>
  <si>
    <t>Licab</t>
  </si>
  <si>
    <t>Licuan-Baay</t>
  </si>
  <si>
    <t>Lidlidda</t>
  </si>
  <si>
    <t>Ligao City</t>
  </si>
  <si>
    <t>Lila</t>
  </si>
  <si>
    <t>Liliw</t>
  </si>
  <si>
    <t>Liloy</t>
  </si>
  <si>
    <t>Limasawa</t>
  </si>
  <si>
    <t>Linamon</t>
  </si>
  <si>
    <t>Linapacan</t>
  </si>
  <si>
    <t>Lingayen</t>
  </si>
  <si>
    <t>Lingig</t>
  </si>
  <si>
    <t>Llanera</t>
  </si>
  <si>
    <t>Llorente</t>
  </si>
  <si>
    <t>Loay</t>
  </si>
  <si>
    <t>Lobo</t>
  </si>
  <si>
    <t>Loboc</t>
  </si>
  <si>
    <t>Looc</t>
  </si>
  <si>
    <t>Loon</t>
  </si>
  <si>
    <t>Lope de Vega</t>
  </si>
  <si>
    <t>Lopez</t>
  </si>
  <si>
    <t>Lopez Jaena</t>
  </si>
  <si>
    <t>Loreto</t>
  </si>
  <si>
    <t>Los Baños</t>
  </si>
  <si>
    <t>Luba</t>
  </si>
  <si>
    <t>Lubang</t>
  </si>
  <si>
    <t>Lubao</t>
  </si>
  <si>
    <t>Lubuagan</t>
  </si>
  <si>
    <t>Lucban</t>
  </si>
  <si>
    <t>Lucena City</t>
  </si>
  <si>
    <t>Lugait</t>
  </si>
  <si>
    <t>Lugus</t>
  </si>
  <si>
    <t>Luisiana</t>
  </si>
  <si>
    <t>Lumba-Bayabao</t>
  </si>
  <si>
    <t>Lumbaca-Unayan</t>
  </si>
  <si>
    <t>Lumban</t>
  </si>
  <si>
    <t>Lumbatan</t>
  </si>
  <si>
    <t>Lumbayanague</t>
  </si>
  <si>
    <t>Lupi</t>
  </si>
  <si>
    <t>Lutayan</t>
  </si>
  <si>
    <t>Luuk</t>
  </si>
  <si>
    <t>M'lang</t>
  </si>
  <si>
    <t>Ma-ayon</t>
  </si>
  <si>
    <t>Maasim</t>
  </si>
  <si>
    <t>Mabalacat City</t>
  </si>
  <si>
    <t>Mabinay</t>
  </si>
  <si>
    <t>Mabini</t>
  </si>
  <si>
    <t>Mabitac</t>
  </si>
  <si>
    <t>Mabuhay</t>
  </si>
  <si>
    <t>Macabebe</t>
  </si>
  <si>
    <t>Macalelon</t>
  </si>
  <si>
    <t>Maco</t>
  </si>
  <si>
    <t>Maconacon</t>
  </si>
  <si>
    <t>Macrohon</t>
  </si>
  <si>
    <t>Madalag</t>
  </si>
  <si>
    <t>Madalum</t>
  </si>
  <si>
    <t>Madamba</t>
  </si>
  <si>
    <t>Maddela</t>
  </si>
  <si>
    <t>Madrid</t>
  </si>
  <si>
    <t>Madridejos</t>
  </si>
  <si>
    <t>Magalang</t>
  </si>
  <si>
    <t>Magallanes</t>
  </si>
  <si>
    <t>Magarao</t>
  </si>
  <si>
    <t>Magdalena</t>
  </si>
  <si>
    <t>Magdiwang</t>
  </si>
  <si>
    <t>Magpet</t>
  </si>
  <si>
    <t>Magsaysay</t>
  </si>
  <si>
    <t>Magsingal</t>
  </si>
  <si>
    <t>Maguing</t>
  </si>
  <si>
    <t>Mahatao</t>
  </si>
  <si>
    <t>Mahayag</t>
  </si>
  <si>
    <t>Mahinog</t>
  </si>
  <si>
    <t>Maigo</t>
  </si>
  <si>
    <t>Maimbung</t>
  </si>
  <si>
    <t>Mainit</t>
  </si>
  <si>
    <t>Maitum</t>
  </si>
  <si>
    <t>Majayjay</t>
  </si>
  <si>
    <t>Makato</t>
  </si>
  <si>
    <t>Makilala</t>
  </si>
  <si>
    <t>Malabang</t>
  </si>
  <si>
    <t>Malabon City</t>
  </si>
  <si>
    <t>Malabuyoc</t>
  </si>
  <si>
    <t>Malalag</t>
  </si>
  <si>
    <t>Malangas</t>
  </si>
  <si>
    <t>Malapatan</t>
  </si>
  <si>
    <t>Malasiqui</t>
  </si>
  <si>
    <t>Malay</t>
  </si>
  <si>
    <t>Malaybalay City</t>
  </si>
  <si>
    <t>Malibcong</t>
  </si>
  <si>
    <t>Malimono</t>
  </si>
  <si>
    <t>Malinao</t>
  </si>
  <si>
    <t>Mallig</t>
  </si>
  <si>
    <t>Malolos City</t>
  </si>
  <si>
    <t>Malungon</t>
  </si>
  <si>
    <t>Maluso</t>
  </si>
  <si>
    <t>Malvar</t>
  </si>
  <si>
    <t>Mamasapano</t>
  </si>
  <si>
    <t>Mambajao</t>
  </si>
  <si>
    <t>Mamburao</t>
  </si>
  <si>
    <t>Mambusao</t>
  </si>
  <si>
    <t>Manabo</t>
  </si>
  <si>
    <t>Manaoag</t>
  </si>
  <si>
    <t>Manapla</t>
  </si>
  <si>
    <t>Manay</t>
  </si>
  <si>
    <t>Mandaon</t>
  </si>
  <si>
    <t>Mangaldan</t>
  </si>
  <si>
    <t>Mangatarem</t>
  </si>
  <si>
    <t>Mangudadatu</t>
  </si>
  <si>
    <t>Manito</t>
  </si>
  <si>
    <t>Manjuyod</t>
  </si>
  <si>
    <t>Mankayan</t>
  </si>
  <si>
    <t>Manolo Fortich</t>
  </si>
  <si>
    <t>Mansalay</t>
  </si>
  <si>
    <t>Manticao</t>
  </si>
  <si>
    <t>Manukan</t>
  </si>
  <si>
    <t>Mapanas</t>
  </si>
  <si>
    <t>Mapandan</t>
  </si>
  <si>
    <t>Mapun</t>
  </si>
  <si>
    <t>Marabut</t>
  </si>
  <si>
    <t>Maragondon</t>
  </si>
  <si>
    <t>Maragusan</t>
  </si>
  <si>
    <t>Maramag</t>
  </si>
  <si>
    <t>Marantao</t>
  </si>
  <si>
    <t>Marawi City</t>
  </si>
  <si>
    <t>Marcos</t>
  </si>
  <si>
    <t>Margosatubig</t>
  </si>
  <si>
    <t>Maria</t>
  </si>
  <si>
    <t>Maria Aurora</t>
  </si>
  <si>
    <t>Maribojoc</t>
  </si>
  <si>
    <t>Marihatag</t>
  </si>
  <si>
    <t>Marilao</t>
  </si>
  <si>
    <t>Maripipi</t>
  </si>
  <si>
    <t>Mariveles</t>
  </si>
  <si>
    <t>Marogong</t>
  </si>
  <si>
    <t>Masantol</t>
  </si>
  <si>
    <t>Masbate City</t>
  </si>
  <si>
    <t>Masinloc</t>
  </si>
  <si>
    <t>Masiu</t>
  </si>
  <si>
    <t>Maslog</t>
  </si>
  <si>
    <t>Mataasnakahoy</t>
  </si>
  <si>
    <t>Matag-ob</t>
  </si>
  <si>
    <t>Matalam</t>
  </si>
  <si>
    <t>Matalom</t>
  </si>
  <si>
    <t>Matanao</t>
  </si>
  <si>
    <t>Matanog</t>
  </si>
  <si>
    <t>Matnog</t>
  </si>
  <si>
    <t>Matuguinao</t>
  </si>
  <si>
    <t>Matungao</t>
  </si>
  <si>
    <t>Mauban</t>
  </si>
  <si>
    <t>Mawab</t>
  </si>
  <si>
    <t>Mayamot</t>
  </si>
  <si>
    <t>Mayantoc</t>
  </si>
  <si>
    <t>Maydolong</t>
  </si>
  <si>
    <t>Mayorga</t>
  </si>
  <si>
    <t>Mayoyao</t>
  </si>
  <si>
    <t>Medellin</t>
  </si>
  <si>
    <t>Medina</t>
  </si>
  <si>
    <t>Mendez</t>
  </si>
  <si>
    <t>Mercedes</t>
  </si>
  <si>
    <t>Merida</t>
  </si>
  <si>
    <t>Mexico</t>
  </si>
  <si>
    <t>Meycauayan City</t>
  </si>
  <si>
    <t>Miagao</t>
  </si>
  <si>
    <t>Midsalip</t>
  </si>
  <si>
    <t>Midsayap</t>
  </si>
  <si>
    <t>Milagros</t>
  </si>
  <si>
    <t>Milaor</t>
  </si>
  <si>
    <t>Mina</t>
  </si>
  <si>
    <t>Minalabac</t>
  </si>
  <si>
    <t>Minalin</t>
  </si>
  <si>
    <t>Minglanilla</t>
  </si>
  <si>
    <t>Moalboal</t>
  </si>
  <si>
    <t>Mobo</t>
  </si>
  <si>
    <t>Mogpog</t>
  </si>
  <si>
    <t>Moises Padilla</t>
  </si>
  <si>
    <t>Moncada</t>
  </si>
  <si>
    <t>Mondragon</t>
  </si>
  <si>
    <t>Monkayo</t>
  </si>
  <si>
    <t>Monreal</t>
  </si>
  <si>
    <t>Montalban</t>
  </si>
  <si>
    <t>Montevista</t>
  </si>
  <si>
    <t>Morong</t>
  </si>
  <si>
    <t>Motiong</t>
  </si>
  <si>
    <t>Mulanay</t>
  </si>
  <si>
    <t>Mulondo</t>
  </si>
  <si>
    <t>Munai</t>
  </si>
  <si>
    <t>Muñoz City</t>
  </si>
  <si>
    <t>Murcia</t>
  </si>
  <si>
    <t>Mutia</t>
  </si>
  <si>
    <t>Naawan</t>
  </si>
  <si>
    <t>Nabas</t>
  </si>
  <si>
    <t>Nabua</t>
  </si>
  <si>
    <t>Nagbukel</t>
  </si>
  <si>
    <t>Nagcarlan</t>
  </si>
  <si>
    <t>Nagtipunan</t>
  </si>
  <si>
    <t>Naguilian</t>
  </si>
  <si>
    <t>Naic</t>
  </si>
  <si>
    <t>Nampicuan</t>
  </si>
  <si>
    <t>Narra</t>
  </si>
  <si>
    <t>Narvacan</t>
  </si>
  <si>
    <t>Nasipit</t>
  </si>
  <si>
    <t>Nasugbu</t>
  </si>
  <si>
    <t>Natividad</t>
  </si>
  <si>
    <t>Natonin</t>
  </si>
  <si>
    <t>Naujan</t>
  </si>
  <si>
    <t>Naval</t>
  </si>
  <si>
    <t>Navotas City</t>
  </si>
  <si>
    <t>New Bataan</t>
  </si>
  <si>
    <t>New Lucena</t>
  </si>
  <si>
    <t>New Washington</t>
  </si>
  <si>
    <t>Norala</t>
  </si>
  <si>
    <t>Northern Kabuntalan</t>
  </si>
  <si>
    <t>Norzagaray</t>
  </si>
  <si>
    <t>Noveleta</t>
  </si>
  <si>
    <t>Nueva Era</t>
  </si>
  <si>
    <t>Nueva Valencia</t>
  </si>
  <si>
    <t>Numancia</t>
  </si>
  <si>
    <t>Nunungan</t>
  </si>
  <si>
    <t>Oas</t>
  </si>
  <si>
    <t>Obando</t>
  </si>
  <si>
    <t>Ocampo</t>
  </si>
  <si>
    <t>Odiongan</t>
  </si>
  <si>
    <t>Olutanga</t>
  </si>
  <si>
    <t>Omar</t>
  </si>
  <si>
    <t>Opol</t>
  </si>
  <si>
    <t>Orani</t>
  </si>
  <si>
    <t>Orion</t>
  </si>
  <si>
    <t>Oroquieta City</t>
  </si>
  <si>
    <t>Oslob</t>
  </si>
  <si>
    <t>Oton</t>
  </si>
  <si>
    <t>Padada</t>
  </si>
  <si>
    <t>Padre Garcia</t>
  </si>
  <si>
    <t>Paete</t>
  </si>
  <si>
    <t>Pagadian City</t>
  </si>
  <si>
    <t>Pagalungan</t>
  </si>
  <si>
    <t>Pagayawan</t>
  </si>
  <si>
    <t>Pagbilao</t>
  </si>
  <si>
    <t>Paglat</t>
  </si>
  <si>
    <t>Pagsanghan</t>
  </si>
  <si>
    <t>Pagsanjan</t>
  </si>
  <si>
    <t>Pagudpud</t>
  </si>
  <si>
    <t>Pakil</t>
  </si>
  <si>
    <t>Palanan</t>
  </si>
  <si>
    <t>Palanas</t>
  </si>
  <si>
    <t>Palapag</t>
  </si>
  <si>
    <t>Palauig</t>
  </si>
  <si>
    <t>Palayan City</t>
  </si>
  <si>
    <t>Palimbang</t>
  </si>
  <si>
    <t>Palo</t>
  </si>
  <si>
    <t>Palompon</t>
  </si>
  <si>
    <t>Paluan</t>
  </si>
  <si>
    <t>Pambujan</t>
  </si>
  <si>
    <t>Pamplona</t>
  </si>
  <si>
    <t>Panabo City</t>
  </si>
  <si>
    <t>Panamao</t>
  </si>
  <si>
    <t>Panaon</t>
  </si>
  <si>
    <t>Panay</t>
  </si>
  <si>
    <t>Pandag</t>
  </si>
  <si>
    <t>Pandami</t>
  </si>
  <si>
    <t>Pandan</t>
  </si>
  <si>
    <t>Pandi</t>
  </si>
  <si>
    <t>Panganiban</t>
  </si>
  <si>
    <t>Pangantucan</t>
  </si>
  <si>
    <t>Pangil</t>
  </si>
  <si>
    <t>Panglao</t>
  </si>
  <si>
    <t>Panglima Estino</t>
  </si>
  <si>
    <t>Panglima Sugala</t>
  </si>
  <si>
    <t>Pangutaran</t>
  </si>
  <si>
    <t>Paniqui</t>
  </si>
  <si>
    <t>Panitan</t>
  </si>
  <si>
    <t>Pantabangan</t>
  </si>
  <si>
    <t>Pantao Ragat</t>
  </si>
  <si>
    <t>Tiwi</t>
  </si>
  <si>
    <t>Sumilao</t>
  </si>
  <si>
    <t>Pantukan</t>
  </si>
  <si>
    <t>Panukulan</t>
  </si>
  <si>
    <t>Paoay</t>
  </si>
  <si>
    <t>Tagudin</t>
  </si>
  <si>
    <t>Tabuk City</t>
  </si>
  <si>
    <t>Paombong</t>
  </si>
  <si>
    <t>Paracale</t>
  </si>
  <si>
    <t>Paracelis</t>
  </si>
  <si>
    <t>Paranas</t>
  </si>
  <si>
    <t>Parang</t>
  </si>
  <si>
    <t>Pasacao</t>
  </si>
  <si>
    <t>Pasay City</t>
  </si>
  <si>
    <t>Pasil</t>
  </si>
  <si>
    <t>Passi City</t>
  </si>
  <si>
    <t>Pastrana</t>
  </si>
  <si>
    <t>Pasuquin</t>
  </si>
  <si>
    <t>Pata</t>
  </si>
  <si>
    <t>Pateros</t>
  </si>
  <si>
    <t>Patikul</t>
  </si>
  <si>
    <t>Patnanungan</t>
  </si>
  <si>
    <t>Patnongon</t>
  </si>
  <si>
    <t>Pavia</t>
  </si>
  <si>
    <t>Payao</t>
  </si>
  <si>
    <t>Peñablanca</t>
  </si>
  <si>
    <t>Peñaranda</t>
  </si>
  <si>
    <t>Peñarrubia</t>
  </si>
  <si>
    <t>Perez</t>
  </si>
  <si>
    <t>Piagapo</t>
  </si>
  <si>
    <t>Piat</t>
  </si>
  <si>
    <t>Picong</t>
  </si>
  <si>
    <t>Piddig</t>
  </si>
  <si>
    <t>Pidigan</t>
  </si>
  <si>
    <t>Pigcawayan</t>
  </si>
  <si>
    <t>Pikit</t>
  </si>
  <si>
    <t>Pila</t>
  </si>
  <si>
    <t>Pili</t>
  </si>
  <si>
    <t>Pililla</t>
  </si>
  <si>
    <t>Pinabacdao</t>
  </si>
  <si>
    <t>Pinamalayan</t>
  </si>
  <si>
    <t>Pinamungajan</t>
  </si>
  <si>
    <t>Piñan</t>
  </si>
  <si>
    <t>Pinili</t>
  </si>
  <si>
    <t>Pinukpuk</t>
  </si>
  <si>
    <t>Pio Duran</t>
  </si>
  <si>
    <t>Pio V. Corpuz</t>
  </si>
  <si>
    <t>Pitogo</t>
  </si>
  <si>
    <t>Placer</t>
  </si>
  <si>
    <t>Plaridel</t>
  </si>
  <si>
    <t>Pola</t>
  </si>
  <si>
    <t>Polanco</t>
  </si>
  <si>
    <t>Polangui</t>
  </si>
  <si>
    <t>Polillo</t>
  </si>
  <si>
    <t>Pontevedra</t>
  </si>
  <si>
    <t>Poona Bayabao</t>
  </si>
  <si>
    <t>Porac</t>
  </si>
  <si>
    <t>Poro</t>
  </si>
  <si>
    <t>Pototan</t>
  </si>
  <si>
    <t>Pozorrubio</t>
  </si>
  <si>
    <t>Presentacion</t>
  </si>
  <si>
    <t>President Carlos P. Garcia</t>
  </si>
  <si>
    <t>President Quirino</t>
  </si>
  <si>
    <t>President Roxas</t>
  </si>
  <si>
    <t>Prieto Diaz</t>
  </si>
  <si>
    <t>Prosperidad</t>
  </si>
  <si>
    <t>Pualas</t>
  </si>
  <si>
    <t>Pudtol</t>
  </si>
  <si>
    <t>Puerto Galera</t>
  </si>
  <si>
    <t>Puerto Princesa City</t>
  </si>
  <si>
    <t>Pugo</t>
  </si>
  <si>
    <t>Pulilan</t>
  </si>
  <si>
    <t>Pulupandan</t>
  </si>
  <si>
    <t>Pura</t>
  </si>
  <si>
    <t>Quinapondan</t>
  </si>
  <si>
    <t>Ragay</t>
  </si>
  <si>
    <t>Rajah Buayan</t>
  </si>
  <si>
    <t>Ramon</t>
  </si>
  <si>
    <t>Ramon Magsaysay</t>
  </si>
  <si>
    <t>Ramos</t>
  </si>
  <si>
    <t>Rapu-Rapu</t>
  </si>
  <si>
    <t>Real</t>
  </si>
  <si>
    <t>Reina Mercedes</t>
  </si>
  <si>
    <t>Remedios T. Romualdez</t>
  </si>
  <si>
    <t>Rodriguez</t>
  </si>
  <si>
    <t>Ronda</t>
  </si>
  <si>
    <t>Rosales</t>
  </si>
  <si>
    <t>Rosario</t>
  </si>
  <si>
    <t>Roseller Lim</t>
  </si>
  <si>
    <t>Roxas City</t>
  </si>
  <si>
    <t>Sabangan</t>
  </si>
  <si>
    <t>Sablan</t>
  </si>
  <si>
    <t>Sablayan</t>
  </si>
  <si>
    <t>Sabtang</t>
  </si>
  <si>
    <t>Sadanga</t>
  </si>
  <si>
    <t>Sagada</t>
  </si>
  <si>
    <t>Sagay City</t>
  </si>
  <si>
    <t>Sagbayan</t>
  </si>
  <si>
    <t>Sagñay</t>
  </si>
  <si>
    <t>Saguday</t>
  </si>
  <si>
    <t>Saguiaran</t>
  </si>
  <si>
    <t>Saint Bernard</t>
  </si>
  <si>
    <t>Salay</t>
  </si>
  <si>
    <t>Salcedo</t>
  </si>
  <si>
    <t>Sallapadan</t>
  </si>
  <si>
    <t>Salong Tapaz</t>
  </si>
  <si>
    <t>Salug</t>
  </si>
  <si>
    <t>Salvador</t>
  </si>
  <si>
    <t>Salvador Benedicto</t>
  </si>
  <si>
    <t>Samal</t>
  </si>
  <si>
    <t>Samal City</t>
  </si>
  <si>
    <t>Samboan</t>
  </si>
  <si>
    <t>Sampaloc</t>
  </si>
  <si>
    <t>San Agustin</t>
  </si>
  <si>
    <t>San Andres</t>
  </si>
  <si>
    <t>San Antonio</t>
  </si>
  <si>
    <t>San Benito</t>
  </si>
  <si>
    <t>San Carlos City</t>
  </si>
  <si>
    <t>San Clemente</t>
  </si>
  <si>
    <t>San Dionisio</t>
  </si>
  <si>
    <t>San Emilio</t>
  </si>
  <si>
    <t>San Enrique</t>
  </si>
  <si>
    <t>San Esteban</t>
  </si>
  <si>
    <t>San Fabian</t>
  </si>
  <si>
    <t>San Felipe</t>
  </si>
  <si>
    <t>San Fernando</t>
  </si>
  <si>
    <t>San Francisco</t>
  </si>
  <si>
    <t>San Gabriel</t>
  </si>
  <si>
    <t>San Guillermo</t>
  </si>
  <si>
    <t>San Ildefonso</t>
  </si>
  <si>
    <t>San Jacinto</t>
  </si>
  <si>
    <t>San Joaquin</t>
  </si>
  <si>
    <t>San Jorge</t>
  </si>
  <si>
    <t>San Jose</t>
  </si>
  <si>
    <t>San Jose City</t>
  </si>
  <si>
    <t>San Jose de Buenavista</t>
  </si>
  <si>
    <t>San Juan</t>
  </si>
  <si>
    <t>San Julian</t>
  </si>
  <si>
    <t>San Leonardo</t>
  </si>
  <si>
    <t>San Lorenzo</t>
  </si>
  <si>
    <t>San Lorenzo Ruiz</t>
  </si>
  <si>
    <t>San Luis</t>
  </si>
  <si>
    <t>San Manuel</t>
  </si>
  <si>
    <t>San Marcelino</t>
  </si>
  <si>
    <t>San Mariano</t>
  </si>
  <si>
    <t>San Mateo</t>
  </si>
  <si>
    <t>San Miguel</t>
  </si>
  <si>
    <t>San Narciso</t>
  </si>
  <si>
    <t>San Nicolas</t>
  </si>
  <si>
    <t>San Pablo City</t>
  </si>
  <si>
    <t>San Pascual</t>
  </si>
  <si>
    <t>San Pedro City</t>
  </si>
  <si>
    <t>San Policarpo</t>
  </si>
  <si>
    <t>San Quintin</t>
  </si>
  <si>
    <t>San Rafael</t>
  </si>
  <si>
    <t>San Remigio</t>
  </si>
  <si>
    <t>San Ricardo</t>
  </si>
  <si>
    <t>San Roque</t>
  </si>
  <si>
    <t>San Sebastian</t>
  </si>
  <si>
    <t>San Simon</t>
  </si>
  <si>
    <t>San Teodoro</t>
  </si>
  <si>
    <t>San Vicente</t>
  </si>
  <si>
    <t>Sanchez-Mira</t>
  </si>
  <si>
    <t>Santa</t>
  </si>
  <si>
    <t>Santa Ana</t>
  </si>
  <si>
    <t>Santa Barbara</t>
  </si>
  <si>
    <t>Santa Catalina</t>
  </si>
  <si>
    <t>Santa Cruz</t>
  </si>
  <si>
    <t>Santa Elena</t>
  </si>
  <si>
    <t>Santa Fe</t>
  </si>
  <si>
    <t>Santa Ignacia</t>
  </si>
  <si>
    <t>Santa Josefa</t>
  </si>
  <si>
    <t>Santa Lucia</t>
  </si>
  <si>
    <t>Santa Magdalena</t>
  </si>
  <si>
    <t>Santa Marcela</t>
  </si>
  <si>
    <t>Santa Maria</t>
  </si>
  <si>
    <t>Santa Monica</t>
  </si>
  <si>
    <t>Santa Praxedes</t>
  </si>
  <si>
    <t>Santa Rita</t>
  </si>
  <si>
    <t>Santa Rosa City</t>
  </si>
  <si>
    <t>Santa Teresita</t>
  </si>
  <si>
    <t>Santander</t>
  </si>
  <si>
    <t>Santiago City</t>
  </si>
  <si>
    <t>Santo Domingo</t>
  </si>
  <si>
    <t>Santo Niño</t>
  </si>
  <si>
    <t>Santo Tomas</t>
  </si>
  <si>
    <t>Sergio Osmeña</t>
  </si>
  <si>
    <t>Silang</t>
  </si>
  <si>
    <t>Silay City</t>
  </si>
  <si>
    <t>Sofronio Española</t>
  </si>
  <si>
    <t>Sogod</t>
  </si>
  <si>
    <t>Solano</t>
  </si>
  <si>
    <t>Sorsogon City</t>
  </si>
  <si>
    <t>Sta. Cruz</t>
  </si>
  <si>
    <t>Sta. Rosa</t>
  </si>
  <si>
    <t>Sto. Tomas City</t>
  </si>
  <si>
    <t>Surigao City</t>
  </si>
  <si>
    <t>Tacurong City</t>
  </si>
  <si>
    <t>Tagaytay</t>
  </si>
  <si>
    <t>Tagbilaran City</t>
  </si>
  <si>
    <t>Tagum City</t>
  </si>
  <si>
    <t>Talavera</t>
  </si>
  <si>
    <t>Talibon</t>
  </si>
  <si>
    <t>Tanauan City</t>
  </si>
  <si>
    <t>Tubao</t>
  </si>
  <si>
    <t>Tanay</t>
  </si>
  <si>
    <t>Tandag City</t>
  </si>
  <si>
    <t>Tanza</t>
  </si>
  <si>
    <t>Tayabas City</t>
  </si>
  <si>
    <t>Taytay</t>
  </si>
  <si>
    <t>Tayug</t>
  </si>
  <si>
    <t>Tubod</t>
  </si>
  <si>
    <t>Tangub City</t>
  </si>
  <si>
    <t>Trece Martires City</t>
  </si>
  <si>
    <t>Tubigon</t>
  </si>
  <si>
    <t>Tuguegarao City</t>
  </si>
  <si>
    <t>Unisan</t>
  </si>
  <si>
    <t>Upi</t>
  </si>
  <si>
    <t>Urdaneta City</t>
  </si>
  <si>
    <t>Victorias City</t>
  </si>
  <si>
    <t>Vigan City</t>
  </si>
  <si>
    <t>Villasis</t>
  </si>
  <si>
    <t>Virac</t>
  </si>
  <si>
    <t>Mlang</t>
  </si>
  <si>
    <t>Clark Freeport 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</si>
</sst>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25">
    <font>
      <sz val="10.0"/>
      <color rgb="FF000000"/>
      <name val="Arial"/>
      <scheme val="minor"/>
    </font>
    <font>
      <b/>
      <sz val="12.0"/>
      <color rgb="FFFFFFFF"/>
      <name val="Arial"/>
    </font>
    <font/>
    <font>
      <color theme="1"/>
      <name val="Arial"/>
      <scheme val="minor"/>
    </font>
    <font>
      <b/>
      <sz val="12.0"/>
      <color rgb="FFFFFFFF"/>
      <name val="Arial Narrow"/>
    </font>
    <font>
      <b/>
      <sz val="12.0"/>
      <color theme="1"/>
      <name val="Arial Narrow"/>
    </font>
    <font>
      <b/>
      <sz val="12.0"/>
      <color theme="1"/>
      <name val="Arial"/>
    </font>
    <font>
      <sz val="12.0"/>
      <color theme="1"/>
      <name val="Inconsolata"/>
    </font>
    <font>
      <sz val="12.0"/>
      <color theme="1"/>
      <name val="Arial"/>
    </font>
    <font>
      <sz val="12.0"/>
      <color theme="1"/>
      <name val="Arial Narrow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b/>
      <sz val="11.0"/>
      <color theme="1"/>
      <name val="Arial"/>
    </font>
    <font>
      <color theme="1"/>
      <name val="Arial Narrow"/>
    </font>
    <font>
      <color theme="1"/>
      <name val="Arial"/>
    </font>
    <font>
      <b/>
      <color theme="1"/>
      <name val="Arial Narrow"/>
    </font>
    <font>
      <b/>
      <color theme="1"/>
      <name val="Arial"/>
    </font>
    <font>
      <b/>
      <sz val="9.0"/>
      <color theme="1"/>
      <name val="Arial Narrow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1" numFmtId="0" xfId="0" applyAlignment="1" applyBorder="1" applyFill="1" applyFont="1">
      <alignment horizontal="center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13" fillId="6" fontId="6" numFmtId="0" xfId="0" applyAlignment="1" applyBorder="1" applyFill="1" applyFont="1">
      <alignment horizontal="center" shrinkToFit="0" vertical="center" wrapText="1"/>
    </xf>
    <xf borderId="13" fillId="7" fontId="5" numFmtId="0" xfId="0" applyAlignment="1" applyBorder="1" applyFill="1" applyFont="1">
      <alignment horizontal="left" shrinkToFit="0" vertical="center" wrapText="1"/>
    </xf>
    <xf borderId="13" fillId="7" fontId="7" numFmtId="0" xfId="0" applyAlignment="1" applyBorder="1" applyFill="1" applyFont="1">
      <alignment horizontal="center" shrinkToFit="0" vertical="center" wrapText="1"/>
    </xf>
    <xf borderId="13" fillId="8" fontId="5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ill="1" applyFont="1">
      <alignment horizontal="center" shrinkToFit="0" vertical="center" wrapText="1"/>
    </xf>
    <xf borderId="13" fillId="6" fontId="5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7" fontId="9" numFmtId="0" xfId="0" applyAlignment="1" applyBorder="1" applyFill="1" applyFont="1">
      <alignment horizontal="center" shrinkToFit="0" vertical="center" wrapText="1"/>
    </xf>
    <xf borderId="13" fillId="7" fontId="6" numFmtId="0" xfId="0" applyAlignment="1" applyBorder="1" applyFill="1" applyFont="1">
      <alignment horizontal="left" shrinkToFit="0" vertical="center" wrapText="1"/>
    </xf>
    <xf borderId="13" fillId="0" fontId="10" numFmtId="0" xfId="0" applyAlignment="1" applyBorder="1" applyFont="1">
      <alignment horizontal="left" readingOrder="0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3" fillId="2" fontId="13" numFmtId="0" xfId="0" applyAlignment="1" applyBorder="1" applyFill="1" applyFont="1">
      <alignment horizontal="center" shrinkToFit="0" vertical="center" wrapText="1"/>
    </xf>
    <xf borderId="13" fillId="2" fontId="13" numFmtId="164" xfId="0" applyAlignment="1" applyBorder="1" applyFill="1" applyFont="1" applyNumberFormat="1">
      <alignment horizontal="center" shrinkToFit="0" vertical="center" wrapText="1"/>
    </xf>
    <xf borderId="13" fillId="2" fontId="13" numFmtId="49" xfId="0" applyAlignment="1" applyBorder="1" applyFill="1" applyFont="1" applyNumberFormat="1">
      <alignment horizontal="center" shrinkToFit="0" vertical="center" wrapText="1"/>
    </xf>
    <xf borderId="13" fillId="2" fontId="9" numFmtId="0" xfId="0" applyAlignment="1" applyBorder="1" applyFill="1" applyFont="1">
      <alignment horizontal="center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13" fillId="7" fontId="14" numFmtId="0" xfId="0" applyAlignment="1" applyBorder="1" applyFill="1" applyFont="1">
      <alignment horizontal="center" readingOrder="0" shrinkToFit="0" vertical="center" wrapText="1"/>
    </xf>
    <xf borderId="13" fillId="7" fontId="15" numFmtId="0" xfId="0" applyAlignment="1" applyBorder="1" applyFill="1" applyFont="1">
      <alignment horizontal="center" readingOrder="0" shrinkToFit="0" vertical="center" wrapText="1"/>
    </xf>
    <xf borderId="13" fillId="0" fontId="14" numFmtId="164" xfId="0" applyAlignment="1" applyBorder="1" applyFont="1" applyNumberFormat="1">
      <alignment horizontal="center" readingOrder="0" shrinkToFit="0" vertical="center" wrapText="1"/>
    </xf>
    <xf borderId="13" fillId="0" fontId="16" numFmtId="0" xfId="0" applyAlignment="1" applyBorder="1" applyFont="1">
      <alignment horizontal="center" readingOrder="0" shrinkToFit="0" vertical="center" wrapText="1"/>
    </xf>
    <xf borderId="13" fillId="7" fontId="16" numFmtId="0" xfId="0" applyAlignment="1" applyBorder="1" applyFill="1" applyFon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readingOrder="0"/>
    </xf>
    <xf borderId="13" fillId="7" fontId="16" numFmtId="0" xfId="0" applyAlignment="1" applyBorder="1" applyFill="1" applyFont="1">
      <alignment horizontal="center" readingOrder="0" shrinkToFit="0" vertical="center" wrapText="1"/>
    </xf>
    <xf borderId="13" fillId="7" fontId="14" numFmtId="164" xfId="0" applyAlignment="1" applyBorder="1" applyFill="1" applyFont="1" applyNumberFormat="1">
      <alignment horizontal="center" readingOrder="0" shrinkToFit="0" vertical="center" wrapText="1"/>
    </xf>
    <xf borderId="13" fillId="0" fontId="17" numFmtId="0" xfId="0" applyAlignment="1" applyBorder="1" applyFont="1">
      <alignment horizontal="center" readingOrder="0" shrinkToFit="0" vertical="center" wrapText="1"/>
    </xf>
    <xf borderId="13" fillId="7" fontId="14" numFmtId="0" xfId="0" applyAlignment="1" applyBorder="1" applyFill="1" applyFont="1">
      <alignment horizontal="center" shrinkToFit="0" vertical="center" wrapText="1"/>
    </xf>
    <xf borderId="13" fillId="7" fontId="18" numFmtId="0" xfId="0" applyAlignment="1" applyBorder="1" applyFill="1" applyFont="1">
      <alignment horizontal="center" readingOrder="0" shrinkToFit="0" vertical="center" wrapText="1"/>
    </xf>
    <xf borderId="13" fillId="0" fontId="16" numFmtId="164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vertical="center"/>
    </xf>
    <xf borderId="13" fillId="2" fontId="19" numFmtId="0" xfId="0" applyAlignment="1" applyBorder="1" applyFill="1" applyFont="1">
      <alignment horizontal="center" shrinkToFit="0" vertical="center" wrapText="1"/>
    </xf>
    <xf borderId="13" fillId="2" fontId="20" numFmtId="0" xfId="0" applyAlignment="1" applyBorder="1" applyFill="1" applyFont="1">
      <alignment horizontal="center" shrinkToFit="0" vertical="center" wrapText="1"/>
    </xf>
    <xf borderId="13" fillId="2" fontId="3" numFmtId="0" xfId="0" applyAlignment="1" applyBorder="1" applyFill="1" applyFont="1">
      <alignment horizontal="center" shrinkToFit="0" vertical="center" wrapText="1"/>
    </xf>
    <xf borderId="13" fillId="0" fontId="20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0" fontId="20" numFmtId="0" xfId="0" applyAlignment="1" applyBorder="1" applyFont="1">
      <alignment horizontal="center" readingOrder="0" shrinkToFit="0" vertical="center" wrapText="1"/>
    </xf>
    <xf borderId="4" fillId="7" fontId="21" numFmtId="0" xfId="0" applyAlignment="1" applyBorder="1" applyFill="1" applyFont="1">
      <alignment horizontal="center" readingOrder="0" shrinkToFit="0" wrapText="1"/>
    </xf>
    <xf borderId="7" fillId="7" fontId="21" numFmtId="0" xfId="0" applyAlignment="1" applyBorder="1" applyFill="1" applyFont="1">
      <alignment horizontal="center" shrinkToFit="0" wrapText="1"/>
    </xf>
    <xf borderId="0" fillId="7" fontId="22" numFmtId="0" xfId="0" applyAlignment="1" applyFill="1" applyFont="1">
      <alignment shrinkToFit="0" wrapText="1"/>
    </xf>
    <xf borderId="0" fillId="0" fontId="22" numFmtId="0" xfId="0" applyAlignment="1" applyFont="1">
      <alignment shrinkToFit="0" wrapText="1"/>
    </xf>
    <xf borderId="0" fillId="0" fontId="20" numFmtId="0" xfId="0" applyFont="1"/>
    <xf borderId="14" fillId="0" fontId="2" numFmtId="0" xfId="0" applyBorder="1" applyFont="1"/>
    <xf borderId="0" fillId="0" fontId="20" numFmtId="0" xfId="0" applyAlignment="1" applyFont="1">
      <alignment shrinkToFit="0" wrapText="1"/>
    </xf>
    <xf borderId="0" fillId="0" fontId="20" numFmtId="0" xfId="0" applyAlignment="1" applyFont="1">
      <alignment shrinkToFit="0" vertical="bottom" wrapText="1"/>
    </xf>
    <xf borderId="0" fillId="7" fontId="23" numFmtId="0" xfId="0" applyAlignment="1" applyFill="1" applyFont="1">
      <alignment horizontal="center" shrinkToFit="0" wrapText="1"/>
    </xf>
    <xf borderId="0" fillId="0" fontId="24" numFmtId="0" xfId="0" applyAlignment="1" applyFont="1">
      <alignment horizontal="center" shrinkToFit="0" wrapText="1"/>
    </xf>
    <xf borderId="12" fillId="0" fontId="5" numFmtId="0" xfId="0" applyAlignment="1" applyBorder="1" applyFont="1">
      <alignment horizontal="center" shrinkToFit="0" wrapText="1"/>
    </xf>
    <xf borderId="11" fillId="0" fontId="5" numFmtId="0" xfId="0" applyAlignment="1" applyBorder="1" applyFont="1">
      <alignment horizontal="center" shrinkToFit="0" wrapText="1"/>
    </xf>
    <xf borderId="0" fillId="0" fontId="24" numFmtId="0" xfId="0" applyAlignment="1" applyFont="1">
      <alignment shrinkToFit="0" wrapText="1"/>
    </xf>
    <xf borderId="0" fillId="0" fontId="20" numFmtId="0" xfId="0" applyAlignment="1" applyFont="1">
      <alignment vertical="bottom"/>
    </xf>
    <xf borderId="12" fillId="0" fontId="5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dumalneg_rhu2014@yahoo.com" TargetMode="External"/><Relationship Id="rId3" Type="http://schemas.openxmlformats.org/officeDocument/2006/relationships/hyperlink" Target="mailto:municipalityofvintar@gmail.com" TargetMode="External"/><Relationship Id="rId4" Type="http://schemas.openxmlformats.org/officeDocument/2006/relationships/hyperlink" Target="mailto:fo1@dswd.gov.ph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18.88"/>
    <col hidden="1" min="14" max="26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7"/>
      <c r="D2" s="7"/>
      <c r="E2" s="8"/>
      <c r="F2" s="9" t="s">
        <v>3</v>
      </c>
      <c r="G2" s="10" t="s">
        <v>4</v>
      </c>
      <c r="H2" s="7"/>
      <c r="I2" s="7"/>
      <c r="J2" s="8"/>
      <c r="K2" s="11" t="s">
        <v>5</v>
      </c>
      <c r="L2" s="12" t="s">
        <v>6</v>
      </c>
      <c r="M2" s="12" t="s">
        <v>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/>
      <c r="B3" s="14"/>
      <c r="C3" s="15"/>
      <c r="D3" s="15"/>
      <c r="E3" s="16"/>
      <c r="F3" s="13"/>
      <c r="G3" s="14"/>
      <c r="H3" s="15"/>
      <c r="I3" s="15"/>
      <c r="J3" s="16"/>
      <c r="K3" s="13"/>
      <c r="L3" s="13"/>
      <c r="M3" s="1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7"/>
      <c r="B4" s="18" t="s">
        <v>8</v>
      </c>
      <c r="C4" s="18" t="s">
        <v>9</v>
      </c>
      <c r="D4" s="18" t="s">
        <v>10</v>
      </c>
      <c r="E4" s="18" t="s">
        <v>11</v>
      </c>
      <c r="F4" s="17"/>
      <c r="G4" s="19" t="s">
        <v>8</v>
      </c>
      <c r="H4" s="19" t="s">
        <v>9</v>
      </c>
      <c r="I4" s="19" t="s">
        <v>10</v>
      </c>
      <c r="J4" s="20" t="s">
        <v>11</v>
      </c>
      <c r="K4" s="17"/>
      <c r="L4" s="17"/>
      <c r="M4" s="1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1" t="s">
        <v>12</v>
      </c>
      <c r="B5" s="22">
        <f>SUMIFS(Government!J:J,Government!C:C, "NCR",Government!K:K, "Type I")</f>
        <v>4</v>
      </c>
      <c r="C5" s="22">
        <f>SUMIFS(Government!J:J,Government!C:C, "NCR",Government!K:K, "Type II")</f>
        <v>2</v>
      </c>
      <c r="D5" s="22">
        <f>SUMIFS(Government!J:J,Government!C:C, "NCR",Government!K:K, "Type I &amp; II")</f>
        <v>0</v>
      </c>
      <c r="E5" s="23">
        <f>SUMIFS(Government!J:J,Government!C:C, "NCR")</f>
        <v>6</v>
      </c>
      <c r="F5" s="24">
        <f>countifs(Government!C:C,"NCR")</f>
        <v>5</v>
      </c>
      <c r="G5" s="22">
        <f>SUMIFS(Private!J:J,Private!C:C, "NCR",Private!K:K, "Type I")</f>
        <v>16</v>
      </c>
      <c r="H5" s="22">
        <f>SUMIFS(Private!J:J,Private!C:C, "NCR",Private!K:K, "Type II")</f>
        <v>42</v>
      </c>
      <c r="I5" s="22">
        <f>SUMIFS(Private!J:J,Private!C:C, "NCR",Private!K:K, "Type I &amp; II")</f>
        <v>0</v>
      </c>
      <c r="J5" s="25">
        <f>SUMIFS(Private!J:J,Private!C:C, "NCR")</f>
        <v>58</v>
      </c>
      <c r="K5" s="26">
        <f>countifs(Private!C:C,"NCR")</f>
        <v>26</v>
      </c>
      <c r="L5" s="27">
        <f t="shared" ref="L5:M5" si="1">sum(E5,J5)</f>
        <v>64</v>
      </c>
      <c r="M5" s="28">
        <f t="shared" si="1"/>
        <v>31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1" t="s">
        <v>13</v>
      </c>
      <c r="B6" s="22">
        <f>SUMIFS(Government!J:J,Government!C:C, "Region 1",Government!K:K, "Type I")</f>
        <v>15</v>
      </c>
      <c r="C6" s="22">
        <f>SUMIFS(Government!J:J,Government!C:C, "Region 1",Government!K:K, "Type II")</f>
        <v>0</v>
      </c>
      <c r="D6" s="22">
        <f>SUMIFS(Government!J:J,Government!C:C, "Region 1",Government!K:K, "Type I &amp; II")</f>
        <v>0</v>
      </c>
      <c r="E6" s="23">
        <f>SUMIFS(Government!J:J,Government!C:C, "Region 1")</f>
        <v>15</v>
      </c>
      <c r="F6" s="24">
        <f>countifs(Government!C:C,"Region 1")</f>
        <v>8</v>
      </c>
      <c r="G6" s="22">
        <f>SUMIFS(Private!J:J,Private!C:C, "Region 1",Private!K:K, "Type I")</f>
        <v>0</v>
      </c>
      <c r="H6" s="22">
        <f>SUMIFS(Private!J:J,Private!C:C, "Region 1",Private!K:K, "Type II")</f>
        <v>0</v>
      </c>
      <c r="I6" s="22">
        <f>SUMIFS(Private!J:J,Private!C:C, "Region 1",Private!K:K, "Type I &amp; II")</f>
        <v>0</v>
      </c>
      <c r="J6" s="25">
        <f>SUMIFS(Private!J:J,Private!C:C, "Region 1")</f>
        <v>0</v>
      </c>
      <c r="K6" s="26">
        <f>countifs(Private!C:C,"Region 1")</f>
        <v>0</v>
      </c>
      <c r="L6" s="27">
        <f t="shared" ref="L6:M6" si="2">sum(E6,J6)</f>
        <v>15</v>
      </c>
      <c r="M6" s="28">
        <f t="shared" si="2"/>
        <v>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1" t="s">
        <v>14</v>
      </c>
      <c r="B7" s="22">
        <f>SUMIFS(Government!J:J,Government!C:C, "Region 2",Government!K:K, "Type I")</f>
        <v>11</v>
      </c>
      <c r="C7" s="22">
        <f>SUMIFS(Government!J:J,Government!C:C, "Region 2",Government!K:K, "Type II")</f>
        <v>0</v>
      </c>
      <c r="D7" s="22">
        <f>SUMIFS(Government!J:J,Government!C:C, "Region 2",Government!K:K, "Type I &amp; II")</f>
        <v>0</v>
      </c>
      <c r="E7" s="23">
        <f>SUMIFS(Government!J:J,Government!C:C, "Region 2")</f>
        <v>11</v>
      </c>
      <c r="F7" s="24">
        <f>countifs(Government!C:C,"Region 2")</f>
        <v>7</v>
      </c>
      <c r="G7" s="22">
        <f>SUMIFS(Private!J:J,Private!C:C, "Region 2",Private!K:K, "Type I")</f>
        <v>0</v>
      </c>
      <c r="H7" s="22">
        <f>SUMIFS(Private!J:J,Private!C:C, "Region 2",Private!K:K, "Type II")</f>
        <v>0</v>
      </c>
      <c r="I7" s="22">
        <f>SUMIFS(Private!J:J,Private!C:C, "Region 2",Private!K:K, "Type I &amp; II")</f>
        <v>0</v>
      </c>
      <c r="J7" s="25">
        <f>SUMIFS(Private!J:J,Private!C:C, "Region 2")</f>
        <v>0</v>
      </c>
      <c r="K7" s="26">
        <f>countifs(Private!C:C,"Region 2")</f>
        <v>0</v>
      </c>
      <c r="L7" s="27">
        <f t="shared" ref="L7:M7" si="3">sum(E7,J7)</f>
        <v>11</v>
      </c>
      <c r="M7" s="28">
        <f t="shared" si="3"/>
        <v>7</v>
      </c>
    </row>
    <row r="8">
      <c r="A8" s="21" t="s">
        <v>15</v>
      </c>
      <c r="B8" s="22">
        <f>SUMIFS(Government!J:J,Government!C:C, "Region 3",Government!K:K, "Type I")</f>
        <v>19</v>
      </c>
      <c r="C8" s="22">
        <f>SUMIFS(Government!J:J,Government!C:C, "Region 3",Government!K:K, "Type II")</f>
        <v>0</v>
      </c>
      <c r="D8" s="22">
        <f>SUMIFS(Government!J:J,Government!C:C, "Region 3",Government!K:K, "Type I &amp; II")</f>
        <v>0</v>
      </c>
      <c r="E8" s="23">
        <f>SUMIFS(Government!J:J,Government!C:C, "Region 3")</f>
        <v>19</v>
      </c>
      <c r="F8" s="24">
        <f>countifs(Government!C:C,"Region 3")</f>
        <v>12</v>
      </c>
      <c r="G8" s="22">
        <f>SUMIFS(Private!J:J,Private!C:C, "Region 3",Private!K:K, "Type I")</f>
        <v>9</v>
      </c>
      <c r="H8" s="22">
        <f>SUMIFS(Private!J:J,Private!C:C, "Region 3",Private!K:K, "Type II")</f>
        <v>1</v>
      </c>
      <c r="I8" s="22">
        <f>SUMIFS(Private!J:J,Private!C:C, "Region 3",Private!K:K, "Type I &amp; II")</f>
        <v>0</v>
      </c>
      <c r="J8" s="25">
        <f>SUMIFS(Private!J:J,Private!C:C, "Region 3")</f>
        <v>10</v>
      </c>
      <c r="K8" s="26">
        <f>countifs(Private!C:C,"Region 3")</f>
        <v>7</v>
      </c>
      <c r="L8" s="27">
        <f t="shared" ref="L8:M8" si="4">sum(E8,J8)</f>
        <v>29</v>
      </c>
      <c r="M8" s="28">
        <f t="shared" si="4"/>
        <v>19</v>
      </c>
    </row>
    <row r="9">
      <c r="A9" s="21" t="s">
        <v>16</v>
      </c>
      <c r="B9" s="22">
        <f>SUMIFS(Government!J:J,Government!C:C, "Region 4-A",Government!K:K, "Type I")</f>
        <v>0</v>
      </c>
      <c r="C9" s="22">
        <f>SUMIFS(Government!J:J,Government!C:C, "Region 4-A",Government!K:K, "Type II")</f>
        <v>0</v>
      </c>
      <c r="D9" s="22">
        <f>SUMIFS(Government!J:J,Government!C:C, "Region 4-A",Government!K:K, "Type I &amp; II")</f>
        <v>0</v>
      </c>
      <c r="E9" s="23">
        <f>SUMIFS(Government!J:J,Government!C:C, "Region 4-A")</f>
        <v>0</v>
      </c>
      <c r="F9" s="24">
        <f>countifs(Government!C:C,"Region 4-A")</f>
        <v>0</v>
      </c>
      <c r="G9" s="22">
        <f>SUMIFS(Private!J:J,Private!C:C, "Region 4-A",Private!K:K, "Type I")</f>
        <v>3</v>
      </c>
      <c r="H9" s="22">
        <f>SUMIFS(Private!J:J,Private!C:C, "Region 4-A",Private!K:K, "Type II")</f>
        <v>4</v>
      </c>
      <c r="I9" s="22">
        <f>SUMIFS(Private!J:J,Private!C:C, "Region 4-A",Private!K:K, "Type I &amp; II")</f>
        <v>0</v>
      </c>
      <c r="J9" s="25">
        <f>SUMIFS(Private!J:J,Private!C:C, "Region 4-A")</f>
        <v>7</v>
      </c>
      <c r="K9" s="26">
        <f>countifs(Private!C:C,"Region 4-A")</f>
        <v>6</v>
      </c>
      <c r="L9" s="27">
        <f t="shared" ref="L9:M9" si="5">sum(E9,J9)</f>
        <v>7</v>
      </c>
      <c r="M9" s="28">
        <f t="shared" si="5"/>
        <v>6</v>
      </c>
    </row>
    <row r="10">
      <c r="A10" s="21" t="s">
        <v>17</v>
      </c>
      <c r="B10" s="22">
        <f>SUMIFS(Government!J:J,Government!C:C, "Region 4-B",Government!K:K, "Type I")</f>
        <v>0</v>
      </c>
      <c r="C10" s="22">
        <f>SUMIFS(Government!J:J,Government!C:C, "Region 4-B",Government!K:K, "Type II")</f>
        <v>0</v>
      </c>
      <c r="D10" s="22">
        <f>SUMIFS(Government!J:J,Government!C:C, "Region 4-B",Government!K:K, "Type I &amp; II")</f>
        <v>0</v>
      </c>
      <c r="E10" s="23">
        <f>SUMIFS(Government!J:J,Government!C:C, "Region 4-B")</f>
        <v>0</v>
      </c>
      <c r="F10" s="24">
        <f>countifs(Government!C:C,"Region 4-B")</f>
        <v>0</v>
      </c>
      <c r="G10" s="22">
        <f>SUMIFS(Private!J:J,Private!C:C, "Region 4-B",Private!K:K, "Type I")</f>
        <v>0</v>
      </c>
      <c r="H10" s="22">
        <f>SUMIFS(Private!J:J,Private!C:C, "Region 4-B",Private!K:K, "Type II")</f>
        <v>0</v>
      </c>
      <c r="I10" s="22">
        <f>SUMIFS(Private!J:J,Private!C:C, "Region 4-B",Private!K:K, "Type I &amp; II")</f>
        <v>0</v>
      </c>
      <c r="J10" s="25">
        <f>SUMIFS(Private!J:J,Private!C:C, "Region 4-B")</f>
        <v>0</v>
      </c>
      <c r="K10" s="26">
        <f>countifs(Private!C:C,"Region IV-B")</f>
        <v>0</v>
      </c>
      <c r="L10" s="27">
        <f t="shared" ref="L10:M10" si="6">sum(E10,J10)</f>
        <v>0</v>
      </c>
      <c r="M10" s="28">
        <f t="shared" si="6"/>
        <v>0</v>
      </c>
    </row>
    <row r="11">
      <c r="A11" s="21" t="s">
        <v>18</v>
      </c>
      <c r="B11" s="22">
        <f>SUMIFS(Government!J:J,Government!C:C, "Region 5",Government!K:K, "Type I")</f>
        <v>4</v>
      </c>
      <c r="C11" s="22">
        <f>SUMIFS(Government!J:J,Government!C:C, "Region 5",Government!K:K, "Type II")</f>
        <v>0</v>
      </c>
      <c r="D11" s="22">
        <f>SUMIFS(Government!J:J,Government!C:C, "Region 5",Government!K:K, "Type I &amp; II")</f>
        <v>0</v>
      </c>
      <c r="E11" s="23">
        <f>SUMIFS(Government!J:J,Government!C:C, "Region 5")</f>
        <v>4</v>
      </c>
      <c r="F11" s="24">
        <f>countifs(Government!C:C,"Region 5")</f>
        <v>2</v>
      </c>
      <c r="G11" s="22">
        <f>SUMIFS(Private!J:J,Private!C:C, "Region 5",Private!K:K, "Type I")</f>
        <v>1</v>
      </c>
      <c r="H11" s="22">
        <f>SUMIFS(Private!J:J,Private!C:C, "Region 5",Private!K:K, "Type II")</f>
        <v>0</v>
      </c>
      <c r="I11" s="22">
        <f>SUMIFS(Private!J:J,Private!C:C, "Region 5",Private!K:K, "Type I &amp; II")</f>
        <v>0</v>
      </c>
      <c r="J11" s="25">
        <f>SUMIFS(Private!J:J,Private!C:C, "Region 5")</f>
        <v>1</v>
      </c>
      <c r="K11" s="26">
        <f>countifs(Private!C:C,"Region 5")</f>
        <v>1</v>
      </c>
      <c r="L11" s="27">
        <f t="shared" ref="L11:M11" si="7">sum(E11,J11)</f>
        <v>5</v>
      </c>
      <c r="M11" s="28">
        <f t="shared" si="7"/>
        <v>3</v>
      </c>
    </row>
    <row r="12">
      <c r="A12" s="21" t="s">
        <v>19</v>
      </c>
      <c r="B12" s="22">
        <f>SUMIFS(Government!J:J,Government!C:C, "Region 6",Government!K:K, "Type I")</f>
        <v>0</v>
      </c>
      <c r="C12" s="22">
        <f>SUMIFS(Government!J:J,Government!C:C, "Region 6",Government!K:K, "Type II")</f>
        <v>0</v>
      </c>
      <c r="D12" s="22">
        <f>SUMIFS(Government!J:J,Government!C:C, "Region 6",Government!K:K, "Type I &amp; II")</f>
        <v>0</v>
      </c>
      <c r="E12" s="23">
        <f>SUMIFS(Government!J:J,Government!C:C, "Region 6")</f>
        <v>0</v>
      </c>
      <c r="F12" s="24">
        <f>countifs(Government!C:C,"Region 6")</f>
        <v>0</v>
      </c>
      <c r="G12" s="22">
        <f>SUMIFS(Private!J:J,Private!C:C, "Region 6",Private!K:K, "Type I")</f>
        <v>2</v>
      </c>
      <c r="H12" s="22">
        <f>SUMIFS(Private!J:J,Private!C:C, "Region 6",Private!K:K, "Type II")</f>
        <v>0</v>
      </c>
      <c r="I12" s="22">
        <f>SUMIFS(Private!J:J,Private!C:C, "Region 6",Private!K:K, "Type I &amp; II")</f>
        <v>0</v>
      </c>
      <c r="J12" s="25">
        <f>SUMIFS(Private!J:J,Private!C:C, "Region 6")</f>
        <v>2</v>
      </c>
      <c r="K12" s="26">
        <f>countifs(Private!C:C,"Region 6")</f>
        <v>2</v>
      </c>
      <c r="L12" s="27">
        <f t="shared" ref="L12:M12" si="8">sum(E12,J12)</f>
        <v>2</v>
      </c>
      <c r="M12" s="28">
        <f t="shared" si="8"/>
        <v>2</v>
      </c>
    </row>
    <row r="13">
      <c r="A13" s="21" t="s">
        <v>20</v>
      </c>
      <c r="B13" s="22">
        <f>SUMIFS(Government!J:J,Government!C:C, "Region 7",Government!K:K, "Type I")</f>
        <v>1</v>
      </c>
      <c r="C13" s="22">
        <f>SUMIFS(Government!J:J,Government!C:C, "Region 7",Government!K:K, "Type II")</f>
        <v>0</v>
      </c>
      <c r="D13" s="22">
        <f>SUMIFS(Government!J:J,Government!C:C, "Region 7",Government!K:K, "Type I &amp; II")</f>
        <v>0</v>
      </c>
      <c r="E13" s="23">
        <f>SUMIFS(Government!J:J,Government!C:C, "Region 7")</f>
        <v>1</v>
      </c>
      <c r="F13" s="24">
        <f>countifs(Government!C:C,"Region 7")</f>
        <v>1</v>
      </c>
      <c r="G13" s="22">
        <f>SUMIFS(Private!J:J,Private!C:C, "Region 7",Private!K:K, "Type I")</f>
        <v>0</v>
      </c>
      <c r="H13" s="22">
        <f>SUMIFS(Private!J:J,Private!C:C, "Region 7",Private!K:K, "Type II")</f>
        <v>4</v>
      </c>
      <c r="I13" s="22">
        <f>SUMIFS(Private!J:J,Private!C:C, "Region 7",Private!K:K, "Type I &amp; II")</f>
        <v>0</v>
      </c>
      <c r="J13" s="25">
        <f>SUMIFS(Private!J:J,Private!C:C, "Region 7")</f>
        <v>4</v>
      </c>
      <c r="K13" s="26">
        <f>countifs(Private!C:C,"Region 7")</f>
        <v>1</v>
      </c>
      <c r="L13" s="27">
        <f t="shared" ref="L13:M13" si="9">sum(E13,J13)</f>
        <v>5</v>
      </c>
      <c r="M13" s="28">
        <f t="shared" si="9"/>
        <v>2</v>
      </c>
    </row>
    <row r="14">
      <c r="A14" s="21" t="s">
        <v>21</v>
      </c>
      <c r="B14" s="22">
        <f>SUMIFS(Government!J:J,Government!C:C, "Region 8",Government!K:K, "Type I")</f>
        <v>15</v>
      </c>
      <c r="C14" s="22">
        <f>SUMIFS(Government!J:J,Government!C:C, "Region 8",Government!K:K, "Type II")</f>
        <v>0</v>
      </c>
      <c r="D14" s="22">
        <f>SUMIFS(Government!J:J,Government!C:C, "Region 8",Government!K:K, "Type I &amp; II")</f>
        <v>0</v>
      </c>
      <c r="E14" s="23">
        <f>SUMIFS(Government!J:J,Government!C:C, "Region 8")</f>
        <v>15</v>
      </c>
      <c r="F14" s="24">
        <f>countifs(Government!C:C,"Region 8")</f>
        <v>14</v>
      </c>
      <c r="G14" s="22">
        <f>SUMIFS(Private!J:J,Private!C:C, "Region 8",Private!K:K, "Type I")</f>
        <v>0</v>
      </c>
      <c r="H14" s="22">
        <f>SUMIFS(Private!J:J,Private!C:C, "Region 8",Private!K:K, "Type II")</f>
        <v>0</v>
      </c>
      <c r="I14" s="22">
        <f>SUMIFS(Private!J:J,Private!C:C, "Region 8",Private!K:K, "Type I &amp; II")</f>
        <v>0</v>
      </c>
      <c r="J14" s="25">
        <f>SUMIFS(Private!J:J,Private!C:C, "Region 8")</f>
        <v>0</v>
      </c>
      <c r="K14" s="26">
        <f>countifs(Private!C:C,"Region 8")</f>
        <v>0</v>
      </c>
      <c r="L14" s="27">
        <f t="shared" ref="L14:M14" si="10">sum(E14,J14)</f>
        <v>15</v>
      </c>
      <c r="M14" s="28">
        <f t="shared" si="10"/>
        <v>14</v>
      </c>
    </row>
    <row r="15">
      <c r="A15" s="21" t="s">
        <v>22</v>
      </c>
      <c r="B15" s="22">
        <f>SUMIFS(Government!J:J,Government!C:C, "Region 9",Government!K:K, "Type I")</f>
        <v>6</v>
      </c>
      <c r="C15" s="22">
        <f>SUMIFS(Government!J:J,Government!C:C, "Region 9",Government!K:K, "Type II")</f>
        <v>0</v>
      </c>
      <c r="D15" s="22">
        <f>SUMIFS(Government!J:J,Government!C:C, "Region 9",Government!K:K, "Type I &amp; II")</f>
        <v>0</v>
      </c>
      <c r="E15" s="23">
        <f>SUMIFS(Government!J:J,Government!C:C, "Region 9")</f>
        <v>6</v>
      </c>
      <c r="F15" s="24">
        <f>countifs(Government!C:C,"Region 9")</f>
        <v>5</v>
      </c>
      <c r="G15" s="22">
        <f>SUMIFS(Private!J:J,Private!C:C, "Region 9",Private!K:K, "Type I")</f>
        <v>2</v>
      </c>
      <c r="H15" s="22">
        <f>SUMIFS(Private!J:J,Private!C:C, "Region 9",Private!K:K, "Type II")</f>
        <v>0</v>
      </c>
      <c r="I15" s="22">
        <f>SUMIFS(Private!J:J,Private!C:C, "Region 9",Private!K:K, "Type I &amp; II")</f>
        <v>0</v>
      </c>
      <c r="J15" s="25">
        <f>SUMIFS(Private!J:J,Private!C:C, "Region 9")</f>
        <v>2</v>
      </c>
      <c r="K15" s="26">
        <f>countifs(Private!C:C,"Region 9")</f>
        <v>1</v>
      </c>
      <c r="L15" s="27">
        <f t="shared" ref="L15:M15" si="11">sum(E15,J15)</f>
        <v>8</v>
      </c>
      <c r="M15" s="28">
        <f t="shared" si="11"/>
        <v>6</v>
      </c>
    </row>
    <row r="16">
      <c r="A16" s="21" t="s">
        <v>23</v>
      </c>
      <c r="B16" s="22">
        <f>SUMIFS(Government!J:J,Government!C:C, "Region 10",Government!K:K, "Type I")</f>
        <v>7</v>
      </c>
      <c r="C16" s="22">
        <f>SUMIFS(Government!J:J,Government!C:C, "Region 10",Government!K:K, "Type II")</f>
        <v>0</v>
      </c>
      <c r="D16" s="22">
        <f>SUMIFS(Government!J:J,Government!C:C, "Region 10",Government!K:K, "Type I &amp; II")</f>
        <v>0</v>
      </c>
      <c r="E16" s="23">
        <f>SUMIFS(Government!J:J,Government!C:C, "Region 10")</f>
        <v>7</v>
      </c>
      <c r="F16" s="24">
        <f>countifs(Government!C:C,"Region 10")</f>
        <v>7</v>
      </c>
      <c r="G16" s="22">
        <f>SUMIFS(Private!J:J,Private!C:C, "Region 10",Private!K:K, "Type I")</f>
        <v>1</v>
      </c>
      <c r="H16" s="22">
        <f>SUMIFS(Private!J:J,Private!C:C, "Region 10",Private!K:K, "Type II")</f>
        <v>0</v>
      </c>
      <c r="I16" s="22">
        <f>SUMIFS(Private!J:J,Private!C:C, "Region 10",Private!K:K, "Type I &amp; II")</f>
        <v>0</v>
      </c>
      <c r="J16" s="25">
        <f>SUMIFS(Private!J:J,Private!C:C, "Region 10")</f>
        <v>1</v>
      </c>
      <c r="K16" s="26">
        <f>countifs(Private!C:C,"Region 10")</f>
        <v>1</v>
      </c>
      <c r="L16" s="27">
        <f t="shared" ref="L16:M16" si="12">sum(E16,J16)</f>
        <v>8</v>
      </c>
      <c r="M16" s="28">
        <f t="shared" si="12"/>
        <v>8</v>
      </c>
    </row>
    <row r="17">
      <c r="A17" s="29" t="s">
        <v>24</v>
      </c>
      <c r="B17" s="22">
        <f>SUMIFS(Government!J:J,Government!C:C, "Region 11",Government!K:K, "Type I")</f>
        <v>57</v>
      </c>
      <c r="C17" s="22">
        <f>SUMIFS(Government!J:J,Government!C:C, "Region 11",Government!K:K, "Type II")</f>
        <v>0</v>
      </c>
      <c r="D17" s="22">
        <f>SUMIFS(Government!J:J,Government!C:C, "Region 11",Government!K:K, "Type I &amp; II")</f>
        <v>0</v>
      </c>
      <c r="E17" s="23">
        <f>SUMIFS(Government!J:J,Government!C:C, "Region 11")</f>
        <v>57</v>
      </c>
      <c r="F17" s="24">
        <f>countifs(Government!C:C,"Region 11")</f>
        <v>8</v>
      </c>
      <c r="G17" s="22">
        <f>SUMIFS(Private!J:J,Private!C:C, "Region 11",Private!K:K, "Type I")</f>
        <v>2</v>
      </c>
      <c r="H17" s="22">
        <f>SUMIFS(Private!J:J,Private!C:C, "Region 11",Private!K:K, "Type II")</f>
        <v>1</v>
      </c>
      <c r="I17" s="22">
        <f>SUMIFS(Private!J:J,Private!C:C, "Region 11",Private!K:K, "Type I &amp; II")</f>
        <v>0</v>
      </c>
      <c r="J17" s="25">
        <f>SUMIFS(Private!J:J,Private!C:C, "Region 11")</f>
        <v>3</v>
      </c>
      <c r="K17" s="26">
        <f>countifs(Private!C:C,"Region 11")</f>
        <v>3</v>
      </c>
      <c r="L17" s="27">
        <f t="shared" ref="L17:M17" si="13">sum(E17,J17)</f>
        <v>60</v>
      </c>
      <c r="M17" s="28">
        <f t="shared" si="13"/>
        <v>11</v>
      </c>
    </row>
    <row r="18">
      <c r="A18" s="21" t="s">
        <v>25</v>
      </c>
      <c r="B18" s="22">
        <f>SUMIFS(Government!J:J,Government!C:C, "Region 12",Government!K:K, "Type I")</f>
        <v>1</v>
      </c>
      <c r="C18" s="22">
        <f>SUMIFS(Government!J:J,Government!C:C, "Region 12",Government!K:K, "Type II")</f>
        <v>0</v>
      </c>
      <c r="D18" s="22">
        <f>SUMIFS(Government!J:J,Government!C:C, "Region 12",Government!K:K, "Type I &amp; II")</f>
        <v>0</v>
      </c>
      <c r="E18" s="23">
        <f>SUMIFS(Government!J:J,Government!C:C, "Region 12")</f>
        <v>1</v>
      </c>
      <c r="F18" s="24">
        <f>countifs(Government!C:C,"Region 12")</f>
        <v>1</v>
      </c>
      <c r="G18" s="22">
        <f>SUMIFS(Private!J:J,Private!C:C, "Region 12",Private!K:K, "Type I")</f>
        <v>1</v>
      </c>
      <c r="H18" s="22">
        <f>SUMIFS(Private!J:J,Private!C:C, "Region 12",Private!K:K, "Type II")</f>
        <v>0</v>
      </c>
      <c r="I18" s="22">
        <f>SUMIFS(Private!J:J,Private!C:C, "Region 12",Private!K:K, "Type I &amp; II")</f>
        <v>0</v>
      </c>
      <c r="J18" s="25">
        <f>SUMIFS(Private!J:J,Private!C:C, "Region 12")</f>
        <v>1</v>
      </c>
      <c r="K18" s="26">
        <f>countifs(Private!C:C,"Region 12")</f>
        <v>1</v>
      </c>
      <c r="L18" s="27">
        <f t="shared" ref="L18:M18" si="14">sum(E18,J18)</f>
        <v>2</v>
      </c>
      <c r="M18" s="28">
        <f t="shared" si="14"/>
        <v>2</v>
      </c>
    </row>
    <row r="19">
      <c r="A19" s="21" t="s">
        <v>26</v>
      </c>
      <c r="B19" s="22">
        <f>SUMIFS(Government!J:J,Government!C:C, "Region 13",Government!K:K, "Type I")</f>
        <v>11</v>
      </c>
      <c r="C19" s="22">
        <f>SUMIFS(Government!J:J,Government!C:C, "Region 13",Government!K:K, "Type II")</f>
        <v>0</v>
      </c>
      <c r="D19" s="22">
        <f>SUMIFS(Government!J:J,Government!C:C, "Region 13",Government!K:K, "Type I &amp; II")</f>
        <v>0</v>
      </c>
      <c r="E19" s="23">
        <f>SUMIFS(Government!J:J,Government!C:C, "Region 13")</f>
        <v>11</v>
      </c>
      <c r="F19" s="24">
        <f>countifs(Government!C:C,"Region 13")</f>
        <v>6</v>
      </c>
      <c r="G19" s="22">
        <f>SUMIFS(Private!J:J,Private!C:C, "Region 13",Private!K:K, "Type I")</f>
        <v>0</v>
      </c>
      <c r="H19" s="22">
        <f>SUMIFS(Private!J:J,Private!C:C, "Region 13",Private!K:K, "Type II")</f>
        <v>0</v>
      </c>
      <c r="I19" s="22">
        <f>SUMIFS(Private!J:J,Private!C:C, "Region 13",Private!K:K, "Type I &amp; II")</f>
        <v>0</v>
      </c>
      <c r="J19" s="25">
        <f>SUMIFS(Private!J:J,Private!C:C, "Region 13")</f>
        <v>0</v>
      </c>
      <c r="K19" s="26">
        <f>countifs(Private!C:C,"Region 13")</f>
        <v>0</v>
      </c>
      <c r="L19" s="27">
        <f t="shared" ref="L19:M19" si="15">sum(E19,J19)</f>
        <v>11</v>
      </c>
      <c r="M19" s="28">
        <f t="shared" si="15"/>
        <v>6</v>
      </c>
    </row>
    <row r="20">
      <c r="A20" s="21" t="s">
        <v>27</v>
      </c>
      <c r="B20" s="22">
        <f>SUMIFS(Government!J:J,Government!C:C, "Cordillera",Government!K:K, "Type I")</f>
        <v>4</v>
      </c>
      <c r="C20" s="22">
        <f>SUMIFS(Government!J:J,Government!C:C, "Cordillera",Government!K:K, "Type II")</f>
        <v>0</v>
      </c>
      <c r="D20" s="22">
        <f>SUMIFS(Government!J:J,Government!C:C, "Cordillera",Government!K:K, "Type I &amp; II")</f>
        <v>0</v>
      </c>
      <c r="E20" s="23">
        <f>SUMIFS(Government!J:J,Government!C:C, "Cordillera")</f>
        <v>4</v>
      </c>
      <c r="F20" s="24">
        <f>countifs(Government!C:C,"Cordillera")</f>
        <v>4</v>
      </c>
      <c r="G20" s="22">
        <f>SUMIFS(Private!J:J,Private!C:C, "Cordillera",Private!K:K, "Type I")</f>
        <v>2</v>
      </c>
      <c r="H20" s="22">
        <f>SUMIFS(Private!J:J,Private!C:C, "Cordillera",Private!K:K, "Type II")</f>
        <v>5</v>
      </c>
      <c r="I20" s="22">
        <f>SUMIFS(Private!J:J,Private!C:C, "Cordillera",Private!K:K, "Type I &amp; II")</f>
        <v>0</v>
      </c>
      <c r="J20" s="25">
        <f>SUMIFS(Private!J:J,Private!C:C, "Cordillera")</f>
        <v>7</v>
      </c>
      <c r="K20" s="26">
        <f>countifs(Private!C:C,"Cordillera")</f>
        <v>6</v>
      </c>
      <c r="L20" s="27">
        <f t="shared" ref="L20:M20" si="16">sum(E20,J20)</f>
        <v>11</v>
      </c>
      <c r="M20" s="28">
        <f t="shared" si="16"/>
        <v>10</v>
      </c>
    </row>
    <row r="21">
      <c r="A21" s="21" t="s">
        <v>28</v>
      </c>
      <c r="B21" s="22">
        <f>SUMIFS(Government!J:J,Government!C:C, "NIR",Government!K:K, "Type I")</f>
        <v>1</v>
      </c>
      <c r="C21" s="22">
        <f>SUMIFS(Government!J:J,Government!C:C, "NIR",Government!K:K, "Type II")</f>
        <v>0</v>
      </c>
      <c r="D21" s="22">
        <f>SUMIFS(Government!J:J,Government!C:C, "NIR",Government!K:K, "Type I &amp; II")</f>
        <v>0</v>
      </c>
      <c r="E21" s="23">
        <f>SUMIFS(Government!J:J,Government!C:C, "NIR")</f>
        <v>1</v>
      </c>
      <c r="F21" s="24">
        <f>countifs(Government!C:C,"NIR")</f>
        <v>1</v>
      </c>
      <c r="G21" s="22">
        <f>SUMIFS(Private!J:J,Private!C:C, "NIR",Private!K:K, "Type I")</f>
        <v>0</v>
      </c>
      <c r="H21" s="22">
        <f>SUMIFS(Private!J:J,Private!C:C, "NIR",Private!K:K, "Type II")</f>
        <v>0</v>
      </c>
      <c r="I21" s="22">
        <f>SUMIFS(Private!J:J,Private!C:C, "NIR",Private!K:K, "Type I &amp; II")</f>
        <v>0</v>
      </c>
      <c r="J21" s="25">
        <f>SUMIFS(Private!J:J,Private!C:C, "NIR")</f>
        <v>0</v>
      </c>
      <c r="K21" s="26">
        <f>countifs(Private!C:C,"NIR")</f>
        <v>0</v>
      </c>
      <c r="L21" s="27">
        <f t="shared" ref="L21:M21" si="17">sum(E21,J21)</f>
        <v>1</v>
      </c>
      <c r="M21" s="28">
        <f t="shared" si="17"/>
        <v>1</v>
      </c>
    </row>
    <row r="22">
      <c r="A22" s="21" t="s">
        <v>29</v>
      </c>
      <c r="B22" s="22">
        <f>SUMIFS(Government!J:J,Government!C:C, "BARMM",Government!K:K, "Type I")</f>
        <v>0</v>
      </c>
      <c r="C22" s="22">
        <f>SUMIFS(Government!J:J,Government!C:C, "BARMM",Government!K:K, "Type II")</f>
        <v>0</v>
      </c>
      <c r="D22" s="22">
        <f>SUMIFS(Government!J:J,Government!C:C, "BARMM",Government!K:K, "Type I &amp; II")</f>
        <v>0</v>
      </c>
      <c r="E22" s="23">
        <f>SUMIFS(Government!J:J,Government!C:C, "BARMM")</f>
        <v>0</v>
      </c>
      <c r="F22" s="24">
        <f>countifs(Government!C:C,"BARMM")</f>
        <v>0</v>
      </c>
      <c r="G22" s="22">
        <f>SUMIFS(Private!J:J,Private!C:C, "BARMM",Private!K:K, "Type I")</f>
        <v>0</v>
      </c>
      <c r="H22" s="22">
        <f>SUMIFS(Private!J:J,Private!C:C, "BARMM",Private!K:K, "Type II")</f>
        <v>0</v>
      </c>
      <c r="I22" s="22">
        <f>SUMIFS(Private!J:J,Private!C:C, "BARMM",Private!K:K, "Type I &amp; II")</f>
        <v>0</v>
      </c>
      <c r="J22" s="25">
        <f>SUMIFS(Private!J:J,Private!C:C, "BARMM")</f>
        <v>0</v>
      </c>
      <c r="K22" s="26">
        <f>countifs(Private!C:C,"BARMM")</f>
        <v>0</v>
      </c>
      <c r="L22" s="27">
        <f t="shared" ref="L22:M22" si="18">sum(E22,J22)</f>
        <v>0</v>
      </c>
      <c r="M22" s="28">
        <f t="shared" si="18"/>
        <v>0</v>
      </c>
    </row>
    <row r="23">
      <c r="A23" s="30" t="s">
        <v>30</v>
      </c>
      <c r="B23" s="31">
        <f t="shared" ref="B23:M23" si="19">sum(B5:B22)</f>
        <v>156</v>
      </c>
      <c r="C23" s="31">
        <f t="shared" si="19"/>
        <v>2</v>
      </c>
      <c r="D23" s="31">
        <f t="shared" si="19"/>
        <v>0</v>
      </c>
      <c r="E23" s="32">
        <f t="shared" si="19"/>
        <v>158</v>
      </c>
      <c r="F23" s="32">
        <f t="shared" si="19"/>
        <v>81</v>
      </c>
      <c r="G23" s="31">
        <f t="shared" si="19"/>
        <v>39</v>
      </c>
      <c r="H23" s="31">
        <f t="shared" si="19"/>
        <v>57</v>
      </c>
      <c r="I23" s="31">
        <f t="shared" si="19"/>
        <v>0</v>
      </c>
      <c r="J23" s="32">
        <f t="shared" si="19"/>
        <v>96</v>
      </c>
      <c r="K23" s="32">
        <f t="shared" si="19"/>
        <v>55</v>
      </c>
      <c r="L23" s="33">
        <f t="shared" si="19"/>
        <v>254</v>
      </c>
      <c r="M23" s="33">
        <f t="shared" si="19"/>
        <v>136</v>
      </c>
    </row>
  </sheetData>
  <mergeCells count="8">
    <mergeCell ref="A1:M1"/>
    <mergeCell ref="A2:A4"/>
    <mergeCell ref="B2:E3"/>
    <mergeCell ref="F2:F4"/>
    <mergeCell ref="G2:J3"/>
    <mergeCell ref="K2:K4"/>
    <mergeCell ref="L2:L4"/>
    <mergeCell ref="M2:M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hidden="1" min="2" max="2" width="16.38"/>
    <col customWidth="1" min="3" max="5" width="16.38"/>
    <col customWidth="1" min="6" max="7" width="37.63"/>
    <col customWidth="1" min="8" max="8" width="16.38"/>
    <col customWidth="1" hidden="1" min="9" max="9" width="37.63"/>
    <col customWidth="1" min="10" max="11" width="16.38"/>
    <col customWidth="1" hidden="1" min="12" max="12" width="37.63"/>
    <col customWidth="1" hidden="1" min="13" max="14" width="16.38"/>
    <col customWidth="1" min="15" max="16" width="16.38"/>
    <col customWidth="1" hidden="1" min="17" max="20" width="16.38"/>
    <col hidden="1" min="21" max="21" width="12.63"/>
  </cols>
  <sheetData>
    <row r="1">
      <c r="A1" s="34" t="s">
        <v>31</v>
      </c>
      <c r="B1" s="34" t="s">
        <v>32</v>
      </c>
      <c r="C1" s="34" t="s">
        <v>1</v>
      </c>
      <c r="D1" s="34" t="s">
        <v>33</v>
      </c>
      <c r="E1" s="34" t="s">
        <v>34</v>
      </c>
      <c r="F1" s="34" t="s">
        <v>35</v>
      </c>
      <c r="G1" s="34" t="s">
        <v>36</v>
      </c>
      <c r="H1" s="34" t="s">
        <v>37</v>
      </c>
      <c r="I1" s="34" t="s">
        <v>38</v>
      </c>
      <c r="J1" s="34" t="s">
        <v>39</v>
      </c>
      <c r="K1" s="34" t="s">
        <v>40</v>
      </c>
      <c r="L1" s="34" t="s">
        <v>41</v>
      </c>
      <c r="M1" s="34" t="s">
        <v>42</v>
      </c>
      <c r="N1" s="34" t="s">
        <v>43</v>
      </c>
      <c r="O1" s="34" t="s">
        <v>44</v>
      </c>
      <c r="P1" s="34" t="s">
        <v>45</v>
      </c>
      <c r="Q1" s="34" t="s">
        <v>46</v>
      </c>
      <c r="R1" s="35" t="s">
        <v>47</v>
      </c>
      <c r="S1" s="36" t="s">
        <v>48</v>
      </c>
      <c r="T1" s="34" t="s">
        <v>49</v>
      </c>
      <c r="U1" s="37" t="s">
        <v>50</v>
      </c>
    </row>
    <row r="2">
      <c r="A2" s="38">
        <v>1.0</v>
      </c>
      <c r="B2" s="39"/>
      <c r="C2" s="40" t="s">
        <v>51</v>
      </c>
      <c r="D2" s="40" t="s">
        <v>52</v>
      </c>
      <c r="E2" s="40" t="s">
        <v>53</v>
      </c>
      <c r="F2" s="38" t="s">
        <v>54</v>
      </c>
      <c r="G2" s="41" t="s">
        <v>55</v>
      </c>
      <c r="H2" s="38" t="s">
        <v>56</v>
      </c>
      <c r="I2" s="38" t="s">
        <v>57</v>
      </c>
      <c r="J2" s="38">
        <v>2.0</v>
      </c>
      <c r="K2" s="40" t="s">
        <v>8</v>
      </c>
      <c r="L2" s="38" t="s">
        <v>58</v>
      </c>
      <c r="M2" s="39"/>
      <c r="N2" s="39"/>
      <c r="O2" s="42">
        <v>45730.0</v>
      </c>
      <c r="P2" s="42">
        <v>46752.0</v>
      </c>
      <c r="Q2" s="43" t="s">
        <v>59</v>
      </c>
      <c r="R2" s="43" t="s">
        <v>60</v>
      </c>
      <c r="S2" s="44"/>
      <c r="T2" s="45"/>
      <c r="U2" s="46" t="s">
        <v>61</v>
      </c>
    </row>
    <row r="3">
      <c r="A3" s="38">
        <v>2.0</v>
      </c>
      <c r="B3" s="38">
        <v>48584.0</v>
      </c>
      <c r="C3" s="40" t="s">
        <v>51</v>
      </c>
      <c r="D3" s="40" t="s">
        <v>52</v>
      </c>
      <c r="E3" s="40" t="s">
        <v>62</v>
      </c>
      <c r="F3" s="40" t="s">
        <v>63</v>
      </c>
      <c r="G3" s="41" t="s">
        <v>64</v>
      </c>
      <c r="H3" s="38" t="s">
        <v>56</v>
      </c>
      <c r="I3" s="40" t="s">
        <v>65</v>
      </c>
      <c r="J3" s="40">
        <v>1.0</v>
      </c>
      <c r="K3" s="40" t="s">
        <v>8</v>
      </c>
      <c r="L3" s="40" t="s">
        <v>66</v>
      </c>
      <c r="M3" s="40" t="s">
        <v>67</v>
      </c>
      <c r="N3" s="47" t="s">
        <v>68</v>
      </c>
      <c r="O3" s="48">
        <v>45639.0</v>
      </c>
      <c r="P3" s="48">
        <v>46387.0</v>
      </c>
      <c r="Q3" s="43" t="s">
        <v>69</v>
      </c>
      <c r="R3" s="43" t="s">
        <v>60</v>
      </c>
      <c r="S3" s="44"/>
      <c r="T3" s="45"/>
      <c r="U3" s="46" t="s">
        <v>61</v>
      </c>
    </row>
    <row r="4">
      <c r="A4" s="38">
        <v>3.0</v>
      </c>
      <c r="B4" s="38">
        <v>48582.0</v>
      </c>
      <c r="C4" s="40" t="s">
        <v>51</v>
      </c>
      <c r="D4" s="40" t="s">
        <v>52</v>
      </c>
      <c r="E4" s="40" t="s">
        <v>70</v>
      </c>
      <c r="F4" s="40" t="s">
        <v>71</v>
      </c>
      <c r="G4" s="41" t="s">
        <v>72</v>
      </c>
      <c r="H4" s="38" t="s">
        <v>56</v>
      </c>
      <c r="I4" s="40" t="s">
        <v>72</v>
      </c>
      <c r="J4" s="40">
        <v>1.0</v>
      </c>
      <c r="K4" s="40" t="s">
        <v>8</v>
      </c>
      <c r="L4" s="40" t="s">
        <v>73</v>
      </c>
      <c r="M4" s="40" t="s">
        <v>74</v>
      </c>
      <c r="N4" s="49" t="s">
        <v>75</v>
      </c>
      <c r="O4" s="48">
        <v>45292.0</v>
      </c>
      <c r="P4" s="48">
        <v>46387.0</v>
      </c>
      <c r="Q4" s="43" t="s">
        <v>76</v>
      </c>
      <c r="R4" s="43" t="s">
        <v>60</v>
      </c>
      <c r="S4" s="44"/>
      <c r="T4" s="45"/>
      <c r="U4" s="46" t="s">
        <v>61</v>
      </c>
    </row>
    <row r="5">
      <c r="A5" s="38">
        <v>4.0</v>
      </c>
      <c r="B5" s="38">
        <v>48583.0</v>
      </c>
      <c r="C5" s="40" t="s">
        <v>51</v>
      </c>
      <c r="D5" s="40" t="s">
        <v>52</v>
      </c>
      <c r="E5" s="40" t="s">
        <v>77</v>
      </c>
      <c r="F5" s="40" t="s">
        <v>78</v>
      </c>
      <c r="G5" s="41" t="s">
        <v>79</v>
      </c>
      <c r="H5" s="38" t="s">
        <v>56</v>
      </c>
      <c r="I5" s="40" t="s">
        <v>80</v>
      </c>
      <c r="J5" s="40">
        <v>1.0</v>
      </c>
      <c r="K5" s="40" t="s">
        <v>8</v>
      </c>
      <c r="L5" s="40" t="s">
        <v>81</v>
      </c>
      <c r="M5" s="40" t="s">
        <v>82</v>
      </c>
      <c r="N5" s="49" t="s">
        <v>83</v>
      </c>
      <c r="O5" s="48">
        <v>45625.0</v>
      </c>
      <c r="P5" s="48">
        <v>46387.0</v>
      </c>
      <c r="Q5" s="43" t="s">
        <v>84</v>
      </c>
      <c r="R5" s="43" t="s">
        <v>60</v>
      </c>
      <c r="S5" s="44"/>
      <c r="T5" s="45"/>
      <c r="U5" s="46"/>
    </row>
    <row r="6">
      <c r="A6" s="38">
        <v>5.0</v>
      </c>
      <c r="B6" s="38">
        <v>50621.0</v>
      </c>
      <c r="C6" s="40" t="s">
        <v>51</v>
      </c>
      <c r="D6" s="40" t="s">
        <v>85</v>
      </c>
      <c r="E6" s="40" t="s">
        <v>86</v>
      </c>
      <c r="F6" s="40" t="s">
        <v>87</v>
      </c>
      <c r="G6" s="41" t="s">
        <v>88</v>
      </c>
      <c r="H6" s="38" t="s">
        <v>56</v>
      </c>
      <c r="I6" s="40" t="s">
        <v>89</v>
      </c>
      <c r="J6" s="40">
        <v>1.0</v>
      </c>
      <c r="K6" s="40" t="s">
        <v>8</v>
      </c>
      <c r="L6" s="40" t="s">
        <v>90</v>
      </c>
      <c r="M6" s="50"/>
      <c r="N6" s="44"/>
      <c r="O6" s="48">
        <v>45386.0</v>
      </c>
      <c r="P6" s="48">
        <v>46387.0</v>
      </c>
      <c r="Q6" s="43" t="s">
        <v>91</v>
      </c>
      <c r="R6" s="43" t="s">
        <v>92</v>
      </c>
      <c r="S6" s="44"/>
      <c r="T6" s="45"/>
      <c r="U6" s="46"/>
    </row>
    <row r="7">
      <c r="A7" s="38">
        <v>6.0</v>
      </c>
      <c r="B7" s="38">
        <v>48641.0</v>
      </c>
      <c r="C7" s="40" t="s">
        <v>51</v>
      </c>
      <c r="D7" s="40" t="s">
        <v>93</v>
      </c>
      <c r="E7" s="40" t="s">
        <v>94</v>
      </c>
      <c r="F7" s="40" t="s">
        <v>95</v>
      </c>
      <c r="G7" s="41" t="s">
        <v>96</v>
      </c>
      <c r="H7" s="38" t="s">
        <v>56</v>
      </c>
      <c r="I7" s="40" t="s">
        <v>96</v>
      </c>
      <c r="J7" s="40">
        <v>5.0</v>
      </c>
      <c r="K7" s="40" t="s">
        <v>8</v>
      </c>
      <c r="L7" s="40" t="s">
        <v>97</v>
      </c>
      <c r="M7" s="40" t="s">
        <v>98</v>
      </c>
      <c r="N7" s="49" t="s">
        <v>99</v>
      </c>
      <c r="O7" s="48">
        <v>45642.0</v>
      </c>
      <c r="P7" s="48">
        <v>46387.0</v>
      </c>
      <c r="Q7" s="43" t="s">
        <v>100</v>
      </c>
      <c r="R7" s="43" t="s">
        <v>60</v>
      </c>
      <c r="S7" s="47" t="s">
        <v>101</v>
      </c>
      <c r="T7" s="45"/>
      <c r="U7" s="46"/>
    </row>
    <row r="8">
      <c r="A8" s="38">
        <v>7.0</v>
      </c>
      <c r="B8" s="39"/>
      <c r="C8" s="40" t="s">
        <v>51</v>
      </c>
      <c r="D8" s="40" t="s">
        <v>102</v>
      </c>
      <c r="E8" s="40" t="s">
        <v>103</v>
      </c>
      <c r="F8" s="38" t="s">
        <v>104</v>
      </c>
      <c r="G8" s="41" t="s">
        <v>105</v>
      </c>
      <c r="H8" s="38" t="s">
        <v>56</v>
      </c>
      <c r="I8" s="38" t="s">
        <v>106</v>
      </c>
      <c r="J8" s="38">
        <v>1.0</v>
      </c>
      <c r="K8" s="40" t="s">
        <v>8</v>
      </c>
      <c r="L8" s="38" t="s">
        <v>107</v>
      </c>
      <c r="M8" s="39"/>
      <c r="N8" s="39"/>
      <c r="O8" s="42">
        <v>45810.0</v>
      </c>
      <c r="P8" s="42">
        <v>46752.0</v>
      </c>
      <c r="Q8" s="43" t="s">
        <v>108</v>
      </c>
      <c r="R8" s="43" t="s">
        <v>60</v>
      </c>
      <c r="S8" s="47" t="s">
        <v>101</v>
      </c>
      <c r="T8" s="45"/>
      <c r="U8" s="46"/>
    </row>
    <row r="9">
      <c r="A9" s="38">
        <v>8.0</v>
      </c>
      <c r="B9" s="38">
        <v>48645.0</v>
      </c>
      <c r="C9" s="40" t="s">
        <v>51</v>
      </c>
      <c r="D9" s="40" t="s">
        <v>102</v>
      </c>
      <c r="E9" s="40" t="s">
        <v>109</v>
      </c>
      <c r="F9" s="40" t="s">
        <v>110</v>
      </c>
      <c r="G9" s="41" t="s">
        <v>111</v>
      </c>
      <c r="H9" s="38" t="s">
        <v>56</v>
      </c>
      <c r="I9" s="40" t="s">
        <v>112</v>
      </c>
      <c r="J9" s="40">
        <v>3.0</v>
      </c>
      <c r="K9" s="40" t="s">
        <v>8</v>
      </c>
      <c r="L9" s="40" t="s">
        <v>113</v>
      </c>
      <c r="M9" s="40" t="s">
        <v>114</v>
      </c>
      <c r="N9" s="47" t="s">
        <v>115</v>
      </c>
      <c r="O9" s="48">
        <v>45376.0</v>
      </c>
      <c r="P9" s="48">
        <v>46752.0</v>
      </c>
      <c r="Q9" s="43" t="s">
        <v>116</v>
      </c>
      <c r="R9" s="43" t="s">
        <v>60</v>
      </c>
      <c r="S9" s="47" t="s">
        <v>101</v>
      </c>
      <c r="T9" s="45"/>
      <c r="U9" s="46"/>
    </row>
    <row r="10">
      <c r="A10" s="38">
        <v>9.0</v>
      </c>
      <c r="B10" s="45"/>
      <c r="C10" s="47" t="s">
        <v>117</v>
      </c>
      <c r="D10" s="47" t="s">
        <v>118</v>
      </c>
      <c r="E10" s="47" t="s">
        <v>119</v>
      </c>
      <c r="F10" s="43" t="s">
        <v>120</v>
      </c>
      <c r="G10" s="51" t="s">
        <v>121</v>
      </c>
      <c r="H10" s="43" t="s">
        <v>56</v>
      </c>
      <c r="I10" s="43" t="s">
        <v>122</v>
      </c>
      <c r="J10" s="43">
        <v>1.0</v>
      </c>
      <c r="K10" s="47" t="s">
        <v>8</v>
      </c>
      <c r="L10" s="43" t="s">
        <v>123</v>
      </c>
      <c r="M10" s="43">
        <v>9.976508245E9</v>
      </c>
      <c r="N10" s="43" t="s">
        <v>124</v>
      </c>
      <c r="O10" s="52">
        <v>45834.0</v>
      </c>
      <c r="P10" s="52">
        <v>46752.0</v>
      </c>
      <c r="Q10" s="43" t="s">
        <v>125</v>
      </c>
      <c r="R10" s="43" t="s">
        <v>126</v>
      </c>
      <c r="S10" s="44"/>
      <c r="T10" s="45"/>
      <c r="U10" s="46" t="s">
        <v>61</v>
      </c>
    </row>
    <row r="11">
      <c r="A11" s="38">
        <v>10.0</v>
      </c>
      <c r="B11" s="45"/>
      <c r="C11" s="47" t="s">
        <v>117</v>
      </c>
      <c r="D11" s="47" t="s">
        <v>118</v>
      </c>
      <c r="E11" s="47" t="s">
        <v>127</v>
      </c>
      <c r="F11" s="43" t="s">
        <v>128</v>
      </c>
      <c r="G11" s="51" t="s">
        <v>129</v>
      </c>
      <c r="H11" s="43" t="s">
        <v>56</v>
      </c>
      <c r="I11" s="43" t="s">
        <v>122</v>
      </c>
      <c r="J11" s="43">
        <v>1.0</v>
      </c>
      <c r="K11" s="47" t="s">
        <v>8</v>
      </c>
      <c r="L11" s="43" t="s">
        <v>130</v>
      </c>
      <c r="M11" s="43">
        <v>9.532349544E9</v>
      </c>
      <c r="N11" s="43" t="s">
        <v>131</v>
      </c>
      <c r="O11" s="52">
        <v>45519.0</v>
      </c>
      <c r="P11" s="52">
        <v>46387.0</v>
      </c>
      <c r="Q11" s="43" t="s">
        <v>132</v>
      </c>
      <c r="R11" s="43" t="s">
        <v>126</v>
      </c>
      <c r="S11" s="44"/>
      <c r="T11" s="45"/>
      <c r="U11" s="46" t="s">
        <v>61</v>
      </c>
    </row>
    <row r="12">
      <c r="A12" s="38">
        <v>11.0</v>
      </c>
      <c r="B12" s="45"/>
      <c r="C12" s="47" t="s">
        <v>117</v>
      </c>
      <c r="D12" s="47" t="s">
        <v>133</v>
      </c>
      <c r="E12" s="47" t="s">
        <v>134</v>
      </c>
      <c r="F12" s="43" t="s">
        <v>135</v>
      </c>
      <c r="G12" s="51" t="s">
        <v>136</v>
      </c>
      <c r="H12" s="43" t="s">
        <v>56</v>
      </c>
      <c r="I12" s="43" t="s">
        <v>122</v>
      </c>
      <c r="J12" s="43">
        <v>1.0</v>
      </c>
      <c r="K12" s="47" t="s">
        <v>8</v>
      </c>
      <c r="L12" s="43" t="s">
        <v>137</v>
      </c>
      <c r="M12" s="43">
        <v>9.177931779E9</v>
      </c>
      <c r="N12" s="43" t="s">
        <v>138</v>
      </c>
      <c r="O12" s="52">
        <v>45740.0</v>
      </c>
      <c r="P12" s="52">
        <v>46752.0</v>
      </c>
      <c r="Q12" s="43" t="s">
        <v>139</v>
      </c>
      <c r="R12" s="43" t="s">
        <v>126</v>
      </c>
      <c r="S12" s="44"/>
      <c r="T12" s="45"/>
      <c r="U12" s="46"/>
    </row>
    <row r="13">
      <c r="A13" s="38">
        <v>12.0</v>
      </c>
      <c r="B13" s="45"/>
      <c r="C13" s="47" t="s">
        <v>117</v>
      </c>
      <c r="D13" s="47" t="s">
        <v>133</v>
      </c>
      <c r="E13" s="47" t="s">
        <v>140</v>
      </c>
      <c r="F13" s="43" t="s">
        <v>141</v>
      </c>
      <c r="G13" s="51" t="s">
        <v>142</v>
      </c>
      <c r="H13" s="43" t="s">
        <v>56</v>
      </c>
      <c r="I13" s="43" t="s">
        <v>122</v>
      </c>
      <c r="J13" s="43">
        <v>3.0</v>
      </c>
      <c r="K13" s="47" t="s">
        <v>8</v>
      </c>
      <c r="L13" s="43" t="s">
        <v>143</v>
      </c>
      <c r="M13" s="43">
        <v>9.561703191E9</v>
      </c>
      <c r="N13" s="43" t="s">
        <v>144</v>
      </c>
      <c r="O13" s="52">
        <v>45566.0</v>
      </c>
      <c r="P13" s="52">
        <v>46387.0</v>
      </c>
      <c r="Q13" s="43" t="s">
        <v>145</v>
      </c>
      <c r="R13" s="43" t="s">
        <v>126</v>
      </c>
      <c r="S13" s="44"/>
      <c r="T13" s="45"/>
      <c r="U13" s="46"/>
    </row>
    <row r="14">
      <c r="A14" s="38">
        <v>13.0</v>
      </c>
      <c r="B14" s="45"/>
      <c r="C14" s="47" t="s">
        <v>117</v>
      </c>
      <c r="D14" s="47" t="s">
        <v>133</v>
      </c>
      <c r="E14" s="47" t="s">
        <v>146</v>
      </c>
      <c r="F14" s="43" t="s">
        <v>147</v>
      </c>
      <c r="G14" s="51" t="s">
        <v>148</v>
      </c>
      <c r="H14" s="43" t="s">
        <v>56</v>
      </c>
      <c r="I14" s="43" t="s">
        <v>149</v>
      </c>
      <c r="J14" s="43">
        <v>1.0</v>
      </c>
      <c r="K14" s="47" t="s">
        <v>8</v>
      </c>
      <c r="L14" s="43" t="s">
        <v>150</v>
      </c>
      <c r="M14" s="43">
        <v>9.17507995E9</v>
      </c>
      <c r="N14" s="43" t="s">
        <v>151</v>
      </c>
      <c r="O14" s="52">
        <v>45728.0</v>
      </c>
      <c r="P14" s="52">
        <v>46752.0</v>
      </c>
      <c r="Q14" s="43" t="s">
        <v>152</v>
      </c>
      <c r="R14" s="43" t="s">
        <v>60</v>
      </c>
      <c r="S14" s="44"/>
      <c r="T14" s="45"/>
      <c r="U14" s="46"/>
    </row>
    <row r="15">
      <c r="A15" s="38">
        <v>14.0</v>
      </c>
      <c r="B15" s="45"/>
      <c r="C15" s="47" t="s">
        <v>117</v>
      </c>
      <c r="D15" s="47" t="s">
        <v>153</v>
      </c>
      <c r="E15" s="47" t="s">
        <v>154</v>
      </c>
      <c r="F15" s="43" t="s">
        <v>155</v>
      </c>
      <c r="G15" s="51" t="s">
        <v>156</v>
      </c>
      <c r="H15" s="43" t="s">
        <v>56</v>
      </c>
      <c r="I15" s="43" t="s">
        <v>157</v>
      </c>
      <c r="J15" s="43">
        <v>1.0</v>
      </c>
      <c r="K15" s="47" t="s">
        <v>8</v>
      </c>
      <c r="L15" s="43" t="s">
        <v>158</v>
      </c>
      <c r="M15" s="43">
        <v>9.065739694E9</v>
      </c>
      <c r="N15" s="43" t="s">
        <v>138</v>
      </c>
      <c r="O15" s="52">
        <v>45658.0</v>
      </c>
      <c r="P15" s="52">
        <v>46752.0</v>
      </c>
      <c r="Q15" s="43" t="s">
        <v>159</v>
      </c>
      <c r="R15" s="43" t="s">
        <v>60</v>
      </c>
      <c r="S15" s="44"/>
      <c r="T15" s="45"/>
      <c r="U15" s="46"/>
    </row>
    <row r="16">
      <c r="A16" s="38">
        <v>15.0</v>
      </c>
      <c r="B16" s="45"/>
      <c r="C16" s="47" t="s">
        <v>117</v>
      </c>
      <c r="D16" s="47" t="s">
        <v>153</v>
      </c>
      <c r="E16" s="47" t="s">
        <v>160</v>
      </c>
      <c r="F16" s="43" t="s">
        <v>161</v>
      </c>
      <c r="G16" s="51" t="s">
        <v>162</v>
      </c>
      <c r="H16" s="43" t="s">
        <v>56</v>
      </c>
      <c r="I16" s="43" t="s">
        <v>122</v>
      </c>
      <c r="J16" s="43">
        <v>3.0</v>
      </c>
      <c r="K16" s="47" t="s">
        <v>8</v>
      </c>
      <c r="L16" s="43" t="s">
        <v>163</v>
      </c>
      <c r="M16" s="43">
        <v>9.171031401E9</v>
      </c>
      <c r="N16" s="43" t="s">
        <v>164</v>
      </c>
      <c r="O16" s="52">
        <v>46023.0</v>
      </c>
      <c r="P16" s="52">
        <v>47118.0</v>
      </c>
      <c r="Q16" s="43" t="s">
        <v>165</v>
      </c>
      <c r="R16" s="43" t="s">
        <v>60</v>
      </c>
      <c r="S16" s="44"/>
      <c r="T16" s="45"/>
      <c r="U16" s="46"/>
    </row>
    <row r="17">
      <c r="A17" s="38">
        <v>16.0</v>
      </c>
      <c r="B17" s="45"/>
      <c r="C17" s="47" t="s">
        <v>166</v>
      </c>
      <c r="D17" s="47" t="s">
        <v>167</v>
      </c>
      <c r="E17" s="47" t="s">
        <v>168</v>
      </c>
      <c r="F17" s="43" t="s">
        <v>169</v>
      </c>
      <c r="G17" s="51" t="s">
        <v>170</v>
      </c>
      <c r="H17" s="43" t="s">
        <v>56</v>
      </c>
      <c r="I17" s="43" t="s">
        <v>171</v>
      </c>
      <c r="J17" s="43">
        <v>2.0</v>
      </c>
      <c r="K17" s="47" t="s">
        <v>8</v>
      </c>
      <c r="L17" s="43" t="s">
        <v>172</v>
      </c>
      <c r="M17" s="43" t="s">
        <v>173</v>
      </c>
      <c r="N17" s="43" t="s">
        <v>174</v>
      </c>
      <c r="O17" s="52">
        <v>45749.0</v>
      </c>
      <c r="P17" s="52">
        <v>46752.0</v>
      </c>
      <c r="Q17" s="43" t="s">
        <v>175</v>
      </c>
      <c r="R17" s="43" t="s">
        <v>92</v>
      </c>
      <c r="S17" s="44"/>
      <c r="T17" s="45"/>
      <c r="U17" s="46"/>
    </row>
    <row r="18">
      <c r="A18" s="38">
        <v>17.0</v>
      </c>
      <c r="B18" s="43">
        <v>48649.0</v>
      </c>
      <c r="C18" s="47" t="s">
        <v>166</v>
      </c>
      <c r="D18" s="47" t="s">
        <v>167</v>
      </c>
      <c r="E18" s="47" t="s">
        <v>176</v>
      </c>
      <c r="F18" s="43" t="s">
        <v>177</v>
      </c>
      <c r="G18" s="51" t="s">
        <v>178</v>
      </c>
      <c r="H18" s="43" t="s">
        <v>56</v>
      </c>
      <c r="I18" s="43" t="s">
        <v>179</v>
      </c>
      <c r="J18" s="43">
        <v>3.0</v>
      </c>
      <c r="K18" s="47" t="s">
        <v>8</v>
      </c>
      <c r="L18" s="43" t="s">
        <v>180</v>
      </c>
      <c r="M18" s="43" t="s">
        <v>181</v>
      </c>
      <c r="N18" s="43" t="s">
        <v>182</v>
      </c>
      <c r="O18" s="52">
        <v>45658.0</v>
      </c>
      <c r="P18" s="52">
        <v>46752.0</v>
      </c>
      <c r="Q18" s="43" t="s">
        <v>183</v>
      </c>
      <c r="R18" s="43" t="s">
        <v>60</v>
      </c>
      <c r="S18" s="44"/>
      <c r="T18" s="45"/>
      <c r="U18" s="46"/>
    </row>
    <row r="19">
      <c r="A19" s="38">
        <v>18.0</v>
      </c>
      <c r="B19" s="43">
        <v>51440.0</v>
      </c>
      <c r="C19" s="47" t="s">
        <v>166</v>
      </c>
      <c r="D19" s="47" t="s">
        <v>184</v>
      </c>
      <c r="E19" s="47" t="s">
        <v>185</v>
      </c>
      <c r="F19" s="43" t="s">
        <v>186</v>
      </c>
      <c r="G19" s="51" t="s">
        <v>187</v>
      </c>
      <c r="H19" s="43" t="s">
        <v>56</v>
      </c>
      <c r="I19" s="43" t="s">
        <v>188</v>
      </c>
      <c r="J19" s="43">
        <v>4.0</v>
      </c>
      <c r="K19" s="47" t="s">
        <v>8</v>
      </c>
      <c r="L19" s="43" t="s">
        <v>189</v>
      </c>
      <c r="M19" s="43" t="s">
        <v>190</v>
      </c>
      <c r="N19" s="43" t="s">
        <v>191</v>
      </c>
      <c r="O19" s="52">
        <v>45481.0</v>
      </c>
      <c r="P19" s="52">
        <v>46387.0</v>
      </c>
      <c r="Q19" s="43" t="s">
        <v>192</v>
      </c>
      <c r="R19" s="43" t="s">
        <v>126</v>
      </c>
      <c r="S19" s="44"/>
      <c r="T19" s="45"/>
      <c r="U19" s="53"/>
    </row>
    <row r="20">
      <c r="A20" s="38">
        <v>19.0</v>
      </c>
      <c r="B20" s="43">
        <v>50484.0</v>
      </c>
      <c r="C20" s="47" t="s">
        <v>166</v>
      </c>
      <c r="D20" s="47" t="s">
        <v>193</v>
      </c>
      <c r="E20" s="47" t="s">
        <v>194</v>
      </c>
      <c r="F20" s="43" t="s">
        <v>195</v>
      </c>
      <c r="G20" s="51" t="s">
        <v>196</v>
      </c>
      <c r="H20" s="43" t="s">
        <v>56</v>
      </c>
      <c r="I20" s="43" t="s">
        <v>197</v>
      </c>
      <c r="J20" s="43">
        <v>1.0</v>
      </c>
      <c r="K20" s="47" t="s">
        <v>8</v>
      </c>
      <c r="L20" s="43" t="s">
        <v>198</v>
      </c>
      <c r="M20" s="43" t="s">
        <v>199</v>
      </c>
      <c r="N20" s="43" t="s">
        <v>200</v>
      </c>
      <c r="O20" s="52">
        <v>46023.0</v>
      </c>
      <c r="P20" s="52">
        <v>47118.0</v>
      </c>
      <c r="Q20" s="43" t="s">
        <v>201</v>
      </c>
      <c r="R20" s="43" t="s">
        <v>126</v>
      </c>
      <c r="S20" s="47" t="s">
        <v>101</v>
      </c>
      <c r="T20" s="43" t="s">
        <v>202</v>
      </c>
      <c r="U20" s="53"/>
    </row>
    <row r="21">
      <c r="A21" s="38">
        <v>20.0</v>
      </c>
      <c r="B21" s="43">
        <v>50819.0</v>
      </c>
      <c r="C21" s="47" t="s">
        <v>166</v>
      </c>
      <c r="D21" s="47" t="s">
        <v>193</v>
      </c>
      <c r="E21" s="47" t="s">
        <v>203</v>
      </c>
      <c r="F21" s="43" t="s">
        <v>204</v>
      </c>
      <c r="G21" s="51" t="s">
        <v>205</v>
      </c>
      <c r="H21" s="43" t="s">
        <v>56</v>
      </c>
      <c r="I21" s="43" t="s">
        <v>206</v>
      </c>
      <c r="J21" s="43">
        <v>1.0</v>
      </c>
      <c r="K21" s="47" t="s">
        <v>8</v>
      </c>
      <c r="L21" s="43" t="s">
        <v>207</v>
      </c>
      <c r="M21" s="43">
        <v>9.17851132E9</v>
      </c>
      <c r="N21" s="43" t="s">
        <v>208</v>
      </c>
      <c r="O21" s="52">
        <v>45406.0</v>
      </c>
      <c r="P21" s="52">
        <v>46387.0</v>
      </c>
      <c r="Q21" s="43" t="s">
        <v>209</v>
      </c>
      <c r="R21" s="43" t="s">
        <v>126</v>
      </c>
      <c r="S21" s="47" t="s">
        <v>101</v>
      </c>
      <c r="T21" s="43" t="s">
        <v>202</v>
      </c>
      <c r="U21" s="53"/>
    </row>
    <row r="22">
      <c r="A22" s="38">
        <v>21.0</v>
      </c>
      <c r="B22" s="43">
        <v>50715.0</v>
      </c>
      <c r="C22" s="47" t="s">
        <v>166</v>
      </c>
      <c r="D22" s="47" t="s">
        <v>193</v>
      </c>
      <c r="E22" s="47" t="s">
        <v>210</v>
      </c>
      <c r="F22" s="43" t="s">
        <v>211</v>
      </c>
      <c r="G22" s="51" t="s">
        <v>212</v>
      </c>
      <c r="H22" s="43" t="s">
        <v>56</v>
      </c>
      <c r="I22" s="43" t="s">
        <v>213</v>
      </c>
      <c r="J22" s="43">
        <v>1.0</v>
      </c>
      <c r="K22" s="47" t="s">
        <v>8</v>
      </c>
      <c r="L22" s="43" t="s">
        <v>214</v>
      </c>
      <c r="M22" s="43" t="s">
        <v>215</v>
      </c>
      <c r="N22" s="43" t="s">
        <v>216</v>
      </c>
      <c r="O22" s="52">
        <v>45393.0</v>
      </c>
      <c r="P22" s="52">
        <v>46387.0</v>
      </c>
      <c r="Q22" s="43" t="s">
        <v>217</v>
      </c>
      <c r="R22" s="43" t="s">
        <v>92</v>
      </c>
      <c r="S22" s="44"/>
      <c r="T22" s="45"/>
      <c r="U22" s="53"/>
    </row>
    <row r="23">
      <c r="A23" s="38">
        <v>22.0</v>
      </c>
      <c r="B23" s="43">
        <v>50687.0</v>
      </c>
      <c r="C23" s="47" t="s">
        <v>166</v>
      </c>
      <c r="D23" s="47" t="s">
        <v>193</v>
      </c>
      <c r="E23" s="47" t="s">
        <v>218</v>
      </c>
      <c r="F23" s="43" t="s">
        <v>219</v>
      </c>
      <c r="G23" s="51" t="s">
        <v>220</v>
      </c>
      <c r="H23" s="43" t="s">
        <v>56</v>
      </c>
      <c r="I23" s="43" t="s">
        <v>221</v>
      </c>
      <c r="J23" s="43">
        <v>1.0</v>
      </c>
      <c r="K23" s="47" t="s">
        <v>8</v>
      </c>
      <c r="L23" s="43" t="s">
        <v>222</v>
      </c>
      <c r="M23" s="43" t="s">
        <v>223</v>
      </c>
      <c r="N23" s="43" t="s">
        <v>224</v>
      </c>
      <c r="O23" s="52">
        <v>45394.0</v>
      </c>
      <c r="P23" s="52">
        <v>46387.0</v>
      </c>
      <c r="Q23" s="43" t="s">
        <v>225</v>
      </c>
      <c r="R23" s="43" t="s">
        <v>92</v>
      </c>
      <c r="S23" s="44"/>
      <c r="T23" s="45"/>
      <c r="U23" s="53"/>
    </row>
    <row r="24">
      <c r="A24" s="38">
        <v>23.0</v>
      </c>
      <c r="B24" s="43">
        <v>48653.0</v>
      </c>
      <c r="C24" s="47" t="s">
        <v>166</v>
      </c>
      <c r="D24" s="47" t="s">
        <v>226</v>
      </c>
      <c r="E24" s="47" t="s">
        <v>94</v>
      </c>
      <c r="F24" s="43" t="s">
        <v>227</v>
      </c>
      <c r="G24" s="51" t="s">
        <v>228</v>
      </c>
      <c r="H24" s="43" t="s">
        <v>56</v>
      </c>
      <c r="I24" s="43" t="s">
        <v>229</v>
      </c>
      <c r="J24" s="43">
        <v>2.0</v>
      </c>
      <c r="K24" s="47" t="s">
        <v>8</v>
      </c>
      <c r="L24" s="43" t="s">
        <v>230</v>
      </c>
      <c r="M24" s="43" t="s">
        <v>231</v>
      </c>
      <c r="N24" s="43" t="s">
        <v>232</v>
      </c>
      <c r="O24" s="52">
        <v>45980.0</v>
      </c>
      <c r="P24" s="52">
        <v>46752.0</v>
      </c>
      <c r="Q24" s="43" t="s">
        <v>233</v>
      </c>
      <c r="R24" s="43" t="s">
        <v>126</v>
      </c>
      <c r="S24" s="47" t="s">
        <v>101</v>
      </c>
      <c r="T24" s="43" t="s">
        <v>202</v>
      </c>
      <c r="U24" s="53"/>
    </row>
    <row r="25">
      <c r="A25" s="38">
        <v>24.0</v>
      </c>
      <c r="B25" s="45"/>
      <c r="C25" s="47" t="s">
        <v>166</v>
      </c>
      <c r="D25" s="47" t="s">
        <v>234</v>
      </c>
      <c r="E25" s="47" t="s">
        <v>235</v>
      </c>
      <c r="F25" s="43" t="s">
        <v>236</v>
      </c>
      <c r="G25" s="51" t="s">
        <v>237</v>
      </c>
      <c r="H25" s="43" t="s">
        <v>238</v>
      </c>
      <c r="I25" s="43" t="s">
        <v>239</v>
      </c>
      <c r="J25" s="43">
        <v>1.0</v>
      </c>
      <c r="K25" s="47" t="s">
        <v>8</v>
      </c>
      <c r="L25" s="43" t="s">
        <v>240</v>
      </c>
      <c r="M25" s="43" t="s">
        <v>241</v>
      </c>
      <c r="N25" s="43" t="s">
        <v>242</v>
      </c>
      <c r="O25" s="52">
        <v>45658.0</v>
      </c>
      <c r="P25" s="52">
        <v>46752.0</v>
      </c>
      <c r="Q25" s="43" t="s">
        <v>243</v>
      </c>
      <c r="R25" s="43" t="s">
        <v>126</v>
      </c>
      <c r="S25" s="47" t="s">
        <v>101</v>
      </c>
      <c r="T25" s="43" t="s">
        <v>244</v>
      </c>
      <c r="U25" s="53"/>
    </row>
    <row r="26">
      <c r="A26" s="38">
        <v>25.0</v>
      </c>
      <c r="B26" s="43">
        <v>50778.0</v>
      </c>
      <c r="C26" s="47" t="s">
        <v>166</v>
      </c>
      <c r="D26" s="47" t="s">
        <v>234</v>
      </c>
      <c r="E26" s="47" t="s">
        <v>245</v>
      </c>
      <c r="F26" s="43" t="s">
        <v>246</v>
      </c>
      <c r="G26" s="51" t="s">
        <v>247</v>
      </c>
      <c r="H26" s="43" t="s">
        <v>56</v>
      </c>
      <c r="I26" s="43" t="s">
        <v>248</v>
      </c>
      <c r="J26" s="43">
        <v>1.0</v>
      </c>
      <c r="K26" s="47" t="s">
        <v>8</v>
      </c>
      <c r="L26" s="43" t="s">
        <v>249</v>
      </c>
      <c r="M26" s="43" t="s">
        <v>250</v>
      </c>
      <c r="N26" s="43" t="s">
        <v>251</v>
      </c>
      <c r="O26" s="52">
        <v>45378.0</v>
      </c>
      <c r="P26" s="52">
        <v>46387.0</v>
      </c>
      <c r="Q26" s="43" t="s">
        <v>252</v>
      </c>
      <c r="R26" s="43" t="s">
        <v>92</v>
      </c>
      <c r="S26" s="44"/>
      <c r="T26" s="45"/>
      <c r="U26" s="53"/>
    </row>
    <row r="27">
      <c r="A27" s="38">
        <v>26.0</v>
      </c>
      <c r="B27" s="43">
        <v>50770.0</v>
      </c>
      <c r="C27" s="47" t="s">
        <v>166</v>
      </c>
      <c r="D27" s="47" t="s">
        <v>234</v>
      </c>
      <c r="E27" s="47" t="s">
        <v>245</v>
      </c>
      <c r="F27" s="43" t="s">
        <v>253</v>
      </c>
      <c r="G27" s="51" t="s">
        <v>254</v>
      </c>
      <c r="H27" s="43" t="s">
        <v>56</v>
      </c>
      <c r="I27" s="43" t="s">
        <v>248</v>
      </c>
      <c r="J27" s="43">
        <v>1.0</v>
      </c>
      <c r="K27" s="47" t="s">
        <v>8</v>
      </c>
      <c r="L27" s="43" t="s">
        <v>255</v>
      </c>
      <c r="M27" s="43" t="s">
        <v>250</v>
      </c>
      <c r="N27" s="43" t="s">
        <v>251</v>
      </c>
      <c r="O27" s="52">
        <v>45378.0</v>
      </c>
      <c r="P27" s="52">
        <v>46387.0</v>
      </c>
      <c r="Q27" s="43" t="s">
        <v>256</v>
      </c>
      <c r="R27" s="43" t="s">
        <v>126</v>
      </c>
      <c r="S27" s="44"/>
      <c r="T27" s="45"/>
      <c r="U27" s="53"/>
    </row>
    <row r="28">
      <c r="A28" s="38">
        <v>27.0</v>
      </c>
      <c r="B28" s="43">
        <v>48657.0</v>
      </c>
      <c r="C28" s="47" t="s">
        <v>166</v>
      </c>
      <c r="D28" s="47" t="s">
        <v>234</v>
      </c>
      <c r="E28" s="47" t="s">
        <v>257</v>
      </c>
      <c r="F28" s="43" t="s">
        <v>258</v>
      </c>
      <c r="G28" s="51" t="s">
        <v>259</v>
      </c>
      <c r="H28" s="43" t="s">
        <v>56</v>
      </c>
      <c r="I28" s="43" t="s">
        <v>260</v>
      </c>
      <c r="J28" s="43">
        <v>1.0</v>
      </c>
      <c r="K28" s="47" t="s">
        <v>8</v>
      </c>
      <c r="L28" s="43" t="s">
        <v>261</v>
      </c>
      <c r="M28" s="43" t="s">
        <v>262</v>
      </c>
      <c r="N28" s="43" t="s">
        <v>263</v>
      </c>
      <c r="O28" s="52">
        <v>45658.0</v>
      </c>
      <c r="P28" s="52">
        <v>46752.0</v>
      </c>
      <c r="Q28" s="43" t="s">
        <v>264</v>
      </c>
      <c r="R28" s="43" t="s">
        <v>126</v>
      </c>
      <c r="S28" s="44"/>
      <c r="T28" s="45"/>
      <c r="U28" s="53"/>
    </row>
    <row r="29">
      <c r="A29" s="38">
        <v>28.0</v>
      </c>
      <c r="B29" s="43">
        <v>54361.0</v>
      </c>
      <c r="C29" s="47" t="s">
        <v>265</v>
      </c>
      <c r="D29" s="47" t="s">
        <v>266</v>
      </c>
      <c r="E29" s="47" t="s">
        <v>267</v>
      </c>
      <c r="F29" s="43" t="s">
        <v>268</v>
      </c>
      <c r="G29" s="51" t="s">
        <v>269</v>
      </c>
      <c r="H29" s="43" t="s">
        <v>56</v>
      </c>
      <c r="I29" s="43" t="s">
        <v>270</v>
      </c>
      <c r="J29" s="43">
        <v>1.0</v>
      </c>
      <c r="K29" s="47" t="s">
        <v>8</v>
      </c>
      <c r="L29" s="43" t="s">
        <v>271</v>
      </c>
      <c r="M29" s="43">
        <v>9.983213497E9</v>
      </c>
      <c r="N29" s="43" t="s">
        <v>272</v>
      </c>
      <c r="O29" s="52">
        <v>45803.0</v>
      </c>
      <c r="P29" s="52">
        <v>46752.0</v>
      </c>
      <c r="Q29" s="43" t="s">
        <v>264</v>
      </c>
      <c r="R29" s="43" t="s">
        <v>126</v>
      </c>
      <c r="S29" s="44"/>
      <c r="T29" s="45"/>
      <c r="U29" s="53"/>
    </row>
    <row r="30">
      <c r="A30" s="38">
        <v>29.0</v>
      </c>
      <c r="B30" s="43">
        <v>48670.0</v>
      </c>
      <c r="C30" s="47" t="s">
        <v>265</v>
      </c>
      <c r="D30" s="47" t="s">
        <v>273</v>
      </c>
      <c r="E30" s="47" t="s">
        <v>274</v>
      </c>
      <c r="F30" s="43" t="s">
        <v>275</v>
      </c>
      <c r="G30" s="51" t="s">
        <v>276</v>
      </c>
      <c r="H30" s="43" t="s">
        <v>56</v>
      </c>
      <c r="I30" s="43" t="s">
        <v>277</v>
      </c>
      <c r="J30" s="43">
        <v>3.0</v>
      </c>
      <c r="K30" s="47" t="s">
        <v>8</v>
      </c>
      <c r="L30" s="43" t="s">
        <v>278</v>
      </c>
      <c r="M30" s="43" t="s">
        <v>279</v>
      </c>
      <c r="N30" s="43" t="s">
        <v>280</v>
      </c>
      <c r="O30" s="52">
        <v>45292.0</v>
      </c>
      <c r="P30" s="52">
        <v>46387.0</v>
      </c>
      <c r="Q30" s="43" t="s">
        <v>264</v>
      </c>
      <c r="R30" s="43" t="s">
        <v>126</v>
      </c>
      <c r="S30" s="44"/>
      <c r="T30" s="45"/>
      <c r="U30" s="53"/>
    </row>
    <row r="31">
      <c r="A31" s="38">
        <v>30.0</v>
      </c>
      <c r="B31" s="43">
        <v>48679.0</v>
      </c>
      <c r="C31" s="47" t="s">
        <v>281</v>
      </c>
      <c r="D31" s="47" t="s">
        <v>282</v>
      </c>
      <c r="E31" s="47" t="s">
        <v>283</v>
      </c>
      <c r="F31" s="43" t="s">
        <v>284</v>
      </c>
      <c r="G31" s="51" t="s">
        <v>285</v>
      </c>
      <c r="H31" s="43" t="s">
        <v>56</v>
      </c>
      <c r="I31" s="43" t="s">
        <v>285</v>
      </c>
      <c r="J31" s="43">
        <v>1.0</v>
      </c>
      <c r="K31" s="47" t="s">
        <v>8</v>
      </c>
      <c r="L31" s="43" t="s">
        <v>286</v>
      </c>
      <c r="M31" s="43" t="s">
        <v>287</v>
      </c>
      <c r="N31" s="43" t="s">
        <v>288</v>
      </c>
      <c r="O31" s="52">
        <v>45292.0</v>
      </c>
      <c r="P31" s="52">
        <v>46387.0</v>
      </c>
      <c r="Q31" s="43" t="s">
        <v>264</v>
      </c>
      <c r="R31" s="43" t="s">
        <v>126</v>
      </c>
      <c r="S31" s="44"/>
      <c r="T31" s="45"/>
      <c r="U31" s="53"/>
    </row>
    <row r="32">
      <c r="A32" s="38">
        <v>31.0</v>
      </c>
      <c r="B32" s="45"/>
      <c r="C32" s="47" t="s">
        <v>289</v>
      </c>
      <c r="D32" s="47" t="s">
        <v>290</v>
      </c>
      <c r="E32" s="47" t="s">
        <v>291</v>
      </c>
      <c r="F32" s="43" t="s">
        <v>292</v>
      </c>
      <c r="G32" s="51" t="s">
        <v>293</v>
      </c>
      <c r="H32" s="43" t="s">
        <v>56</v>
      </c>
      <c r="I32" s="43" t="s">
        <v>294</v>
      </c>
      <c r="J32" s="43">
        <v>1.0</v>
      </c>
      <c r="K32" s="47" t="s">
        <v>8</v>
      </c>
      <c r="L32" s="43" t="s">
        <v>295</v>
      </c>
      <c r="M32" s="43">
        <v>9.475180799E9</v>
      </c>
      <c r="N32" s="43" t="s">
        <v>296</v>
      </c>
      <c r="O32" s="52">
        <v>45639.0</v>
      </c>
      <c r="P32" s="52">
        <v>46387.0</v>
      </c>
      <c r="Q32" s="43" t="s">
        <v>297</v>
      </c>
      <c r="R32" s="43" t="s">
        <v>126</v>
      </c>
      <c r="S32" s="44"/>
      <c r="T32" s="45"/>
      <c r="U32" s="53"/>
    </row>
    <row r="33">
      <c r="A33" s="38">
        <v>32.0</v>
      </c>
      <c r="B33" s="45"/>
      <c r="C33" s="47" t="s">
        <v>289</v>
      </c>
      <c r="D33" s="47" t="s">
        <v>298</v>
      </c>
      <c r="E33" s="47" t="s">
        <v>299</v>
      </c>
      <c r="F33" s="43" t="s">
        <v>300</v>
      </c>
      <c r="G33" s="51" t="s">
        <v>301</v>
      </c>
      <c r="H33" s="43" t="s">
        <v>56</v>
      </c>
      <c r="I33" s="43" t="s">
        <v>302</v>
      </c>
      <c r="J33" s="43">
        <v>1.0</v>
      </c>
      <c r="K33" s="47" t="s">
        <v>8</v>
      </c>
      <c r="L33" s="43" t="s">
        <v>303</v>
      </c>
      <c r="M33" s="43">
        <v>9.513668673E9</v>
      </c>
      <c r="N33" s="43" t="s">
        <v>304</v>
      </c>
      <c r="O33" s="52">
        <v>46057.0</v>
      </c>
      <c r="P33" s="52">
        <v>47118.0</v>
      </c>
      <c r="Q33" s="43" t="s">
        <v>305</v>
      </c>
      <c r="R33" s="43" t="s">
        <v>92</v>
      </c>
      <c r="S33" s="44"/>
      <c r="T33" s="45"/>
      <c r="U33" s="53"/>
    </row>
    <row r="34">
      <c r="A34" s="38">
        <v>33.0</v>
      </c>
      <c r="B34" s="45"/>
      <c r="C34" s="47" t="s">
        <v>289</v>
      </c>
      <c r="D34" s="47" t="s">
        <v>298</v>
      </c>
      <c r="E34" s="47" t="s">
        <v>306</v>
      </c>
      <c r="F34" s="43" t="s">
        <v>307</v>
      </c>
      <c r="G34" s="51" t="s">
        <v>308</v>
      </c>
      <c r="H34" s="43" t="s">
        <v>56</v>
      </c>
      <c r="I34" s="43" t="s">
        <v>309</v>
      </c>
      <c r="J34" s="43">
        <v>1.0</v>
      </c>
      <c r="K34" s="47" t="s">
        <v>8</v>
      </c>
      <c r="L34" s="43" t="s">
        <v>310</v>
      </c>
      <c r="M34" s="43">
        <v>9.563947653E9</v>
      </c>
      <c r="N34" s="43" t="s">
        <v>311</v>
      </c>
      <c r="O34" s="52">
        <v>45771.0</v>
      </c>
      <c r="P34" s="52">
        <v>46752.0</v>
      </c>
      <c r="Q34" s="43" t="s">
        <v>312</v>
      </c>
      <c r="R34" s="43" t="s">
        <v>126</v>
      </c>
      <c r="S34" s="47" t="s">
        <v>101</v>
      </c>
      <c r="T34" s="45"/>
      <c r="U34" s="53" t="s">
        <v>61</v>
      </c>
    </row>
    <row r="35">
      <c r="A35" s="38">
        <v>34.0</v>
      </c>
      <c r="B35" s="45"/>
      <c r="C35" s="47" t="s">
        <v>289</v>
      </c>
      <c r="D35" s="47" t="s">
        <v>298</v>
      </c>
      <c r="E35" s="47" t="s">
        <v>313</v>
      </c>
      <c r="F35" s="43" t="s">
        <v>314</v>
      </c>
      <c r="G35" s="51" t="s">
        <v>315</v>
      </c>
      <c r="H35" s="43" t="s">
        <v>56</v>
      </c>
      <c r="I35" s="43" t="s">
        <v>316</v>
      </c>
      <c r="J35" s="43">
        <v>1.0</v>
      </c>
      <c r="K35" s="47" t="s">
        <v>8</v>
      </c>
      <c r="L35" s="43" t="s">
        <v>317</v>
      </c>
      <c r="M35" s="43">
        <v>9.209661466E9</v>
      </c>
      <c r="N35" s="43" t="s">
        <v>318</v>
      </c>
      <c r="O35" s="52">
        <v>45730.0</v>
      </c>
      <c r="P35" s="52">
        <v>46752.0</v>
      </c>
      <c r="Q35" s="43" t="s">
        <v>319</v>
      </c>
      <c r="R35" s="43" t="s">
        <v>126</v>
      </c>
      <c r="S35" s="44"/>
      <c r="T35" s="45"/>
      <c r="U35" s="53" t="s">
        <v>61</v>
      </c>
    </row>
    <row r="36">
      <c r="A36" s="38">
        <v>35.0</v>
      </c>
      <c r="B36" s="45"/>
      <c r="C36" s="47" t="s">
        <v>289</v>
      </c>
      <c r="D36" s="47" t="s">
        <v>298</v>
      </c>
      <c r="E36" s="47" t="s">
        <v>320</v>
      </c>
      <c r="F36" s="43" t="s">
        <v>321</v>
      </c>
      <c r="G36" s="51" t="s">
        <v>322</v>
      </c>
      <c r="H36" s="43" t="s">
        <v>56</v>
      </c>
      <c r="I36" s="43" t="s">
        <v>323</v>
      </c>
      <c r="J36" s="43">
        <v>1.0</v>
      </c>
      <c r="K36" s="47" t="s">
        <v>8</v>
      </c>
      <c r="L36" s="43" t="s">
        <v>324</v>
      </c>
      <c r="M36" s="43">
        <v>9.755885281E9</v>
      </c>
      <c r="N36" s="43" t="s">
        <v>325</v>
      </c>
      <c r="O36" s="52">
        <v>46111.0</v>
      </c>
      <c r="P36" s="52">
        <v>47118.0</v>
      </c>
      <c r="Q36" s="43" t="s">
        <v>326</v>
      </c>
      <c r="R36" s="43" t="s">
        <v>126</v>
      </c>
      <c r="S36" s="44"/>
      <c r="T36" s="45"/>
      <c r="U36" s="53" t="s">
        <v>61</v>
      </c>
    </row>
    <row r="37">
      <c r="A37" s="38">
        <v>36.0</v>
      </c>
      <c r="B37" s="45"/>
      <c r="C37" s="47" t="s">
        <v>289</v>
      </c>
      <c r="D37" s="47" t="s">
        <v>327</v>
      </c>
      <c r="E37" s="47" t="s">
        <v>328</v>
      </c>
      <c r="F37" s="43" t="s">
        <v>329</v>
      </c>
      <c r="G37" s="51" t="s">
        <v>330</v>
      </c>
      <c r="H37" s="43" t="s">
        <v>56</v>
      </c>
      <c r="I37" s="43" t="s">
        <v>331</v>
      </c>
      <c r="J37" s="43">
        <v>1.0</v>
      </c>
      <c r="K37" s="47" t="s">
        <v>8</v>
      </c>
      <c r="L37" s="43" t="s">
        <v>332</v>
      </c>
      <c r="M37" s="43">
        <v>9.971737499E9</v>
      </c>
      <c r="N37" s="43" t="s">
        <v>333</v>
      </c>
      <c r="O37" s="52">
        <v>45785.0</v>
      </c>
      <c r="P37" s="52">
        <v>46752.0</v>
      </c>
      <c r="Q37" s="43" t="s">
        <v>334</v>
      </c>
      <c r="R37" s="43" t="s">
        <v>126</v>
      </c>
      <c r="S37" s="44"/>
      <c r="T37" s="45"/>
      <c r="U37" s="46" t="s">
        <v>61</v>
      </c>
    </row>
    <row r="38">
      <c r="A38" s="38">
        <v>37.0</v>
      </c>
      <c r="B38" s="45"/>
      <c r="C38" s="47" t="s">
        <v>289</v>
      </c>
      <c r="D38" s="47" t="s">
        <v>327</v>
      </c>
      <c r="E38" s="47" t="s">
        <v>335</v>
      </c>
      <c r="F38" s="43" t="s">
        <v>336</v>
      </c>
      <c r="G38" s="51" t="s">
        <v>337</v>
      </c>
      <c r="H38" s="43" t="s">
        <v>56</v>
      </c>
      <c r="I38" s="43" t="s">
        <v>338</v>
      </c>
      <c r="J38" s="43">
        <v>1.0</v>
      </c>
      <c r="K38" s="47" t="s">
        <v>8</v>
      </c>
      <c r="L38" s="43" t="s">
        <v>339</v>
      </c>
      <c r="M38" s="43">
        <v>9.970997686E9</v>
      </c>
      <c r="N38" s="43" t="s">
        <v>340</v>
      </c>
      <c r="O38" s="52">
        <v>45729.0</v>
      </c>
      <c r="P38" s="52">
        <v>46752.0</v>
      </c>
      <c r="Q38" s="43" t="s">
        <v>319</v>
      </c>
      <c r="R38" s="43" t="s">
        <v>92</v>
      </c>
      <c r="S38" s="44"/>
      <c r="T38" s="45"/>
      <c r="U38" s="46" t="s">
        <v>61</v>
      </c>
    </row>
    <row r="39">
      <c r="A39" s="38">
        <v>38.0</v>
      </c>
      <c r="B39" s="45"/>
      <c r="C39" s="47" t="s">
        <v>289</v>
      </c>
      <c r="D39" s="47" t="s">
        <v>327</v>
      </c>
      <c r="E39" s="47" t="s">
        <v>341</v>
      </c>
      <c r="F39" s="43" t="s">
        <v>342</v>
      </c>
      <c r="G39" s="51" t="s">
        <v>343</v>
      </c>
      <c r="H39" s="43" t="s">
        <v>56</v>
      </c>
      <c r="I39" s="43" t="s">
        <v>344</v>
      </c>
      <c r="J39" s="43">
        <v>1.0</v>
      </c>
      <c r="K39" s="47" t="s">
        <v>8</v>
      </c>
      <c r="L39" s="43" t="s">
        <v>345</v>
      </c>
      <c r="M39" s="43">
        <v>9.361599611E9</v>
      </c>
      <c r="N39" s="43" t="s">
        <v>346</v>
      </c>
      <c r="O39" s="52">
        <v>45762.0</v>
      </c>
      <c r="P39" s="52">
        <v>46752.0</v>
      </c>
      <c r="Q39" s="43" t="s">
        <v>347</v>
      </c>
      <c r="R39" s="43" t="s">
        <v>92</v>
      </c>
      <c r="S39" s="44"/>
      <c r="T39" s="45"/>
      <c r="U39" s="46" t="s">
        <v>61</v>
      </c>
    </row>
    <row r="40">
      <c r="A40" s="38">
        <v>39.0</v>
      </c>
      <c r="B40" s="45"/>
      <c r="C40" s="47" t="s">
        <v>289</v>
      </c>
      <c r="D40" s="47" t="s">
        <v>348</v>
      </c>
      <c r="E40" s="47" t="s">
        <v>349</v>
      </c>
      <c r="F40" s="43" t="s">
        <v>350</v>
      </c>
      <c r="G40" s="51" t="s">
        <v>351</v>
      </c>
      <c r="H40" s="43" t="s">
        <v>56</v>
      </c>
      <c r="I40" s="43" t="s">
        <v>352</v>
      </c>
      <c r="J40" s="43">
        <v>1.0</v>
      </c>
      <c r="K40" s="47" t="s">
        <v>8</v>
      </c>
      <c r="L40" s="43" t="s">
        <v>353</v>
      </c>
      <c r="M40" s="43">
        <v>9.27017899E9</v>
      </c>
      <c r="N40" s="43"/>
      <c r="O40" s="52">
        <v>45636.0</v>
      </c>
      <c r="P40" s="52">
        <v>46387.0</v>
      </c>
      <c r="Q40" s="43" t="s">
        <v>354</v>
      </c>
      <c r="R40" s="43" t="s">
        <v>126</v>
      </c>
      <c r="S40" s="44"/>
      <c r="T40" s="43" t="s">
        <v>355</v>
      </c>
      <c r="U40" s="46" t="s">
        <v>61</v>
      </c>
    </row>
    <row r="41" ht="61.5" customHeight="1">
      <c r="A41" s="38">
        <v>40.0</v>
      </c>
      <c r="B41" s="45"/>
      <c r="C41" s="47" t="s">
        <v>289</v>
      </c>
      <c r="D41" s="47" t="s">
        <v>348</v>
      </c>
      <c r="E41" s="47" t="s">
        <v>356</v>
      </c>
      <c r="F41" s="43" t="s">
        <v>357</v>
      </c>
      <c r="G41" s="51" t="s">
        <v>358</v>
      </c>
      <c r="H41" s="43" t="s">
        <v>56</v>
      </c>
      <c r="I41" s="43" t="s">
        <v>359</v>
      </c>
      <c r="J41" s="43">
        <v>2.0</v>
      </c>
      <c r="K41" s="47" t="s">
        <v>8</v>
      </c>
      <c r="L41" s="43" t="s">
        <v>360</v>
      </c>
      <c r="M41" s="43">
        <v>9.639117777E9</v>
      </c>
      <c r="N41" s="43" t="s">
        <v>361</v>
      </c>
      <c r="O41" s="52">
        <v>45930.0</v>
      </c>
      <c r="P41" s="52">
        <v>46752.0</v>
      </c>
      <c r="Q41" s="43" t="s">
        <v>362</v>
      </c>
      <c r="R41" s="43" t="s">
        <v>92</v>
      </c>
      <c r="S41" s="44"/>
      <c r="T41" s="45"/>
      <c r="U41" s="53" t="s">
        <v>61</v>
      </c>
    </row>
    <row r="42" ht="61.5" customHeight="1">
      <c r="A42" s="38">
        <v>41.0</v>
      </c>
      <c r="B42" s="45"/>
      <c r="C42" s="47" t="s">
        <v>289</v>
      </c>
      <c r="D42" s="47" t="s">
        <v>348</v>
      </c>
      <c r="E42" s="47" t="s">
        <v>363</v>
      </c>
      <c r="F42" s="43" t="s">
        <v>364</v>
      </c>
      <c r="G42" s="51" t="s">
        <v>365</v>
      </c>
      <c r="H42" s="43" t="s">
        <v>56</v>
      </c>
      <c r="I42" s="43" t="s">
        <v>366</v>
      </c>
      <c r="J42" s="43">
        <v>1.0</v>
      </c>
      <c r="K42" s="47" t="s">
        <v>8</v>
      </c>
      <c r="L42" s="43" t="s">
        <v>367</v>
      </c>
      <c r="M42" s="43">
        <v>9.951676258E9</v>
      </c>
      <c r="N42" s="43" t="s">
        <v>368</v>
      </c>
      <c r="O42" s="52">
        <v>45979.0</v>
      </c>
      <c r="P42" s="52">
        <v>46752.0</v>
      </c>
      <c r="Q42" s="43" t="s">
        <v>369</v>
      </c>
      <c r="R42" s="43" t="s">
        <v>92</v>
      </c>
      <c r="S42" s="44"/>
      <c r="T42" s="45"/>
      <c r="U42" s="53" t="s">
        <v>61</v>
      </c>
    </row>
    <row r="43" ht="61.5" customHeight="1">
      <c r="A43" s="38">
        <v>42.0</v>
      </c>
      <c r="B43" s="45"/>
      <c r="C43" s="47" t="s">
        <v>289</v>
      </c>
      <c r="D43" s="47" t="s">
        <v>348</v>
      </c>
      <c r="E43" s="47" t="s">
        <v>370</v>
      </c>
      <c r="F43" s="43" t="s">
        <v>371</v>
      </c>
      <c r="G43" s="51" t="s">
        <v>372</v>
      </c>
      <c r="H43" s="43" t="s">
        <v>56</v>
      </c>
      <c r="I43" s="43" t="s">
        <v>373</v>
      </c>
      <c r="J43" s="43">
        <v>1.0</v>
      </c>
      <c r="K43" s="47" t="s">
        <v>8</v>
      </c>
      <c r="L43" s="43" t="s">
        <v>374</v>
      </c>
      <c r="M43" s="43">
        <v>9.397883485E9</v>
      </c>
      <c r="N43" s="43" t="s">
        <v>375</v>
      </c>
      <c r="O43" s="52">
        <v>45568.0</v>
      </c>
      <c r="P43" s="52">
        <v>46387.0</v>
      </c>
      <c r="Q43" s="43" t="s">
        <v>376</v>
      </c>
      <c r="R43" s="43" t="s">
        <v>126</v>
      </c>
      <c r="S43" s="44"/>
      <c r="T43" s="45"/>
      <c r="U43" s="53" t="s">
        <v>61</v>
      </c>
    </row>
    <row r="44" ht="61.5" customHeight="1">
      <c r="A44" s="38">
        <v>43.0</v>
      </c>
      <c r="B44" s="43">
        <v>51668.0</v>
      </c>
      <c r="C44" s="47" t="s">
        <v>289</v>
      </c>
      <c r="D44" s="47" t="s">
        <v>348</v>
      </c>
      <c r="E44" s="47" t="s">
        <v>377</v>
      </c>
      <c r="F44" s="43" t="s">
        <v>378</v>
      </c>
      <c r="G44" s="51" t="s">
        <v>379</v>
      </c>
      <c r="H44" s="43" t="s">
        <v>56</v>
      </c>
      <c r="I44" s="43" t="s">
        <v>380</v>
      </c>
      <c r="J44" s="43">
        <v>1.0</v>
      </c>
      <c r="K44" s="47" t="s">
        <v>8</v>
      </c>
      <c r="L44" s="43" t="s">
        <v>381</v>
      </c>
      <c r="M44" s="43" t="s">
        <v>382</v>
      </c>
      <c r="N44" s="43" t="s">
        <v>383</v>
      </c>
      <c r="O44" s="52">
        <v>45561.0</v>
      </c>
      <c r="P44" s="52">
        <v>46387.0</v>
      </c>
      <c r="Q44" s="43" t="s">
        <v>384</v>
      </c>
      <c r="R44" s="43" t="s">
        <v>126</v>
      </c>
      <c r="S44" s="44"/>
      <c r="T44" s="45"/>
      <c r="U44" s="53" t="s">
        <v>61</v>
      </c>
    </row>
    <row r="45" ht="61.5" customHeight="1">
      <c r="A45" s="38">
        <v>44.0</v>
      </c>
      <c r="B45" s="45"/>
      <c r="C45" s="47" t="s">
        <v>289</v>
      </c>
      <c r="D45" s="47" t="s">
        <v>348</v>
      </c>
      <c r="E45" s="47" t="s">
        <v>385</v>
      </c>
      <c r="F45" s="43" t="s">
        <v>386</v>
      </c>
      <c r="G45" s="51" t="s">
        <v>387</v>
      </c>
      <c r="H45" s="43" t="s">
        <v>56</v>
      </c>
      <c r="I45" s="43" t="s">
        <v>388</v>
      </c>
      <c r="J45" s="43">
        <v>1.0</v>
      </c>
      <c r="K45" s="47" t="s">
        <v>8</v>
      </c>
      <c r="L45" s="43" t="s">
        <v>389</v>
      </c>
      <c r="M45" s="43">
        <v>9.175676015E9</v>
      </c>
      <c r="N45" s="43" t="s">
        <v>390</v>
      </c>
      <c r="O45" s="52">
        <v>45978.0</v>
      </c>
      <c r="P45" s="52">
        <v>46752.0</v>
      </c>
      <c r="Q45" s="43" t="s">
        <v>391</v>
      </c>
      <c r="R45" s="43" t="s">
        <v>92</v>
      </c>
      <c r="S45" s="44"/>
      <c r="T45" s="45"/>
      <c r="U45" s="53" t="s">
        <v>61</v>
      </c>
    </row>
    <row r="46" ht="61.5" customHeight="1">
      <c r="A46" s="38">
        <v>45.0</v>
      </c>
      <c r="B46" s="45"/>
      <c r="C46" s="47" t="s">
        <v>392</v>
      </c>
      <c r="D46" s="47" t="s">
        <v>393</v>
      </c>
      <c r="E46" s="47" t="s">
        <v>394</v>
      </c>
      <c r="F46" s="43" t="s">
        <v>395</v>
      </c>
      <c r="G46" s="51" t="s">
        <v>396</v>
      </c>
      <c r="H46" s="43" t="s">
        <v>56</v>
      </c>
      <c r="I46" s="43" t="s">
        <v>397</v>
      </c>
      <c r="J46" s="43">
        <v>1.0</v>
      </c>
      <c r="K46" s="47" t="s">
        <v>8</v>
      </c>
      <c r="L46" s="43" t="s">
        <v>398</v>
      </c>
      <c r="M46" s="43"/>
      <c r="N46" s="43"/>
      <c r="O46" s="52">
        <v>45658.0</v>
      </c>
      <c r="P46" s="52">
        <v>46752.0</v>
      </c>
      <c r="Q46" s="43" t="s">
        <v>399</v>
      </c>
      <c r="R46" s="43" t="s">
        <v>60</v>
      </c>
      <c r="S46" s="47" t="s">
        <v>400</v>
      </c>
      <c r="T46" s="43" t="s">
        <v>401</v>
      </c>
      <c r="U46" s="53" t="s">
        <v>61</v>
      </c>
    </row>
    <row r="47" ht="61.5" customHeight="1">
      <c r="A47" s="38">
        <v>46.0</v>
      </c>
      <c r="B47" s="45"/>
      <c r="C47" s="47" t="s">
        <v>392</v>
      </c>
      <c r="D47" s="47" t="s">
        <v>393</v>
      </c>
      <c r="E47" s="47" t="s">
        <v>402</v>
      </c>
      <c r="F47" s="43" t="s">
        <v>403</v>
      </c>
      <c r="G47" s="51" t="s">
        <v>404</v>
      </c>
      <c r="H47" s="43" t="s">
        <v>56</v>
      </c>
      <c r="I47" s="43" t="s">
        <v>405</v>
      </c>
      <c r="J47" s="43">
        <v>1.0</v>
      </c>
      <c r="K47" s="47" t="s">
        <v>8</v>
      </c>
      <c r="L47" s="43" t="s">
        <v>406</v>
      </c>
      <c r="M47" s="43" t="s">
        <v>407</v>
      </c>
      <c r="N47" s="43" t="s">
        <v>408</v>
      </c>
      <c r="O47" s="52">
        <v>45561.0</v>
      </c>
      <c r="P47" s="52">
        <v>46387.0</v>
      </c>
      <c r="Q47" s="43" t="s">
        <v>409</v>
      </c>
      <c r="R47" s="43" t="s">
        <v>60</v>
      </c>
      <c r="S47" s="44"/>
      <c r="T47" s="43" t="s">
        <v>410</v>
      </c>
      <c r="U47" s="53" t="s">
        <v>61</v>
      </c>
    </row>
    <row r="48" ht="61.5" customHeight="1">
      <c r="A48" s="38">
        <v>47.0</v>
      </c>
      <c r="B48" s="45"/>
      <c r="C48" s="47" t="s">
        <v>392</v>
      </c>
      <c r="D48" s="47" t="s">
        <v>411</v>
      </c>
      <c r="E48" s="47" t="s">
        <v>412</v>
      </c>
      <c r="F48" s="43" t="s">
        <v>413</v>
      </c>
      <c r="G48" s="51" t="s">
        <v>414</v>
      </c>
      <c r="H48" s="43" t="s">
        <v>56</v>
      </c>
      <c r="I48" s="43" t="s">
        <v>415</v>
      </c>
      <c r="J48" s="43">
        <v>1.0</v>
      </c>
      <c r="K48" s="47" t="s">
        <v>8</v>
      </c>
      <c r="L48" s="43" t="s">
        <v>416</v>
      </c>
      <c r="M48" s="43"/>
      <c r="N48" s="43"/>
      <c r="O48" s="52">
        <v>45658.0</v>
      </c>
      <c r="P48" s="52">
        <v>46752.0</v>
      </c>
      <c r="Q48" s="43" t="s">
        <v>417</v>
      </c>
      <c r="R48" s="43" t="s">
        <v>60</v>
      </c>
      <c r="S48" s="44"/>
      <c r="T48" s="45"/>
      <c r="U48" s="53"/>
    </row>
    <row r="49" ht="61.5" customHeight="1">
      <c r="A49" s="38">
        <v>48.0</v>
      </c>
      <c r="B49" s="45"/>
      <c r="C49" s="47" t="s">
        <v>392</v>
      </c>
      <c r="D49" s="47" t="s">
        <v>411</v>
      </c>
      <c r="E49" s="47" t="s">
        <v>402</v>
      </c>
      <c r="F49" s="43" t="s">
        <v>418</v>
      </c>
      <c r="G49" s="51" t="s">
        <v>419</v>
      </c>
      <c r="H49" s="43" t="s">
        <v>56</v>
      </c>
      <c r="I49" s="43" t="s">
        <v>420</v>
      </c>
      <c r="J49" s="43">
        <v>2.0</v>
      </c>
      <c r="K49" s="47" t="s">
        <v>8</v>
      </c>
      <c r="L49" s="43" t="s">
        <v>421</v>
      </c>
      <c r="M49" s="43" t="s">
        <v>422</v>
      </c>
      <c r="N49" s="43" t="s">
        <v>423</v>
      </c>
      <c r="O49" s="52">
        <v>46023.0</v>
      </c>
      <c r="P49" s="52">
        <v>47118.0</v>
      </c>
      <c r="Q49" s="43" t="s">
        <v>424</v>
      </c>
      <c r="R49" s="43" t="s">
        <v>60</v>
      </c>
      <c r="S49" s="44"/>
      <c r="T49" s="45"/>
      <c r="U49" s="53" t="s">
        <v>61</v>
      </c>
    </row>
    <row r="50" ht="61.5" customHeight="1">
      <c r="A50" s="38">
        <v>49.0</v>
      </c>
      <c r="B50" s="45"/>
      <c r="C50" s="47" t="s">
        <v>392</v>
      </c>
      <c r="D50" s="47" t="s">
        <v>425</v>
      </c>
      <c r="E50" s="47"/>
      <c r="F50" s="43" t="s">
        <v>426</v>
      </c>
      <c r="G50" s="51" t="s">
        <v>427</v>
      </c>
      <c r="H50" s="43" t="s">
        <v>56</v>
      </c>
      <c r="I50" s="43" t="s">
        <v>428</v>
      </c>
      <c r="J50" s="43">
        <v>1.0</v>
      </c>
      <c r="K50" s="47" t="s">
        <v>8</v>
      </c>
      <c r="L50" s="43" t="s">
        <v>429</v>
      </c>
      <c r="M50" s="43"/>
      <c r="N50" s="43" t="s">
        <v>430</v>
      </c>
      <c r="O50" s="52">
        <v>45424.0</v>
      </c>
      <c r="P50" s="52">
        <v>46387.0</v>
      </c>
      <c r="Q50" s="43" t="s">
        <v>431</v>
      </c>
      <c r="R50" s="43" t="s">
        <v>60</v>
      </c>
      <c r="S50" s="44"/>
      <c r="T50" s="45"/>
      <c r="U50" s="53" t="s">
        <v>61</v>
      </c>
    </row>
    <row r="51">
      <c r="A51" s="38">
        <v>50.0</v>
      </c>
      <c r="B51" s="45"/>
      <c r="C51" s="47" t="s">
        <v>432</v>
      </c>
      <c r="D51" s="47" t="s">
        <v>433</v>
      </c>
      <c r="E51" s="47" t="s">
        <v>434</v>
      </c>
      <c r="F51" s="43" t="s">
        <v>435</v>
      </c>
      <c r="G51" s="51" t="s">
        <v>436</v>
      </c>
      <c r="H51" s="43" t="s">
        <v>56</v>
      </c>
      <c r="I51" s="43" t="s">
        <v>437</v>
      </c>
      <c r="J51" s="43">
        <v>1.0</v>
      </c>
      <c r="K51" s="47" t="s">
        <v>8</v>
      </c>
      <c r="L51" s="43" t="s">
        <v>438</v>
      </c>
      <c r="M51" s="43"/>
      <c r="N51" s="43"/>
      <c r="O51" s="52">
        <v>45465.0</v>
      </c>
      <c r="P51" s="52">
        <v>46387.0</v>
      </c>
      <c r="Q51" s="43" t="s">
        <v>439</v>
      </c>
      <c r="R51" s="43" t="s">
        <v>60</v>
      </c>
      <c r="S51" s="47" t="s">
        <v>101</v>
      </c>
      <c r="T51" s="45"/>
      <c r="U51" s="46"/>
    </row>
    <row r="52">
      <c r="A52" s="38">
        <v>51.0</v>
      </c>
      <c r="B52" s="45"/>
      <c r="C52" s="47" t="s">
        <v>432</v>
      </c>
      <c r="D52" s="47" t="s">
        <v>433</v>
      </c>
      <c r="E52" s="47" t="s">
        <v>440</v>
      </c>
      <c r="F52" s="43" t="s">
        <v>441</v>
      </c>
      <c r="G52" s="51" t="s">
        <v>442</v>
      </c>
      <c r="H52" s="43" t="s">
        <v>56</v>
      </c>
      <c r="I52" s="43" t="s">
        <v>443</v>
      </c>
      <c r="J52" s="43">
        <v>1.0</v>
      </c>
      <c r="K52" s="47" t="s">
        <v>8</v>
      </c>
      <c r="L52" s="43" t="s">
        <v>444</v>
      </c>
      <c r="M52" s="43">
        <v>9.856357723E9</v>
      </c>
      <c r="N52" s="43" t="s">
        <v>445</v>
      </c>
      <c r="O52" s="52">
        <v>45590.0</v>
      </c>
      <c r="P52" s="52">
        <v>46387.0</v>
      </c>
      <c r="Q52" s="43" t="s">
        <v>446</v>
      </c>
      <c r="R52" s="43" t="s">
        <v>60</v>
      </c>
      <c r="S52" s="47" t="s">
        <v>101</v>
      </c>
      <c r="T52" s="45"/>
      <c r="U52" s="46"/>
    </row>
    <row r="53">
      <c r="A53" s="38">
        <v>52.0</v>
      </c>
      <c r="B53" s="45"/>
      <c r="C53" s="47" t="s">
        <v>432</v>
      </c>
      <c r="D53" s="47" t="s">
        <v>433</v>
      </c>
      <c r="E53" s="47"/>
      <c r="F53" s="43" t="s">
        <v>447</v>
      </c>
      <c r="G53" s="51" t="s">
        <v>448</v>
      </c>
      <c r="H53" s="43" t="s">
        <v>56</v>
      </c>
      <c r="I53" s="43" t="s">
        <v>449</v>
      </c>
      <c r="J53" s="43">
        <v>1.0</v>
      </c>
      <c r="K53" s="47" t="s">
        <v>8</v>
      </c>
      <c r="L53" s="43" t="s">
        <v>450</v>
      </c>
      <c r="M53" s="43"/>
      <c r="N53" s="43"/>
      <c r="O53" s="52">
        <v>46023.0</v>
      </c>
      <c r="P53" s="52">
        <v>47118.0</v>
      </c>
      <c r="Q53" s="43" t="s">
        <v>451</v>
      </c>
      <c r="R53" s="43" t="s">
        <v>60</v>
      </c>
      <c r="S53" s="47" t="s">
        <v>101</v>
      </c>
      <c r="T53" s="45"/>
      <c r="U53" s="46"/>
    </row>
    <row r="54">
      <c r="A54" s="38">
        <v>53.0</v>
      </c>
      <c r="B54" s="45"/>
      <c r="C54" s="47" t="s">
        <v>432</v>
      </c>
      <c r="D54" s="47" t="s">
        <v>452</v>
      </c>
      <c r="E54" s="47" t="s">
        <v>453</v>
      </c>
      <c r="F54" s="43" t="s">
        <v>454</v>
      </c>
      <c r="G54" s="51" t="s">
        <v>455</v>
      </c>
      <c r="H54" s="43" t="s">
        <v>56</v>
      </c>
      <c r="I54" s="43" t="s">
        <v>456</v>
      </c>
      <c r="J54" s="43">
        <v>1.0</v>
      </c>
      <c r="K54" s="47" t="s">
        <v>8</v>
      </c>
      <c r="L54" s="43" t="s">
        <v>457</v>
      </c>
      <c r="M54" s="43"/>
      <c r="N54" s="43"/>
      <c r="O54" s="52">
        <v>46023.0</v>
      </c>
      <c r="P54" s="52">
        <v>47118.0</v>
      </c>
      <c r="Q54" s="43" t="s">
        <v>458</v>
      </c>
      <c r="R54" s="43" t="s">
        <v>60</v>
      </c>
      <c r="S54" s="47" t="s">
        <v>101</v>
      </c>
      <c r="T54" s="45"/>
      <c r="U54" s="46"/>
    </row>
    <row r="55">
      <c r="A55" s="38">
        <v>54.0</v>
      </c>
      <c r="B55" s="45"/>
      <c r="C55" s="47" t="s">
        <v>432</v>
      </c>
      <c r="D55" s="47" t="s">
        <v>459</v>
      </c>
      <c r="E55" s="47" t="s">
        <v>460</v>
      </c>
      <c r="F55" s="43" t="s">
        <v>461</v>
      </c>
      <c r="G55" s="51" t="s">
        <v>462</v>
      </c>
      <c r="H55" s="43" t="s">
        <v>56</v>
      </c>
      <c r="I55" s="43" t="s">
        <v>463</v>
      </c>
      <c r="J55" s="43">
        <v>1.0</v>
      </c>
      <c r="K55" s="47" t="s">
        <v>8</v>
      </c>
      <c r="L55" s="43" t="s">
        <v>464</v>
      </c>
      <c r="M55" s="43"/>
      <c r="N55" s="43"/>
      <c r="O55" s="52">
        <v>45951.0</v>
      </c>
      <c r="P55" s="52">
        <v>46752.0</v>
      </c>
      <c r="Q55" s="43" t="s">
        <v>465</v>
      </c>
      <c r="R55" s="43" t="s">
        <v>60</v>
      </c>
      <c r="S55" s="47" t="s">
        <v>101</v>
      </c>
      <c r="T55" s="45"/>
      <c r="U55" s="46"/>
    </row>
    <row r="56">
      <c r="A56" s="38">
        <v>55.0</v>
      </c>
      <c r="B56" s="45"/>
      <c r="C56" s="47" t="s">
        <v>432</v>
      </c>
      <c r="D56" s="47" t="s">
        <v>459</v>
      </c>
      <c r="E56" s="47" t="s">
        <v>460</v>
      </c>
      <c r="F56" s="43" t="s">
        <v>466</v>
      </c>
      <c r="G56" s="51" t="s">
        <v>467</v>
      </c>
      <c r="H56" s="43" t="s">
        <v>56</v>
      </c>
      <c r="I56" s="43" t="s">
        <v>468</v>
      </c>
      <c r="J56" s="43">
        <v>1.0</v>
      </c>
      <c r="K56" s="47" t="s">
        <v>8</v>
      </c>
      <c r="L56" s="43" t="s">
        <v>469</v>
      </c>
      <c r="M56" s="43"/>
      <c r="N56" s="43"/>
      <c r="O56" s="52">
        <v>45798.0</v>
      </c>
      <c r="P56" s="52">
        <v>46752.0</v>
      </c>
      <c r="Q56" s="43" t="s">
        <v>470</v>
      </c>
      <c r="R56" s="43" t="s">
        <v>60</v>
      </c>
      <c r="S56" s="47" t="s">
        <v>101</v>
      </c>
      <c r="T56" s="45"/>
      <c r="U56" s="46"/>
    </row>
    <row r="57">
      <c r="A57" s="38">
        <v>56.0</v>
      </c>
      <c r="B57" s="45"/>
      <c r="C57" s="47" t="s">
        <v>432</v>
      </c>
      <c r="D57" s="47" t="s">
        <v>459</v>
      </c>
      <c r="E57" s="47" t="s">
        <v>460</v>
      </c>
      <c r="F57" s="43" t="s">
        <v>471</v>
      </c>
      <c r="G57" s="51" t="s">
        <v>472</v>
      </c>
      <c r="H57" s="43" t="s">
        <v>56</v>
      </c>
      <c r="I57" s="43" t="s">
        <v>468</v>
      </c>
      <c r="J57" s="43">
        <v>1.0</v>
      </c>
      <c r="K57" s="47" t="s">
        <v>8</v>
      </c>
      <c r="L57" s="43" t="s">
        <v>473</v>
      </c>
      <c r="M57" s="43"/>
      <c r="N57" s="43"/>
      <c r="O57" s="52">
        <v>45880.0</v>
      </c>
      <c r="P57" s="52">
        <v>46752.0</v>
      </c>
      <c r="Q57" s="43" t="s">
        <v>474</v>
      </c>
      <c r="R57" s="43" t="s">
        <v>60</v>
      </c>
      <c r="S57" s="47" t="s">
        <v>101</v>
      </c>
      <c r="T57" s="45"/>
      <c r="U57" s="46"/>
    </row>
    <row r="58">
      <c r="A58" s="38">
        <v>57.0</v>
      </c>
      <c r="B58" s="43">
        <v>48687.0</v>
      </c>
      <c r="C58" s="47" t="s">
        <v>475</v>
      </c>
      <c r="D58" s="47" t="s">
        <v>476</v>
      </c>
      <c r="E58" s="47" t="s">
        <v>477</v>
      </c>
      <c r="F58" s="43" t="s">
        <v>478</v>
      </c>
      <c r="G58" s="51" t="s">
        <v>479</v>
      </c>
      <c r="H58" s="43" t="s">
        <v>56</v>
      </c>
      <c r="I58" s="43" t="s">
        <v>480</v>
      </c>
      <c r="J58" s="43">
        <v>1.0</v>
      </c>
      <c r="K58" s="47" t="s">
        <v>8</v>
      </c>
      <c r="L58" s="43" t="s">
        <v>481</v>
      </c>
      <c r="M58" s="43" t="s">
        <v>482</v>
      </c>
      <c r="N58" s="43"/>
      <c r="O58" s="52">
        <v>45292.0</v>
      </c>
      <c r="P58" s="52">
        <v>46387.0</v>
      </c>
      <c r="Q58" s="43" t="s">
        <v>483</v>
      </c>
      <c r="R58" s="43" t="s">
        <v>60</v>
      </c>
      <c r="S58" s="47" t="s">
        <v>101</v>
      </c>
      <c r="T58" s="45"/>
      <c r="U58" s="46"/>
    </row>
    <row r="59">
      <c r="A59" s="38">
        <v>58.0</v>
      </c>
      <c r="B59" s="45"/>
      <c r="C59" s="47" t="s">
        <v>475</v>
      </c>
      <c r="D59" s="47" t="s">
        <v>484</v>
      </c>
      <c r="E59" s="47" t="s">
        <v>485</v>
      </c>
      <c r="F59" s="43" t="s">
        <v>486</v>
      </c>
      <c r="G59" s="51" t="s">
        <v>487</v>
      </c>
      <c r="H59" s="43" t="s">
        <v>56</v>
      </c>
      <c r="I59" s="43" t="s">
        <v>488</v>
      </c>
      <c r="J59" s="43">
        <v>1.0</v>
      </c>
      <c r="K59" s="47" t="s">
        <v>8</v>
      </c>
      <c r="L59" s="43" t="s">
        <v>489</v>
      </c>
      <c r="M59" s="43" t="s">
        <v>490</v>
      </c>
      <c r="N59" s="43" t="s">
        <v>491</v>
      </c>
      <c r="O59" s="52">
        <v>45559.0</v>
      </c>
      <c r="P59" s="52">
        <v>46387.0</v>
      </c>
      <c r="Q59" s="43" t="s">
        <v>492</v>
      </c>
      <c r="R59" s="43" t="s">
        <v>60</v>
      </c>
      <c r="S59" s="47" t="s">
        <v>101</v>
      </c>
      <c r="T59" s="45"/>
      <c r="U59" s="46"/>
    </row>
    <row r="60">
      <c r="A60" s="38">
        <v>59.0</v>
      </c>
      <c r="B60" s="45"/>
      <c r="C60" s="47" t="s">
        <v>475</v>
      </c>
      <c r="D60" s="47" t="s">
        <v>493</v>
      </c>
      <c r="E60" s="47" t="s">
        <v>494</v>
      </c>
      <c r="F60" s="43" t="s">
        <v>495</v>
      </c>
      <c r="G60" s="51" t="s">
        <v>496</v>
      </c>
      <c r="H60" s="43" t="s">
        <v>56</v>
      </c>
      <c r="I60" s="43" t="s">
        <v>497</v>
      </c>
      <c r="J60" s="43">
        <v>8.0</v>
      </c>
      <c r="K60" s="47" t="s">
        <v>8</v>
      </c>
      <c r="L60" s="43" t="s">
        <v>498</v>
      </c>
      <c r="M60" s="43" t="s">
        <v>499</v>
      </c>
      <c r="N60" s="43" t="s">
        <v>500</v>
      </c>
      <c r="O60" s="52">
        <v>45716.0</v>
      </c>
      <c r="P60" s="52">
        <v>46752.0</v>
      </c>
      <c r="Q60" s="43" t="s">
        <v>501</v>
      </c>
      <c r="R60" s="43" t="s">
        <v>92</v>
      </c>
      <c r="S60" s="44"/>
      <c r="T60" s="45"/>
      <c r="U60" s="46"/>
    </row>
    <row r="61">
      <c r="A61" s="38">
        <v>60.0</v>
      </c>
      <c r="B61" s="45"/>
      <c r="C61" s="47" t="s">
        <v>475</v>
      </c>
      <c r="D61" s="47" t="s">
        <v>493</v>
      </c>
      <c r="E61" s="47" t="s">
        <v>494</v>
      </c>
      <c r="F61" s="43" t="s">
        <v>502</v>
      </c>
      <c r="G61" s="51" t="s">
        <v>497</v>
      </c>
      <c r="H61" s="43" t="s">
        <v>56</v>
      </c>
      <c r="I61" s="43" t="s">
        <v>497</v>
      </c>
      <c r="J61" s="43">
        <v>15.0</v>
      </c>
      <c r="K61" s="47" t="s">
        <v>8</v>
      </c>
      <c r="L61" s="43" t="s">
        <v>503</v>
      </c>
      <c r="M61" s="43" t="s">
        <v>504</v>
      </c>
      <c r="N61" s="43" t="s">
        <v>505</v>
      </c>
      <c r="O61" s="52">
        <v>45505.0</v>
      </c>
      <c r="P61" s="52">
        <v>46387.0</v>
      </c>
      <c r="Q61" s="43" t="s">
        <v>506</v>
      </c>
      <c r="R61" s="43" t="s">
        <v>92</v>
      </c>
      <c r="S61" s="44"/>
      <c r="T61" s="43" t="s">
        <v>507</v>
      </c>
      <c r="U61" s="46"/>
    </row>
    <row r="62">
      <c r="A62" s="38">
        <v>61.0</v>
      </c>
      <c r="B62" s="45"/>
      <c r="C62" s="47" t="s">
        <v>475</v>
      </c>
      <c r="D62" s="47" t="s">
        <v>493</v>
      </c>
      <c r="E62" s="47" t="s">
        <v>494</v>
      </c>
      <c r="F62" s="43" t="s">
        <v>502</v>
      </c>
      <c r="G62" s="51" t="s">
        <v>497</v>
      </c>
      <c r="H62" s="43" t="s">
        <v>56</v>
      </c>
      <c r="I62" s="43" t="s">
        <v>497</v>
      </c>
      <c r="J62" s="43">
        <v>15.0</v>
      </c>
      <c r="K62" s="47" t="s">
        <v>8</v>
      </c>
      <c r="L62" s="43" t="s">
        <v>508</v>
      </c>
      <c r="M62" s="43" t="s">
        <v>504</v>
      </c>
      <c r="N62" s="43" t="s">
        <v>505</v>
      </c>
      <c r="O62" s="52">
        <v>45603.0</v>
      </c>
      <c r="P62" s="52">
        <v>46387.0</v>
      </c>
      <c r="Q62" s="43" t="s">
        <v>509</v>
      </c>
      <c r="R62" s="43" t="s">
        <v>92</v>
      </c>
      <c r="S62" s="44"/>
      <c r="T62" s="45"/>
      <c r="U62" s="46"/>
    </row>
    <row r="63">
      <c r="A63" s="38">
        <v>62.0</v>
      </c>
      <c r="B63" s="45"/>
      <c r="C63" s="47" t="s">
        <v>475</v>
      </c>
      <c r="D63" s="47" t="s">
        <v>493</v>
      </c>
      <c r="E63" s="47" t="s">
        <v>494</v>
      </c>
      <c r="F63" s="43" t="s">
        <v>502</v>
      </c>
      <c r="G63" s="51" t="s">
        <v>497</v>
      </c>
      <c r="H63" s="43" t="s">
        <v>56</v>
      </c>
      <c r="I63" s="43" t="s">
        <v>497</v>
      </c>
      <c r="J63" s="43">
        <v>15.0</v>
      </c>
      <c r="K63" s="47" t="s">
        <v>8</v>
      </c>
      <c r="L63" s="43" t="s">
        <v>510</v>
      </c>
      <c r="M63" s="43" t="s">
        <v>504</v>
      </c>
      <c r="N63" s="43" t="s">
        <v>505</v>
      </c>
      <c r="O63" s="52">
        <v>45699.0</v>
      </c>
      <c r="P63" s="52">
        <v>46752.0</v>
      </c>
      <c r="Q63" s="43" t="s">
        <v>511</v>
      </c>
      <c r="R63" s="43" t="s">
        <v>126</v>
      </c>
      <c r="S63" s="44"/>
      <c r="T63" s="45"/>
      <c r="U63" s="46"/>
    </row>
    <row r="64">
      <c r="A64" s="38">
        <v>63.0</v>
      </c>
      <c r="B64" s="45"/>
      <c r="C64" s="47" t="s">
        <v>475</v>
      </c>
      <c r="D64" s="47" t="s">
        <v>512</v>
      </c>
      <c r="E64" s="47" t="s">
        <v>513</v>
      </c>
      <c r="F64" s="43" t="s">
        <v>514</v>
      </c>
      <c r="G64" s="51" t="s">
        <v>515</v>
      </c>
      <c r="H64" s="43" t="s">
        <v>56</v>
      </c>
      <c r="I64" s="43" t="s">
        <v>515</v>
      </c>
      <c r="J64" s="43">
        <v>1.0</v>
      </c>
      <c r="K64" s="47" t="s">
        <v>8</v>
      </c>
      <c r="L64" s="43" t="s">
        <v>516</v>
      </c>
      <c r="M64" s="43" t="s">
        <v>517</v>
      </c>
      <c r="N64" s="43" t="s">
        <v>518</v>
      </c>
      <c r="O64" s="52">
        <v>45506.0</v>
      </c>
      <c r="P64" s="52">
        <v>46387.0</v>
      </c>
      <c r="Q64" s="43" t="s">
        <v>519</v>
      </c>
      <c r="R64" s="43" t="s">
        <v>126</v>
      </c>
      <c r="S64" s="44"/>
      <c r="T64" s="45"/>
      <c r="U64" s="46"/>
    </row>
    <row r="65">
      <c r="A65" s="38">
        <v>64.0</v>
      </c>
      <c r="B65" s="43">
        <v>48686.0</v>
      </c>
      <c r="C65" s="47" t="s">
        <v>475</v>
      </c>
      <c r="D65" s="47" t="s">
        <v>520</v>
      </c>
      <c r="E65" s="47" t="s">
        <v>521</v>
      </c>
      <c r="F65" s="43" t="s">
        <v>522</v>
      </c>
      <c r="G65" s="51" t="s">
        <v>523</v>
      </c>
      <c r="H65" s="43" t="s">
        <v>56</v>
      </c>
      <c r="I65" s="43" t="s">
        <v>524</v>
      </c>
      <c r="J65" s="43">
        <v>1.0</v>
      </c>
      <c r="K65" s="47" t="s">
        <v>8</v>
      </c>
      <c r="L65" s="43" t="s">
        <v>525</v>
      </c>
      <c r="M65" s="43" t="s">
        <v>526</v>
      </c>
      <c r="N65" s="43"/>
      <c r="O65" s="52">
        <v>45658.0</v>
      </c>
      <c r="P65" s="52">
        <v>46752.0</v>
      </c>
      <c r="Q65" s="43" t="s">
        <v>527</v>
      </c>
      <c r="R65" s="43" t="s">
        <v>126</v>
      </c>
      <c r="S65" s="44"/>
      <c r="T65" s="45"/>
      <c r="U65" s="46"/>
    </row>
    <row r="66">
      <c r="A66" s="38">
        <v>65.0</v>
      </c>
      <c r="B66" s="45"/>
      <c r="C66" s="47" t="s">
        <v>528</v>
      </c>
      <c r="D66" s="47" t="s">
        <v>529</v>
      </c>
      <c r="E66" s="47" t="s">
        <v>530</v>
      </c>
      <c r="F66" s="43" t="s">
        <v>531</v>
      </c>
      <c r="G66" s="51" t="s">
        <v>532</v>
      </c>
      <c r="H66" s="43" t="s">
        <v>56</v>
      </c>
      <c r="I66" s="43" t="s">
        <v>533</v>
      </c>
      <c r="J66" s="43">
        <v>1.0</v>
      </c>
      <c r="K66" s="47" t="s">
        <v>8</v>
      </c>
      <c r="L66" s="43" t="s">
        <v>534</v>
      </c>
      <c r="M66" s="43">
        <v>9.152117565E9</v>
      </c>
      <c r="N66" s="43" t="s">
        <v>535</v>
      </c>
      <c r="O66" s="43" t="s">
        <v>536</v>
      </c>
      <c r="P66" s="52">
        <v>46752.0</v>
      </c>
      <c r="Q66" s="43" t="s">
        <v>537</v>
      </c>
      <c r="R66" s="43" t="s">
        <v>126</v>
      </c>
      <c r="S66" s="44"/>
      <c r="T66" s="45"/>
      <c r="U66" s="46"/>
    </row>
    <row r="67">
      <c r="A67" s="38">
        <v>66.0</v>
      </c>
      <c r="B67" s="45"/>
      <c r="C67" s="47" t="s">
        <v>538</v>
      </c>
      <c r="D67" s="47" t="s">
        <v>539</v>
      </c>
      <c r="E67" s="47" t="s">
        <v>540</v>
      </c>
      <c r="F67" s="43" t="s">
        <v>541</v>
      </c>
      <c r="G67" s="51" t="s">
        <v>542</v>
      </c>
      <c r="H67" s="43" t="s">
        <v>56</v>
      </c>
      <c r="I67" s="43" t="s">
        <v>543</v>
      </c>
      <c r="J67" s="43">
        <v>3.0</v>
      </c>
      <c r="K67" s="47" t="s">
        <v>8</v>
      </c>
      <c r="L67" s="43" t="s">
        <v>544</v>
      </c>
      <c r="M67" s="43" t="s">
        <v>545</v>
      </c>
      <c r="N67" s="43" t="s">
        <v>546</v>
      </c>
      <c r="O67" s="52">
        <v>45681.0</v>
      </c>
      <c r="P67" s="52">
        <v>46752.0</v>
      </c>
      <c r="Q67" s="43" t="s">
        <v>547</v>
      </c>
      <c r="R67" s="43" t="s">
        <v>126</v>
      </c>
      <c r="S67" s="44"/>
      <c r="T67" s="45"/>
      <c r="U67" s="46"/>
    </row>
    <row r="68">
      <c r="A68" s="38">
        <v>67.0</v>
      </c>
      <c r="B68" s="45"/>
      <c r="C68" s="47" t="s">
        <v>538</v>
      </c>
      <c r="D68" s="47" t="s">
        <v>548</v>
      </c>
      <c r="E68" s="47" t="s">
        <v>549</v>
      </c>
      <c r="F68" s="43" t="s">
        <v>550</v>
      </c>
      <c r="G68" s="51" t="s">
        <v>551</v>
      </c>
      <c r="H68" s="43" t="s">
        <v>56</v>
      </c>
      <c r="I68" s="43" t="s">
        <v>552</v>
      </c>
      <c r="J68" s="43">
        <v>1.0</v>
      </c>
      <c r="K68" s="47" t="s">
        <v>8</v>
      </c>
      <c r="L68" s="43" t="s">
        <v>553</v>
      </c>
      <c r="M68" s="43">
        <v>9.951185859E9</v>
      </c>
      <c r="N68" s="43" t="s">
        <v>554</v>
      </c>
      <c r="O68" s="52">
        <v>45826.0</v>
      </c>
      <c r="P68" s="52">
        <v>46752.0</v>
      </c>
      <c r="Q68" s="43" t="s">
        <v>555</v>
      </c>
      <c r="R68" s="43" t="s">
        <v>126</v>
      </c>
      <c r="S68" s="44"/>
      <c r="T68" s="45"/>
      <c r="U68" s="46" t="s">
        <v>61</v>
      </c>
    </row>
    <row r="69">
      <c r="A69" s="38">
        <v>68.0</v>
      </c>
      <c r="B69" s="45"/>
      <c r="C69" s="47" t="s">
        <v>538</v>
      </c>
      <c r="D69" s="47" t="s">
        <v>548</v>
      </c>
      <c r="E69" s="47" t="s">
        <v>556</v>
      </c>
      <c r="F69" s="43" t="s">
        <v>557</v>
      </c>
      <c r="G69" s="51" t="s">
        <v>558</v>
      </c>
      <c r="H69" s="43" t="s">
        <v>56</v>
      </c>
      <c r="I69" s="43" t="s">
        <v>559</v>
      </c>
      <c r="J69" s="43">
        <v>2.0</v>
      </c>
      <c r="K69" s="47" t="s">
        <v>8</v>
      </c>
      <c r="L69" s="43" t="s">
        <v>560</v>
      </c>
      <c r="M69" s="43"/>
      <c r="N69" s="43"/>
      <c r="O69" s="52">
        <v>45775.0</v>
      </c>
      <c r="P69" s="52">
        <v>46752.0</v>
      </c>
      <c r="Q69" s="43" t="s">
        <v>561</v>
      </c>
      <c r="R69" s="43" t="s">
        <v>126</v>
      </c>
      <c r="S69" s="44"/>
      <c r="T69" s="45"/>
      <c r="U69" s="46" t="s">
        <v>61</v>
      </c>
    </row>
    <row r="70">
      <c r="A70" s="38">
        <v>69.0</v>
      </c>
      <c r="B70" s="45"/>
      <c r="C70" s="47" t="s">
        <v>538</v>
      </c>
      <c r="D70" s="47" t="s">
        <v>548</v>
      </c>
      <c r="E70" s="47" t="s">
        <v>562</v>
      </c>
      <c r="F70" s="43" t="s">
        <v>563</v>
      </c>
      <c r="G70" s="51" t="s">
        <v>564</v>
      </c>
      <c r="H70" s="43" t="s">
        <v>56</v>
      </c>
      <c r="I70" s="43" t="s">
        <v>564</v>
      </c>
      <c r="J70" s="43">
        <v>2.0</v>
      </c>
      <c r="K70" s="47" t="s">
        <v>8</v>
      </c>
      <c r="L70" s="43" t="s">
        <v>565</v>
      </c>
      <c r="M70" s="43"/>
      <c r="N70" s="43" t="s">
        <v>566</v>
      </c>
      <c r="O70" s="52">
        <v>45661.0</v>
      </c>
      <c r="P70" s="52">
        <v>46752.0</v>
      </c>
      <c r="Q70" s="43" t="s">
        <v>567</v>
      </c>
      <c r="R70" s="43" t="s">
        <v>126</v>
      </c>
      <c r="S70" s="44"/>
      <c r="T70" s="45"/>
      <c r="U70" s="46" t="s">
        <v>61</v>
      </c>
    </row>
    <row r="71">
      <c r="A71" s="38">
        <v>70.0</v>
      </c>
      <c r="B71" s="45"/>
      <c r="C71" s="47" t="s">
        <v>538</v>
      </c>
      <c r="D71" s="47" t="s">
        <v>548</v>
      </c>
      <c r="E71" s="47" t="s">
        <v>568</v>
      </c>
      <c r="F71" s="43" t="s">
        <v>569</v>
      </c>
      <c r="G71" s="51" t="s">
        <v>570</v>
      </c>
      <c r="H71" s="43" t="s">
        <v>56</v>
      </c>
      <c r="I71" s="43" t="s">
        <v>570</v>
      </c>
      <c r="J71" s="43">
        <v>2.0</v>
      </c>
      <c r="K71" s="47" t="s">
        <v>8</v>
      </c>
      <c r="L71" s="43" t="s">
        <v>571</v>
      </c>
      <c r="M71" s="43">
        <v>9.98539097E9</v>
      </c>
      <c r="N71" s="43" t="s">
        <v>572</v>
      </c>
      <c r="O71" s="52">
        <v>45588.0</v>
      </c>
      <c r="P71" s="52">
        <v>46387.0</v>
      </c>
      <c r="Q71" s="43" t="s">
        <v>573</v>
      </c>
      <c r="R71" s="43" t="s">
        <v>126</v>
      </c>
      <c r="S71" s="44"/>
      <c r="T71" s="45"/>
      <c r="U71" s="46"/>
    </row>
    <row r="72">
      <c r="A72" s="38">
        <v>71.0</v>
      </c>
      <c r="B72" s="45"/>
      <c r="C72" s="47" t="s">
        <v>538</v>
      </c>
      <c r="D72" s="47" t="s">
        <v>548</v>
      </c>
      <c r="E72" s="47" t="s">
        <v>218</v>
      </c>
      <c r="F72" s="43" t="s">
        <v>574</v>
      </c>
      <c r="G72" s="51" t="s">
        <v>575</v>
      </c>
      <c r="H72" s="43" t="s">
        <v>56</v>
      </c>
      <c r="I72" s="43" t="s">
        <v>576</v>
      </c>
      <c r="J72" s="43">
        <v>1.0</v>
      </c>
      <c r="K72" s="47" t="s">
        <v>8</v>
      </c>
      <c r="L72" s="43" t="s">
        <v>577</v>
      </c>
      <c r="M72" s="43">
        <v>9.951178814E9</v>
      </c>
      <c r="N72" s="43" t="s">
        <v>578</v>
      </c>
      <c r="O72" s="52">
        <v>45884.0</v>
      </c>
      <c r="P72" s="52">
        <v>46752.0</v>
      </c>
      <c r="Q72" s="43" t="s">
        <v>579</v>
      </c>
      <c r="R72" s="43" t="s">
        <v>126</v>
      </c>
      <c r="S72" s="44"/>
      <c r="T72" s="45"/>
      <c r="U72" s="46"/>
    </row>
    <row r="73">
      <c r="A73" s="38">
        <v>72.0</v>
      </c>
      <c r="B73" s="45"/>
      <c r="C73" s="47" t="s">
        <v>12</v>
      </c>
      <c r="D73" s="47" t="s">
        <v>580</v>
      </c>
      <c r="E73" s="47" t="s">
        <v>581</v>
      </c>
      <c r="F73" s="43" t="s">
        <v>582</v>
      </c>
      <c r="G73" s="51" t="s">
        <v>583</v>
      </c>
      <c r="H73" s="43" t="s">
        <v>56</v>
      </c>
      <c r="I73" s="43" t="s">
        <v>584</v>
      </c>
      <c r="J73" s="43">
        <v>1.0</v>
      </c>
      <c r="K73" s="47" t="s">
        <v>8</v>
      </c>
      <c r="L73" s="43" t="s">
        <v>585</v>
      </c>
      <c r="M73" s="43" t="s">
        <v>586</v>
      </c>
      <c r="N73" s="43" t="s">
        <v>587</v>
      </c>
      <c r="O73" s="52">
        <v>46023.0</v>
      </c>
      <c r="P73" s="52">
        <v>47118.0</v>
      </c>
      <c r="Q73" s="40" t="s">
        <v>588</v>
      </c>
      <c r="R73" s="38" t="s">
        <v>126</v>
      </c>
      <c r="S73" s="50"/>
      <c r="T73" s="39"/>
      <c r="U73" s="53" t="s">
        <v>61</v>
      </c>
    </row>
    <row r="74">
      <c r="A74" s="38">
        <v>73.0</v>
      </c>
      <c r="B74" s="43">
        <v>48688.0</v>
      </c>
      <c r="C74" s="47" t="s">
        <v>12</v>
      </c>
      <c r="D74" s="47" t="s">
        <v>580</v>
      </c>
      <c r="E74" s="47" t="s">
        <v>581</v>
      </c>
      <c r="F74" s="43" t="s">
        <v>589</v>
      </c>
      <c r="G74" s="51" t="s">
        <v>590</v>
      </c>
      <c r="H74" s="43" t="s">
        <v>56</v>
      </c>
      <c r="I74" s="43" t="s">
        <v>591</v>
      </c>
      <c r="J74" s="43">
        <v>1.0</v>
      </c>
      <c r="K74" s="47" t="s">
        <v>8</v>
      </c>
      <c r="L74" s="43" t="s">
        <v>592</v>
      </c>
      <c r="M74" s="43" t="s">
        <v>593</v>
      </c>
      <c r="N74" s="43" t="s">
        <v>594</v>
      </c>
      <c r="O74" s="52">
        <v>45658.0</v>
      </c>
      <c r="P74" s="52">
        <v>46752.0</v>
      </c>
      <c r="Q74" s="40" t="s">
        <v>595</v>
      </c>
      <c r="R74" s="38" t="s">
        <v>92</v>
      </c>
      <c r="S74" s="50"/>
      <c r="T74" s="39"/>
      <c r="U74" s="53"/>
    </row>
    <row r="75">
      <c r="A75" s="38">
        <v>74.0</v>
      </c>
      <c r="B75" s="43" t="s">
        <v>596</v>
      </c>
      <c r="C75" s="47" t="s">
        <v>12</v>
      </c>
      <c r="D75" s="47" t="s">
        <v>580</v>
      </c>
      <c r="E75" s="47" t="s">
        <v>597</v>
      </c>
      <c r="F75" s="43" t="s">
        <v>598</v>
      </c>
      <c r="G75" s="51" t="s">
        <v>599</v>
      </c>
      <c r="H75" s="43" t="s">
        <v>56</v>
      </c>
      <c r="I75" s="43" t="s">
        <v>600</v>
      </c>
      <c r="J75" s="43">
        <v>2.0</v>
      </c>
      <c r="K75" s="47" t="s">
        <v>9</v>
      </c>
      <c r="L75" s="43" t="s">
        <v>601</v>
      </c>
      <c r="M75" s="43" t="s">
        <v>602</v>
      </c>
      <c r="N75" s="43" t="s">
        <v>603</v>
      </c>
      <c r="O75" s="52">
        <v>45937.0</v>
      </c>
      <c r="P75" s="52">
        <v>46752.0</v>
      </c>
      <c r="Q75" s="38" t="s">
        <v>604</v>
      </c>
      <c r="R75" s="38" t="s">
        <v>126</v>
      </c>
      <c r="S75" s="50"/>
      <c r="T75" s="39"/>
      <c r="U75" s="53"/>
    </row>
    <row r="76">
      <c r="A76" s="38">
        <v>75.0</v>
      </c>
      <c r="B76" s="45"/>
      <c r="C76" s="47" t="s">
        <v>12</v>
      </c>
      <c r="D76" s="47" t="s">
        <v>580</v>
      </c>
      <c r="E76" s="47" t="s">
        <v>605</v>
      </c>
      <c r="F76" s="43" t="s">
        <v>606</v>
      </c>
      <c r="G76" s="51" t="s">
        <v>607</v>
      </c>
      <c r="H76" s="43" t="s">
        <v>56</v>
      </c>
      <c r="I76" s="43" t="s">
        <v>608</v>
      </c>
      <c r="J76" s="43">
        <v>1.0</v>
      </c>
      <c r="K76" s="47" t="s">
        <v>8</v>
      </c>
      <c r="L76" s="43" t="s">
        <v>609</v>
      </c>
      <c r="M76" s="43" t="s">
        <v>610</v>
      </c>
      <c r="N76" s="43" t="s">
        <v>611</v>
      </c>
      <c r="O76" s="52">
        <v>46086.0</v>
      </c>
      <c r="P76" s="52">
        <v>47118.0</v>
      </c>
      <c r="Q76" s="40" t="s">
        <v>612</v>
      </c>
      <c r="R76" s="38" t="s">
        <v>613</v>
      </c>
      <c r="S76" s="50"/>
      <c r="T76" s="39"/>
      <c r="U76" s="53"/>
    </row>
    <row r="77">
      <c r="A77" s="38">
        <v>76.0</v>
      </c>
      <c r="B77" s="43">
        <v>48691.0</v>
      </c>
      <c r="C77" s="47" t="s">
        <v>12</v>
      </c>
      <c r="D77" s="47" t="s">
        <v>580</v>
      </c>
      <c r="E77" s="47" t="s">
        <v>614</v>
      </c>
      <c r="F77" s="43" t="s">
        <v>615</v>
      </c>
      <c r="G77" s="51" t="s">
        <v>616</v>
      </c>
      <c r="H77" s="43" t="s">
        <v>56</v>
      </c>
      <c r="I77" s="43" t="s">
        <v>617</v>
      </c>
      <c r="J77" s="43">
        <v>1.0</v>
      </c>
      <c r="K77" s="47" t="s">
        <v>8</v>
      </c>
      <c r="L77" s="43" t="s">
        <v>618</v>
      </c>
      <c r="M77" s="43" t="s">
        <v>619</v>
      </c>
      <c r="N77" s="43" t="s">
        <v>620</v>
      </c>
      <c r="O77" s="52">
        <v>45292.0</v>
      </c>
      <c r="P77" s="52">
        <v>46387.0</v>
      </c>
      <c r="Q77" s="43" t="s">
        <v>621</v>
      </c>
      <c r="R77" s="43" t="s">
        <v>60</v>
      </c>
      <c r="S77" s="44"/>
      <c r="T77" s="45"/>
      <c r="U77" s="46" t="s">
        <v>61</v>
      </c>
    </row>
    <row r="78">
      <c r="A78" s="38">
        <v>77.0</v>
      </c>
      <c r="B78" s="45"/>
      <c r="C78" s="47" t="s">
        <v>28</v>
      </c>
      <c r="D78" s="47" t="s">
        <v>622</v>
      </c>
      <c r="E78" s="47" t="s">
        <v>623</v>
      </c>
      <c r="F78" s="43" t="s">
        <v>624</v>
      </c>
      <c r="G78" s="51" t="s">
        <v>625</v>
      </c>
      <c r="H78" s="43" t="s">
        <v>56</v>
      </c>
      <c r="I78" s="43" t="s">
        <v>626</v>
      </c>
      <c r="J78" s="43">
        <v>1.0</v>
      </c>
      <c r="K78" s="47" t="s">
        <v>8</v>
      </c>
      <c r="L78" s="43" t="s">
        <v>627</v>
      </c>
      <c r="M78" s="43" t="s">
        <v>628</v>
      </c>
      <c r="N78" s="43" t="s">
        <v>629</v>
      </c>
      <c r="O78" s="52">
        <v>45646.0</v>
      </c>
      <c r="P78" s="52">
        <v>46387.0</v>
      </c>
      <c r="Q78" s="43" t="s">
        <v>630</v>
      </c>
      <c r="R78" s="43" t="s">
        <v>60</v>
      </c>
      <c r="S78" s="44"/>
      <c r="T78" s="45"/>
      <c r="U78" s="46" t="s">
        <v>61</v>
      </c>
    </row>
    <row r="79" ht="61.5" customHeight="1">
      <c r="A79" s="38">
        <v>78.0</v>
      </c>
      <c r="B79" s="43">
        <v>50469.0</v>
      </c>
      <c r="C79" s="47" t="s">
        <v>631</v>
      </c>
      <c r="D79" s="47" t="s">
        <v>632</v>
      </c>
      <c r="E79" s="47" t="s">
        <v>633</v>
      </c>
      <c r="F79" s="43" t="s">
        <v>634</v>
      </c>
      <c r="G79" s="51" t="s">
        <v>635</v>
      </c>
      <c r="H79" s="43" t="s">
        <v>56</v>
      </c>
      <c r="I79" s="43" t="s">
        <v>636</v>
      </c>
      <c r="J79" s="43">
        <v>1.0</v>
      </c>
      <c r="K79" s="47" t="s">
        <v>8</v>
      </c>
      <c r="L79" s="43" t="s">
        <v>637</v>
      </c>
      <c r="M79" s="43">
        <v>9.278039131E9</v>
      </c>
      <c r="N79" s="43" t="s">
        <v>638</v>
      </c>
      <c r="O79" s="52">
        <v>45631.0</v>
      </c>
      <c r="P79" s="52">
        <v>46387.0</v>
      </c>
      <c r="Q79" s="38" t="s">
        <v>639</v>
      </c>
      <c r="R79" s="38" t="s">
        <v>126</v>
      </c>
      <c r="S79" s="50"/>
      <c r="T79" s="39"/>
      <c r="U79" s="53" t="s">
        <v>61</v>
      </c>
    </row>
    <row r="80" ht="61.5" customHeight="1">
      <c r="A80" s="38">
        <v>79.0</v>
      </c>
      <c r="B80" s="45"/>
      <c r="C80" s="47" t="s">
        <v>631</v>
      </c>
      <c r="D80" s="47" t="s">
        <v>640</v>
      </c>
      <c r="E80" s="47" t="s">
        <v>641</v>
      </c>
      <c r="F80" s="43" t="s">
        <v>642</v>
      </c>
      <c r="G80" s="51" t="s">
        <v>643</v>
      </c>
      <c r="H80" s="43" t="s">
        <v>56</v>
      </c>
      <c r="I80" s="43" t="s">
        <v>644</v>
      </c>
      <c r="J80" s="43">
        <v>1.0</v>
      </c>
      <c r="K80" s="47" t="s">
        <v>8</v>
      </c>
      <c r="L80" s="43" t="s">
        <v>645</v>
      </c>
      <c r="M80" s="43"/>
      <c r="N80" s="43" t="s">
        <v>646</v>
      </c>
      <c r="O80" s="52">
        <v>45805.0</v>
      </c>
      <c r="P80" s="52">
        <v>46752.0</v>
      </c>
      <c r="Q80" s="40" t="s">
        <v>647</v>
      </c>
      <c r="R80" s="38" t="s">
        <v>92</v>
      </c>
      <c r="S80" s="50"/>
      <c r="T80" s="39"/>
      <c r="U80" s="53" t="s">
        <v>61</v>
      </c>
    </row>
    <row r="81" ht="61.5" customHeight="1">
      <c r="A81" s="38">
        <v>80.0</v>
      </c>
      <c r="B81" s="43">
        <v>50169.0</v>
      </c>
      <c r="C81" s="47" t="s">
        <v>631</v>
      </c>
      <c r="D81" s="47" t="s">
        <v>648</v>
      </c>
      <c r="E81" s="47" t="s">
        <v>649</v>
      </c>
      <c r="F81" s="43" t="s">
        <v>650</v>
      </c>
      <c r="G81" s="51" t="s">
        <v>651</v>
      </c>
      <c r="H81" s="43" t="s">
        <v>56</v>
      </c>
      <c r="I81" s="43" t="s">
        <v>122</v>
      </c>
      <c r="J81" s="43">
        <v>1.0</v>
      </c>
      <c r="K81" s="47" t="s">
        <v>8</v>
      </c>
      <c r="L81" s="43" t="s">
        <v>652</v>
      </c>
      <c r="M81" s="43">
        <v>9.055551911E9</v>
      </c>
      <c r="N81" s="43" t="s">
        <v>653</v>
      </c>
      <c r="O81" s="52">
        <v>46023.0</v>
      </c>
      <c r="P81" s="52">
        <v>47118.0</v>
      </c>
      <c r="Q81" s="40" t="s">
        <v>654</v>
      </c>
      <c r="R81" s="38" t="s">
        <v>92</v>
      </c>
      <c r="S81" s="50"/>
      <c r="T81" s="39"/>
      <c r="U81" s="53" t="s">
        <v>61</v>
      </c>
    </row>
    <row r="82" ht="61.5" customHeight="1">
      <c r="A82" s="38">
        <v>81.0</v>
      </c>
      <c r="B82" s="43">
        <v>51944.0</v>
      </c>
      <c r="C82" s="47" t="s">
        <v>631</v>
      </c>
      <c r="D82" s="47" t="s">
        <v>648</v>
      </c>
      <c r="E82" s="47" t="s">
        <v>649</v>
      </c>
      <c r="F82" s="43" t="s">
        <v>655</v>
      </c>
      <c r="G82" s="51" t="s">
        <v>656</v>
      </c>
      <c r="H82" s="43" t="s">
        <v>56</v>
      </c>
      <c r="I82" s="43" t="s">
        <v>657</v>
      </c>
      <c r="J82" s="43">
        <v>1.0</v>
      </c>
      <c r="K82" s="47" t="s">
        <v>8</v>
      </c>
      <c r="L82" s="43" t="s">
        <v>658</v>
      </c>
      <c r="M82" s="43" t="s">
        <v>659</v>
      </c>
      <c r="N82" s="43" t="s">
        <v>660</v>
      </c>
      <c r="O82" s="52">
        <v>45611.0</v>
      </c>
      <c r="P82" s="52">
        <v>46387.0</v>
      </c>
      <c r="Q82" s="40" t="s">
        <v>661</v>
      </c>
      <c r="R82" s="38" t="s">
        <v>92</v>
      </c>
      <c r="S82" s="50"/>
      <c r="T82" s="39"/>
      <c r="U82" s="53" t="s">
        <v>61</v>
      </c>
    </row>
  </sheetData>
  <hyperlinks>
    <hyperlink r:id="rId2" ref="N4"/>
    <hyperlink r:id="rId3" ref="N5"/>
    <hyperlink r:id="rId4" ref="N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hidden="1" min="2" max="2" width="16.38"/>
    <col customWidth="1" min="3" max="5" width="16.38"/>
    <col customWidth="1" min="6" max="7" width="37.63"/>
    <col customWidth="1" min="8" max="8" width="16.38"/>
    <col customWidth="1" hidden="1" min="9" max="9" width="37.63"/>
    <col customWidth="1" min="10" max="11" width="16.38"/>
    <col customWidth="1" hidden="1" min="12" max="12" width="37.63"/>
    <col customWidth="1" hidden="1" min="13" max="14" width="16.38"/>
    <col customWidth="1" min="15" max="16" width="16.38"/>
    <col customWidth="1" hidden="1" min="17" max="20" width="16.38"/>
    <col hidden="1" min="21" max="25" width="12.63"/>
  </cols>
  <sheetData>
    <row r="1">
      <c r="A1" s="34" t="s">
        <v>31</v>
      </c>
      <c r="B1" s="34" t="s">
        <v>32</v>
      </c>
      <c r="C1" s="34" t="s">
        <v>1</v>
      </c>
      <c r="D1" s="34" t="s">
        <v>33</v>
      </c>
      <c r="E1" s="34" t="s">
        <v>34</v>
      </c>
      <c r="F1" s="34" t="s">
        <v>35</v>
      </c>
      <c r="G1" s="34" t="s">
        <v>36</v>
      </c>
      <c r="H1" s="34" t="s">
        <v>37</v>
      </c>
      <c r="I1" s="34" t="s">
        <v>38</v>
      </c>
      <c r="J1" s="34" t="s">
        <v>39</v>
      </c>
      <c r="K1" s="34" t="s">
        <v>40</v>
      </c>
      <c r="L1" s="34" t="s">
        <v>41</v>
      </c>
      <c r="M1" s="34" t="s">
        <v>42</v>
      </c>
      <c r="N1" s="34" t="s">
        <v>43</v>
      </c>
      <c r="O1" s="34" t="s">
        <v>44</v>
      </c>
      <c r="P1" s="34" t="s">
        <v>45</v>
      </c>
      <c r="Q1" s="34" t="s">
        <v>46</v>
      </c>
      <c r="R1" s="35" t="s">
        <v>47</v>
      </c>
      <c r="S1" s="36" t="s">
        <v>48</v>
      </c>
      <c r="T1" s="34" t="s">
        <v>49</v>
      </c>
      <c r="U1" s="54" t="s">
        <v>50</v>
      </c>
      <c r="V1" s="55"/>
      <c r="W1" s="55"/>
      <c r="X1" s="56"/>
      <c r="Y1" s="56"/>
    </row>
    <row r="2">
      <c r="A2" s="43">
        <v>1.0</v>
      </c>
      <c r="B2" s="43"/>
      <c r="C2" s="47" t="s">
        <v>166</v>
      </c>
      <c r="D2" s="47" t="s">
        <v>167</v>
      </c>
      <c r="E2" s="47" t="s">
        <v>662</v>
      </c>
      <c r="F2" s="43" t="s">
        <v>663</v>
      </c>
      <c r="G2" s="51" t="s">
        <v>664</v>
      </c>
      <c r="H2" s="43" t="s">
        <v>238</v>
      </c>
      <c r="I2" s="43" t="s">
        <v>665</v>
      </c>
      <c r="J2" s="43">
        <v>1.0</v>
      </c>
      <c r="K2" s="43" t="s">
        <v>8</v>
      </c>
      <c r="L2" s="43" t="s">
        <v>666</v>
      </c>
      <c r="M2" s="43" t="s">
        <v>667</v>
      </c>
      <c r="N2" s="43" t="s">
        <v>668</v>
      </c>
      <c r="O2" s="52">
        <v>45735.0</v>
      </c>
      <c r="P2" s="52">
        <v>46752.0</v>
      </c>
      <c r="Q2" s="43" t="s">
        <v>669</v>
      </c>
      <c r="R2" s="43" t="s">
        <v>126</v>
      </c>
      <c r="S2" s="44"/>
      <c r="T2" s="45"/>
      <c r="U2" s="57"/>
      <c r="V2" s="57"/>
      <c r="W2" s="57"/>
      <c r="X2" s="58"/>
      <c r="Y2" s="58"/>
    </row>
    <row r="3">
      <c r="A3" s="43">
        <v>2.0</v>
      </c>
      <c r="B3" s="43"/>
      <c r="C3" s="47" t="s">
        <v>166</v>
      </c>
      <c r="D3" s="47" t="s">
        <v>193</v>
      </c>
      <c r="E3" s="47" t="s">
        <v>203</v>
      </c>
      <c r="F3" s="43" t="s">
        <v>670</v>
      </c>
      <c r="G3" s="51" t="s">
        <v>671</v>
      </c>
      <c r="H3" s="43" t="s">
        <v>238</v>
      </c>
      <c r="I3" s="43" t="s">
        <v>672</v>
      </c>
      <c r="J3" s="43">
        <v>1.0</v>
      </c>
      <c r="K3" s="43" t="s">
        <v>9</v>
      </c>
      <c r="L3" s="43" t="s">
        <v>673</v>
      </c>
      <c r="M3" s="43" t="s">
        <v>674</v>
      </c>
      <c r="N3" s="43" t="s">
        <v>675</v>
      </c>
      <c r="O3" s="52">
        <v>45737.0</v>
      </c>
      <c r="P3" s="52">
        <v>46752.0</v>
      </c>
      <c r="Q3" s="43" t="s">
        <v>676</v>
      </c>
      <c r="R3" s="43" t="s">
        <v>126</v>
      </c>
      <c r="S3" s="44"/>
      <c r="T3" s="45"/>
      <c r="U3" s="57"/>
      <c r="V3" s="57"/>
      <c r="W3" s="57"/>
      <c r="X3" s="58"/>
      <c r="Y3" s="58"/>
    </row>
    <row r="4">
      <c r="A4" s="43">
        <v>3.0</v>
      </c>
      <c r="B4" s="43"/>
      <c r="C4" s="47" t="s">
        <v>166</v>
      </c>
      <c r="D4" s="47" t="s">
        <v>193</v>
      </c>
      <c r="E4" s="47" t="s">
        <v>203</v>
      </c>
      <c r="F4" s="43" t="s">
        <v>677</v>
      </c>
      <c r="G4" s="51" t="s">
        <v>678</v>
      </c>
      <c r="H4" s="43" t="s">
        <v>238</v>
      </c>
      <c r="I4" s="43" t="s">
        <v>679</v>
      </c>
      <c r="J4" s="43">
        <v>1.0</v>
      </c>
      <c r="K4" s="43" t="s">
        <v>8</v>
      </c>
      <c r="L4" s="43" t="s">
        <v>680</v>
      </c>
      <c r="M4" s="43" t="s">
        <v>681</v>
      </c>
      <c r="N4" s="43" t="s">
        <v>682</v>
      </c>
      <c r="O4" s="52">
        <v>45770.0</v>
      </c>
      <c r="P4" s="52">
        <v>46752.0</v>
      </c>
      <c r="Q4" s="43" t="s">
        <v>683</v>
      </c>
      <c r="R4" s="43" t="s">
        <v>126</v>
      </c>
      <c r="S4" s="44"/>
      <c r="T4" s="45"/>
      <c r="U4" s="57"/>
      <c r="V4" s="57"/>
      <c r="W4" s="57"/>
      <c r="X4" s="58"/>
      <c r="Y4" s="58"/>
    </row>
    <row r="5">
      <c r="A5" s="43">
        <v>4.0</v>
      </c>
      <c r="B5" s="43">
        <v>49021.0</v>
      </c>
      <c r="C5" s="47" t="s">
        <v>166</v>
      </c>
      <c r="D5" s="47" t="s">
        <v>226</v>
      </c>
      <c r="E5" s="47" t="s">
        <v>684</v>
      </c>
      <c r="F5" s="43" t="s">
        <v>685</v>
      </c>
      <c r="G5" s="51" t="s">
        <v>686</v>
      </c>
      <c r="H5" s="43" t="s">
        <v>238</v>
      </c>
      <c r="I5" s="43" t="s">
        <v>687</v>
      </c>
      <c r="J5" s="43">
        <v>2.0</v>
      </c>
      <c r="K5" s="43" t="s">
        <v>8</v>
      </c>
      <c r="L5" s="43" t="s">
        <v>688</v>
      </c>
      <c r="M5" s="43" t="s">
        <v>689</v>
      </c>
      <c r="N5" s="43" t="s">
        <v>690</v>
      </c>
      <c r="O5" s="52">
        <v>45658.0</v>
      </c>
      <c r="P5" s="52">
        <v>46752.0</v>
      </c>
      <c r="Q5" s="43" t="s">
        <v>691</v>
      </c>
      <c r="R5" s="43" t="s">
        <v>92</v>
      </c>
      <c r="S5" s="44"/>
      <c r="T5" s="45"/>
      <c r="U5" s="57"/>
      <c r="V5" s="57"/>
      <c r="W5" s="57"/>
      <c r="X5" s="58"/>
      <c r="Y5" s="58"/>
    </row>
    <row r="6">
      <c r="A6" s="43">
        <v>5.0</v>
      </c>
      <c r="B6" s="43">
        <v>49022.0</v>
      </c>
      <c r="C6" s="47" t="s">
        <v>166</v>
      </c>
      <c r="D6" s="47" t="s">
        <v>226</v>
      </c>
      <c r="E6" s="47" t="s">
        <v>94</v>
      </c>
      <c r="F6" s="43" t="s">
        <v>692</v>
      </c>
      <c r="G6" s="51" t="s">
        <v>693</v>
      </c>
      <c r="H6" s="43" t="s">
        <v>238</v>
      </c>
      <c r="I6" s="43" t="s">
        <v>694</v>
      </c>
      <c r="J6" s="43">
        <v>1.0</v>
      </c>
      <c r="K6" s="43" t="s">
        <v>8</v>
      </c>
      <c r="L6" s="43" t="s">
        <v>695</v>
      </c>
      <c r="M6" s="43" t="s">
        <v>696</v>
      </c>
      <c r="N6" s="43" t="s">
        <v>697</v>
      </c>
      <c r="O6" s="52">
        <v>45292.0</v>
      </c>
      <c r="P6" s="52">
        <v>46387.0</v>
      </c>
      <c r="Q6" s="43" t="s">
        <v>698</v>
      </c>
      <c r="R6" s="43" t="s">
        <v>92</v>
      </c>
      <c r="S6" s="44"/>
      <c r="T6" s="45"/>
      <c r="U6" s="57"/>
      <c r="V6" s="57"/>
      <c r="W6" s="57"/>
      <c r="X6" s="58"/>
      <c r="Y6" s="58"/>
    </row>
    <row r="7">
      <c r="A7" s="43">
        <v>6.0</v>
      </c>
      <c r="B7" s="43"/>
      <c r="C7" s="47" t="s">
        <v>166</v>
      </c>
      <c r="D7" s="47" t="s">
        <v>234</v>
      </c>
      <c r="E7" s="47" t="s">
        <v>257</v>
      </c>
      <c r="F7" s="43" t="s">
        <v>699</v>
      </c>
      <c r="G7" s="51" t="s">
        <v>700</v>
      </c>
      <c r="H7" s="43" t="s">
        <v>238</v>
      </c>
      <c r="I7" s="43" t="s">
        <v>701</v>
      </c>
      <c r="J7" s="43">
        <v>1.0</v>
      </c>
      <c r="K7" s="43" t="s">
        <v>8</v>
      </c>
      <c r="L7" s="43" t="s">
        <v>702</v>
      </c>
      <c r="M7" s="43" t="s">
        <v>703</v>
      </c>
      <c r="N7" s="43" t="s">
        <v>704</v>
      </c>
      <c r="O7" s="52">
        <v>45855.0</v>
      </c>
      <c r="P7" s="52">
        <v>46752.0</v>
      </c>
      <c r="Q7" s="43" t="s">
        <v>705</v>
      </c>
      <c r="R7" s="43" t="s">
        <v>92</v>
      </c>
      <c r="S7" s="44"/>
      <c r="T7" s="45"/>
      <c r="U7" s="57"/>
      <c r="V7" s="57"/>
      <c r="W7" s="57"/>
      <c r="X7" s="58"/>
      <c r="Y7" s="58"/>
    </row>
    <row r="8">
      <c r="A8" s="43">
        <v>7.0</v>
      </c>
      <c r="B8" s="43"/>
      <c r="C8" s="47" t="s">
        <v>166</v>
      </c>
      <c r="D8" s="47" t="s">
        <v>706</v>
      </c>
      <c r="E8" s="47" t="s">
        <v>707</v>
      </c>
      <c r="F8" s="43" t="s">
        <v>708</v>
      </c>
      <c r="G8" s="51" t="s">
        <v>709</v>
      </c>
      <c r="H8" s="43" t="s">
        <v>238</v>
      </c>
      <c r="I8" s="43" t="s">
        <v>710</v>
      </c>
      <c r="J8" s="43">
        <v>3.0</v>
      </c>
      <c r="K8" s="43" t="s">
        <v>8</v>
      </c>
      <c r="L8" s="43" t="s">
        <v>711</v>
      </c>
      <c r="M8" s="43" t="s">
        <v>712</v>
      </c>
      <c r="N8" s="43" t="s">
        <v>713</v>
      </c>
      <c r="O8" s="52">
        <v>45867.0</v>
      </c>
      <c r="P8" s="52">
        <v>46752.0</v>
      </c>
      <c r="Q8" s="43" t="s">
        <v>714</v>
      </c>
      <c r="R8" s="43" t="s">
        <v>92</v>
      </c>
      <c r="S8" s="44"/>
      <c r="T8" s="45"/>
      <c r="U8" s="57"/>
      <c r="V8" s="57"/>
      <c r="W8" s="57"/>
      <c r="X8" s="58"/>
      <c r="Y8" s="58"/>
    </row>
    <row r="9">
      <c r="A9" s="43">
        <v>8.0</v>
      </c>
      <c r="B9" s="43">
        <v>49027.0</v>
      </c>
      <c r="C9" s="47" t="s">
        <v>715</v>
      </c>
      <c r="D9" s="47" t="s">
        <v>716</v>
      </c>
      <c r="E9" s="47" t="s">
        <v>717</v>
      </c>
      <c r="F9" s="43" t="s">
        <v>718</v>
      </c>
      <c r="G9" s="51" t="s">
        <v>719</v>
      </c>
      <c r="H9" s="43" t="s">
        <v>238</v>
      </c>
      <c r="I9" s="43" t="s">
        <v>719</v>
      </c>
      <c r="J9" s="43">
        <v>1.0</v>
      </c>
      <c r="K9" s="43" t="s">
        <v>9</v>
      </c>
      <c r="L9" s="43" t="s">
        <v>720</v>
      </c>
      <c r="M9" s="43" t="s">
        <v>721</v>
      </c>
      <c r="N9" s="43" t="s">
        <v>722</v>
      </c>
      <c r="O9" s="52">
        <v>45292.0</v>
      </c>
      <c r="P9" s="52">
        <v>46387.0</v>
      </c>
      <c r="Q9" s="43" t="s">
        <v>723</v>
      </c>
      <c r="R9" s="43" t="s">
        <v>92</v>
      </c>
      <c r="S9" s="44"/>
      <c r="T9" s="45"/>
      <c r="U9" s="57"/>
      <c r="V9" s="57"/>
      <c r="W9" s="57"/>
      <c r="X9" s="58"/>
      <c r="Y9" s="58"/>
    </row>
    <row r="10">
      <c r="A10" s="43">
        <v>9.0</v>
      </c>
      <c r="B10" s="43">
        <v>49025.0</v>
      </c>
      <c r="C10" s="47" t="s">
        <v>715</v>
      </c>
      <c r="D10" s="47" t="s">
        <v>716</v>
      </c>
      <c r="E10" s="47" t="s">
        <v>724</v>
      </c>
      <c r="F10" s="43" t="s">
        <v>725</v>
      </c>
      <c r="G10" s="51" t="s">
        <v>726</v>
      </c>
      <c r="H10" s="43" t="s">
        <v>238</v>
      </c>
      <c r="I10" s="43" t="s">
        <v>727</v>
      </c>
      <c r="J10" s="43">
        <v>1.0</v>
      </c>
      <c r="K10" s="43" t="s">
        <v>8</v>
      </c>
      <c r="L10" s="43" t="s">
        <v>728</v>
      </c>
      <c r="M10" s="43" t="s">
        <v>729</v>
      </c>
      <c r="N10" s="43" t="s">
        <v>730</v>
      </c>
      <c r="O10" s="52">
        <v>45658.0</v>
      </c>
      <c r="P10" s="52">
        <v>46752.0</v>
      </c>
      <c r="Q10" s="43" t="s">
        <v>731</v>
      </c>
      <c r="R10" s="43" t="s">
        <v>92</v>
      </c>
      <c r="S10" s="44"/>
      <c r="T10" s="45"/>
      <c r="U10" s="57"/>
      <c r="V10" s="57"/>
      <c r="W10" s="57"/>
      <c r="X10" s="58"/>
      <c r="Y10" s="58"/>
    </row>
    <row r="11">
      <c r="A11" s="43">
        <v>10.0</v>
      </c>
      <c r="B11" s="43">
        <v>51456.0</v>
      </c>
      <c r="C11" s="47" t="s">
        <v>715</v>
      </c>
      <c r="D11" s="47" t="s">
        <v>716</v>
      </c>
      <c r="E11" s="47" t="s">
        <v>732</v>
      </c>
      <c r="F11" s="43" t="s">
        <v>733</v>
      </c>
      <c r="G11" s="51" t="s">
        <v>734</v>
      </c>
      <c r="H11" s="43" t="s">
        <v>238</v>
      </c>
      <c r="I11" s="43" t="s">
        <v>735</v>
      </c>
      <c r="J11" s="43">
        <v>1.0</v>
      </c>
      <c r="K11" s="43" t="s">
        <v>8</v>
      </c>
      <c r="L11" s="43" t="s">
        <v>736</v>
      </c>
      <c r="M11" s="43" t="s">
        <v>737</v>
      </c>
      <c r="N11" s="43" t="s">
        <v>738</v>
      </c>
      <c r="O11" s="52">
        <v>45512.0</v>
      </c>
      <c r="P11" s="52">
        <v>46387.0</v>
      </c>
      <c r="Q11" s="43" t="s">
        <v>739</v>
      </c>
      <c r="R11" s="43" t="s">
        <v>92</v>
      </c>
      <c r="S11" s="44"/>
      <c r="T11" s="45"/>
      <c r="U11" s="57"/>
      <c r="V11" s="57"/>
      <c r="W11" s="57"/>
      <c r="X11" s="58"/>
      <c r="Y11" s="58"/>
    </row>
    <row r="12">
      <c r="A12" s="43">
        <v>11.0</v>
      </c>
      <c r="B12" s="43">
        <v>49026.0</v>
      </c>
      <c r="C12" s="47" t="s">
        <v>715</v>
      </c>
      <c r="D12" s="47" t="s">
        <v>740</v>
      </c>
      <c r="E12" s="47" t="s">
        <v>741</v>
      </c>
      <c r="F12" s="43" t="s">
        <v>742</v>
      </c>
      <c r="G12" s="51" t="s">
        <v>743</v>
      </c>
      <c r="H12" s="43" t="s">
        <v>238</v>
      </c>
      <c r="I12" s="43" t="s">
        <v>744</v>
      </c>
      <c r="J12" s="43">
        <v>1.0</v>
      </c>
      <c r="K12" s="43" t="s">
        <v>9</v>
      </c>
      <c r="L12" s="43" t="s">
        <v>745</v>
      </c>
      <c r="M12" s="43" t="s">
        <v>746</v>
      </c>
      <c r="N12" s="43" t="s">
        <v>747</v>
      </c>
      <c r="O12" s="52">
        <v>45292.0</v>
      </c>
      <c r="P12" s="52">
        <v>46387.0</v>
      </c>
      <c r="Q12" s="43" t="s">
        <v>748</v>
      </c>
      <c r="R12" s="43" t="s">
        <v>126</v>
      </c>
      <c r="S12" s="44"/>
      <c r="T12" s="45"/>
      <c r="U12" s="57"/>
      <c r="V12" s="57"/>
      <c r="W12" s="57"/>
      <c r="X12" s="58"/>
      <c r="Y12" s="58"/>
    </row>
    <row r="13">
      <c r="A13" s="43">
        <v>12.0</v>
      </c>
      <c r="B13" s="43"/>
      <c r="C13" s="47" t="s">
        <v>715</v>
      </c>
      <c r="D13" s="47" t="s">
        <v>740</v>
      </c>
      <c r="E13" s="47" t="s">
        <v>741</v>
      </c>
      <c r="F13" s="43" t="s">
        <v>749</v>
      </c>
      <c r="G13" s="51" t="s">
        <v>750</v>
      </c>
      <c r="H13" s="43" t="s">
        <v>238</v>
      </c>
      <c r="I13" s="43" t="s">
        <v>751</v>
      </c>
      <c r="J13" s="43">
        <v>1.0</v>
      </c>
      <c r="K13" s="43" t="s">
        <v>8</v>
      </c>
      <c r="L13" s="43" t="s">
        <v>752</v>
      </c>
      <c r="M13" s="43">
        <v>9.98991995E9</v>
      </c>
      <c r="N13" s="43" t="s">
        <v>753</v>
      </c>
      <c r="O13" s="52">
        <v>45705.0</v>
      </c>
      <c r="P13" s="52">
        <v>46752.0</v>
      </c>
      <c r="Q13" s="43" t="s">
        <v>754</v>
      </c>
      <c r="R13" s="43" t="s">
        <v>92</v>
      </c>
      <c r="S13" s="44"/>
      <c r="T13" s="45"/>
      <c r="U13" s="57"/>
      <c r="V13" s="57"/>
      <c r="W13" s="57"/>
      <c r="X13" s="58"/>
      <c r="Y13" s="58"/>
    </row>
    <row r="14">
      <c r="A14" s="43">
        <v>13.0</v>
      </c>
      <c r="B14" s="43">
        <v>49030.0</v>
      </c>
      <c r="C14" s="47" t="s">
        <v>715</v>
      </c>
      <c r="D14" s="47" t="s">
        <v>755</v>
      </c>
      <c r="E14" s="47" t="s">
        <v>756</v>
      </c>
      <c r="F14" s="43" t="s">
        <v>757</v>
      </c>
      <c r="G14" s="51" t="s">
        <v>758</v>
      </c>
      <c r="H14" s="43" t="s">
        <v>238</v>
      </c>
      <c r="I14" s="43" t="s">
        <v>759</v>
      </c>
      <c r="J14" s="43">
        <v>2.0</v>
      </c>
      <c r="K14" s="43" t="s">
        <v>9</v>
      </c>
      <c r="L14" s="43" t="s">
        <v>760</v>
      </c>
      <c r="M14" s="43" t="s">
        <v>761</v>
      </c>
      <c r="N14" s="43" t="s">
        <v>762</v>
      </c>
      <c r="O14" s="52">
        <v>45658.0</v>
      </c>
      <c r="P14" s="52">
        <v>46752.0</v>
      </c>
      <c r="Q14" s="43" t="s">
        <v>763</v>
      </c>
      <c r="R14" s="43" t="s">
        <v>60</v>
      </c>
      <c r="S14" s="47"/>
      <c r="T14" s="43"/>
      <c r="U14" s="57"/>
      <c r="V14" s="59">
        <v>79.0</v>
      </c>
      <c r="W14" s="57"/>
      <c r="X14" s="58"/>
      <c r="Y14" s="58"/>
    </row>
    <row r="15">
      <c r="A15" s="43">
        <v>14.0</v>
      </c>
      <c r="B15" s="43">
        <v>54452.0</v>
      </c>
      <c r="C15" s="47" t="s">
        <v>265</v>
      </c>
      <c r="D15" s="47" t="s">
        <v>273</v>
      </c>
      <c r="E15" s="47" t="s">
        <v>764</v>
      </c>
      <c r="F15" s="43" t="s">
        <v>765</v>
      </c>
      <c r="G15" s="51" t="s">
        <v>766</v>
      </c>
      <c r="H15" s="43" t="s">
        <v>238</v>
      </c>
      <c r="I15" s="43" t="s">
        <v>767</v>
      </c>
      <c r="J15" s="43">
        <v>1.0</v>
      </c>
      <c r="K15" s="43" t="s">
        <v>8</v>
      </c>
      <c r="L15" s="43" t="s">
        <v>768</v>
      </c>
      <c r="M15" s="43">
        <v>9.632006786E9</v>
      </c>
      <c r="N15" s="43" t="s">
        <v>769</v>
      </c>
      <c r="O15" s="52">
        <v>45658.0</v>
      </c>
      <c r="P15" s="52">
        <v>46752.0</v>
      </c>
      <c r="Q15" s="43" t="s">
        <v>770</v>
      </c>
      <c r="R15" s="43" t="s">
        <v>92</v>
      </c>
      <c r="S15" s="44"/>
      <c r="T15" s="45"/>
      <c r="U15" s="57"/>
      <c r="V15" s="59">
        <v>82.0</v>
      </c>
      <c r="W15" s="57"/>
      <c r="X15" s="58"/>
      <c r="Y15" s="58"/>
    </row>
    <row r="16">
      <c r="A16" s="43">
        <v>15.0</v>
      </c>
      <c r="B16" s="45"/>
      <c r="C16" s="47" t="s">
        <v>771</v>
      </c>
      <c r="D16" s="47" t="s">
        <v>772</v>
      </c>
      <c r="E16" s="47" t="s">
        <v>773</v>
      </c>
      <c r="F16" s="43" t="s">
        <v>774</v>
      </c>
      <c r="G16" s="51" t="s">
        <v>775</v>
      </c>
      <c r="H16" s="43" t="s">
        <v>238</v>
      </c>
      <c r="I16" s="43" t="s">
        <v>776</v>
      </c>
      <c r="J16" s="43">
        <v>1.0</v>
      </c>
      <c r="K16" s="43" t="s">
        <v>8</v>
      </c>
      <c r="L16" s="43" t="s">
        <v>777</v>
      </c>
      <c r="M16" s="43">
        <v>9.672704084E9</v>
      </c>
      <c r="N16" s="43" t="s">
        <v>778</v>
      </c>
      <c r="O16" s="52">
        <v>45824.0</v>
      </c>
      <c r="P16" s="52">
        <v>46752.0</v>
      </c>
      <c r="Q16" s="43" t="s">
        <v>779</v>
      </c>
      <c r="R16" s="43" t="s">
        <v>92</v>
      </c>
      <c r="S16" s="44"/>
      <c r="T16" s="45"/>
      <c r="U16" s="57"/>
      <c r="V16" s="59">
        <v>83.0</v>
      </c>
      <c r="W16" s="57"/>
      <c r="X16" s="58"/>
      <c r="Y16" s="58"/>
    </row>
    <row r="17">
      <c r="A17" s="43">
        <v>16.0</v>
      </c>
      <c r="B17" s="45"/>
      <c r="C17" s="47" t="s">
        <v>771</v>
      </c>
      <c r="D17" s="47" t="s">
        <v>772</v>
      </c>
      <c r="E17" s="47" t="s">
        <v>773</v>
      </c>
      <c r="F17" s="43" t="s">
        <v>780</v>
      </c>
      <c r="G17" s="51" t="s">
        <v>781</v>
      </c>
      <c r="H17" s="43" t="s">
        <v>238</v>
      </c>
      <c r="I17" s="43" t="s">
        <v>782</v>
      </c>
      <c r="J17" s="43">
        <v>1.0</v>
      </c>
      <c r="K17" s="43" t="s">
        <v>8</v>
      </c>
      <c r="L17" s="43" t="s">
        <v>783</v>
      </c>
      <c r="M17" s="43">
        <v>9.493999111E9</v>
      </c>
      <c r="N17" s="43" t="s">
        <v>784</v>
      </c>
      <c r="O17" s="52">
        <v>45483.0</v>
      </c>
      <c r="P17" s="52">
        <v>46387.0</v>
      </c>
      <c r="Q17" s="43" t="s">
        <v>785</v>
      </c>
      <c r="R17" s="43" t="s">
        <v>92</v>
      </c>
      <c r="S17" s="44"/>
      <c r="T17" s="45"/>
      <c r="U17" s="57"/>
      <c r="V17" s="57"/>
      <c r="W17" s="57"/>
      <c r="X17" s="58"/>
      <c r="Y17" s="58"/>
    </row>
    <row r="18">
      <c r="A18" s="43">
        <v>17.0</v>
      </c>
      <c r="B18" s="43">
        <v>49031.0</v>
      </c>
      <c r="C18" s="47" t="s">
        <v>281</v>
      </c>
      <c r="D18" s="47" t="s">
        <v>282</v>
      </c>
      <c r="E18" s="47" t="s">
        <v>786</v>
      </c>
      <c r="F18" s="43" t="s">
        <v>787</v>
      </c>
      <c r="G18" s="51" t="s">
        <v>788</v>
      </c>
      <c r="H18" s="43" t="s">
        <v>238</v>
      </c>
      <c r="I18" s="43" t="s">
        <v>789</v>
      </c>
      <c r="J18" s="43">
        <v>4.0</v>
      </c>
      <c r="K18" s="43" t="s">
        <v>9</v>
      </c>
      <c r="L18" s="43" t="s">
        <v>790</v>
      </c>
      <c r="M18" s="43" t="s">
        <v>791</v>
      </c>
      <c r="N18" s="43" t="s">
        <v>792</v>
      </c>
      <c r="O18" s="52">
        <v>45292.0</v>
      </c>
      <c r="P18" s="52">
        <v>46387.0</v>
      </c>
      <c r="Q18" s="43" t="s">
        <v>793</v>
      </c>
      <c r="R18" s="43" t="s">
        <v>126</v>
      </c>
      <c r="S18" s="44"/>
      <c r="T18" s="45"/>
      <c r="U18" s="57"/>
      <c r="V18" s="57"/>
      <c r="W18" s="57"/>
      <c r="X18" s="58"/>
      <c r="Y18" s="58"/>
    </row>
    <row r="19">
      <c r="A19" s="43">
        <v>18.0</v>
      </c>
      <c r="B19" s="45"/>
      <c r="C19" s="47" t="s">
        <v>392</v>
      </c>
      <c r="D19" s="47" t="s">
        <v>411</v>
      </c>
      <c r="E19" s="47" t="s">
        <v>402</v>
      </c>
      <c r="F19" s="43" t="s">
        <v>794</v>
      </c>
      <c r="G19" s="51" t="s">
        <v>795</v>
      </c>
      <c r="H19" s="43" t="s">
        <v>238</v>
      </c>
      <c r="I19" s="43" t="s">
        <v>796</v>
      </c>
      <c r="J19" s="43">
        <v>2.0</v>
      </c>
      <c r="K19" s="43" t="s">
        <v>8</v>
      </c>
      <c r="L19" s="43" t="s">
        <v>797</v>
      </c>
      <c r="M19" s="43">
        <v>9.17126052E9</v>
      </c>
      <c r="N19" s="43" t="s">
        <v>798</v>
      </c>
      <c r="O19" s="52">
        <v>45609.0</v>
      </c>
      <c r="P19" s="52">
        <v>46387.0</v>
      </c>
      <c r="Q19" s="43" t="s">
        <v>799</v>
      </c>
      <c r="R19" s="43" t="s">
        <v>126</v>
      </c>
      <c r="S19" s="44"/>
      <c r="T19" s="45"/>
      <c r="U19" s="57"/>
      <c r="V19" s="57"/>
      <c r="W19" s="57"/>
      <c r="X19" s="58"/>
      <c r="Y19" s="58"/>
    </row>
    <row r="20">
      <c r="A20" s="43">
        <v>19.0</v>
      </c>
      <c r="B20" s="43">
        <v>51439.0</v>
      </c>
      <c r="C20" s="47" t="s">
        <v>432</v>
      </c>
      <c r="D20" s="47" t="s">
        <v>433</v>
      </c>
      <c r="E20" s="47" t="s">
        <v>460</v>
      </c>
      <c r="F20" s="43" t="s">
        <v>800</v>
      </c>
      <c r="G20" s="51" t="s">
        <v>801</v>
      </c>
      <c r="H20" s="43" t="s">
        <v>238</v>
      </c>
      <c r="I20" s="43" t="s">
        <v>802</v>
      </c>
      <c r="J20" s="43">
        <v>1.0</v>
      </c>
      <c r="K20" s="43" t="s">
        <v>8</v>
      </c>
      <c r="L20" s="43" t="s">
        <v>803</v>
      </c>
      <c r="M20" s="43" t="s">
        <v>804</v>
      </c>
      <c r="N20" s="43" t="s">
        <v>805</v>
      </c>
      <c r="O20" s="52">
        <v>45481.0</v>
      </c>
      <c r="P20" s="52">
        <v>46387.0</v>
      </c>
      <c r="Q20" s="43" t="s">
        <v>806</v>
      </c>
      <c r="R20" s="43" t="s">
        <v>126</v>
      </c>
      <c r="S20" s="44"/>
      <c r="T20" s="45"/>
      <c r="U20" s="57"/>
      <c r="V20" s="57"/>
      <c r="W20" s="57"/>
      <c r="X20" s="58"/>
      <c r="Y20" s="58"/>
    </row>
    <row r="21">
      <c r="A21" s="43">
        <v>20.0</v>
      </c>
      <c r="B21" s="43">
        <v>49033.0</v>
      </c>
      <c r="C21" s="47" t="s">
        <v>475</v>
      </c>
      <c r="D21" s="47" t="s">
        <v>493</v>
      </c>
      <c r="E21" s="47" t="s">
        <v>494</v>
      </c>
      <c r="F21" s="43" t="s">
        <v>807</v>
      </c>
      <c r="G21" s="51" t="s">
        <v>808</v>
      </c>
      <c r="H21" s="43" t="s">
        <v>238</v>
      </c>
      <c r="I21" s="43" t="s">
        <v>809</v>
      </c>
      <c r="J21" s="43">
        <v>1.0</v>
      </c>
      <c r="K21" s="43" t="s">
        <v>8</v>
      </c>
      <c r="L21" s="43" t="s">
        <v>810</v>
      </c>
      <c r="M21" s="43" t="s">
        <v>811</v>
      </c>
      <c r="N21" s="43" t="s">
        <v>812</v>
      </c>
      <c r="O21" s="52">
        <v>45316.0</v>
      </c>
      <c r="P21" s="52">
        <v>46752.0</v>
      </c>
      <c r="Q21" s="43" t="s">
        <v>813</v>
      </c>
      <c r="R21" s="43" t="s">
        <v>126</v>
      </c>
      <c r="S21" s="44"/>
      <c r="T21" s="45"/>
      <c r="U21" s="57"/>
      <c r="V21" s="57"/>
      <c r="W21" s="57"/>
      <c r="X21" s="58"/>
      <c r="Y21" s="58"/>
    </row>
    <row r="22">
      <c r="A22" s="43">
        <v>21.0</v>
      </c>
      <c r="B22" s="43">
        <v>49032.0</v>
      </c>
      <c r="C22" s="47" t="s">
        <v>475</v>
      </c>
      <c r="D22" s="47" t="s">
        <v>493</v>
      </c>
      <c r="E22" s="47" t="s">
        <v>494</v>
      </c>
      <c r="F22" s="43" t="s">
        <v>814</v>
      </c>
      <c r="G22" s="51" t="s">
        <v>815</v>
      </c>
      <c r="H22" s="43" t="s">
        <v>238</v>
      </c>
      <c r="I22" s="43" t="s">
        <v>816</v>
      </c>
      <c r="J22" s="43">
        <v>1.0</v>
      </c>
      <c r="K22" s="43" t="s">
        <v>9</v>
      </c>
      <c r="L22" s="43" t="s">
        <v>817</v>
      </c>
      <c r="M22" s="43" t="s">
        <v>818</v>
      </c>
      <c r="N22" s="43" t="s">
        <v>819</v>
      </c>
      <c r="O22" s="52">
        <v>45777.0</v>
      </c>
      <c r="P22" s="52">
        <v>46752.0</v>
      </c>
      <c r="Q22" s="43" t="s">
        <v>820</v>
      </c>
      <c r="R22" s="43" t="s">
        <v>126</v>
      </c>
      <c r="S22" s="44"/>
      <c r="T22" s="45"/>
      <c r="U22" s="57"/>
      <c r="V22" s="57"/>
      <c r="W22" s="57"/>
      <c r="X22" s="58"/>
      <c r="Y22" s="58"/>
    </row>
    <row r="23">
      <c r="A23" s="43">
        <v>22.0</v>
      </c>
      <c r="B23" s="45"/>
      <c r="C23" s="47" t="s">
        <v>475</v>
      </c>
      <c r="D23" s="47" t="s">
        <v>512</v>
      </c>
      <c r="E23" s="47" t="s">
        <v>821</v>
      </c>
      <c r="F23" s="43" t="s">
        <v>822</v>
      </c>
      <c r="G23" s="51" t="s">
        <v>823</v>
      </c>
      <c r="H23" s="43" t="s">
        <v>238</v>
      </c>
      <c r="I23" s="45"/>
      <c r="J23" s="43">
        <v>1.0</v>
      </c>
      <c r="K23" s="43" t="s">
        <v>8</v>
      </c>
      <c r="L23" s="43" t="s">
        <v>824</v>
      </c>
      <c r="M23" s="43">
        <v>9.381734516E9</v>
      </c>
      <c r="N23" s="43" t="s">
        <v>825</v>
      </c>
      <c r="O23" s="52">
        <v>46023.0</v>
      </c>
      <c r="P23" s="52">
        <v>47118.0</v>
      </c>
      <c r="Q23" s="43" t="s">
        <v>826</v>
      </c>
      <c r="R23" s="43" t="s">
        <v>126</v>
      </c>
      <c r="S23" s="44"/>
      <c r="T23" s="45"/>
      <c r="U23" s="57"/>
      <c r="V23" s="57"/>
      <c r="W23" s="57"/>
      <c r="X23" s="58"/>
      <c r="Y23" s="58"/>
    </row>
    <row r="24">
      <c r="A24" s="43">
        <v>23.0</v>
      </c>
      <c r="B24" s="45"/>
      <c r="C24" s="47" t="s">
        <v>528</v>
      </c>
      <c r="D24" s="47" t="s">
        <v>827</v>
      </c>
      <c r="E24" s="47" t="s">
        <v>828</v>
      </c>
      <c r="F24" s="43" t="s">
        <v>829</v>
      </c>
      <c r="G24" s="51" t="s">
        <v>830</v>
      </c>
      <c r="H24" s="43" t="s">
        <v>238</v>
      </c>
      <c r="I24" s="43" t="s">
        <v>831</v>
      </c>
      <c r="J24" s="43">
        <v>1.0</v>
      </c>
      <c r="K24" s="43" t="s">
        <v>8</v>
      </c>
      <c r="L24" s="43" t="s">
        <v>832</v>
      </c>
      <c r="M24" s="45"/>
      <c r="N24" s="45"/>
      <c r="O24" s="52">
        <v>45483.0</v>
      </c>
      <c r="P24" s="52">
        <v>46752.0</v>
      </c>
      <c r="Q24" s="43" t="s">
        <v>833</v>
      </c>
      <c r="R24" s="43" t="s">
        <v>126</v>
      </c>
      <c r="S24" s="44"/>
      <c r="T24" s="45"/>
      <c r="U24" s="57"/>
      <c r="V24" s="57"/>
      <c r="W24" s="57"/>
      <c r="X24" s="58"/>
      <c r="Y24" s="58"/>
    </row>
    <row r="25">
      <c r="A25" s="43">
        <v>24.0</v>
      </c>
      <c r="B25" s="45"/>
      <c r="C25" s="47" t="s">
        <v>12</v>
      </c>
      <c r="D25" s="47" t="s">
        <v>580</v>
      </c>
      <c r="E25" s="47" t="s">
        <v>581</v>
      </c>
      <c r="F25" s="43" t="s">
        <v>834</v>
      </c>
      <c r="G25" s="51" t="s">
        <v>835</v>
      </c>
      <c r="H25" s="43" t="s">
        <v>238</v>
      </c>
      <c r="I25" s="43" t="s">
        <v>836</v>
      </c>
      <c r="J25" s="43">
        <v>1.0</v>
      </c>
      <c r="K25" s="43" t="s">
        <v>9</v>
      </c>
      <c r="L25" s="43" t="s">
        <v>837</v>
      </c>
      <c r="M25" s="43" t="s">
        <v>838</v>
      </c>
      <c r="N25" s="43" t="s">
        <v>839</v>
      </c>
      <c r="O25" s="52">
        <v>45916.0</v>
      </c>
      <c r="P25" s="52">
        <v>46752.0</v>
      </c>
      <c r="Q25" s="43" t="s">
        <v>840</v>
      </c>
      <c r="R25" s="43" t="s">
        <v>60</v>
      </c>
      <c r="S25" s="47" t="s">
        <v>101</v>
      </c>
      <c r="T25" s="45"/>
      <c r="U25" s="59"/>
      <c r="V25" s="57"/>
      <c r="W25" s="57"/>
      <c r="X25" s="58"/>
      <c r="Y25" s="58"/>
    </row>
    <row r="26">
      <c r="A26" s="43">
        <v>25.0</v>
      </c>
      <c r="B26" s="43">
        <v>49042.0</v>
      </c>
      <c r="C26" s="47" t="s">
        <v>12</v>
      </c>
      <c r="D26" s="47" t="s">
        <v>580</v>
      </c>
      <c r="E26" s="47" t="s">
        <v>581</v>
      </c>
      <c r="F26" s="43" t="s">
        <v>841</v>
      </c>
      <c r="G26" s="51" t="s">
        <v>842</v>
      </c>
      <c r="H26" s="43" t="s">
        <v>238</v>
      </c>
      <c r="I26" s="43" t="s">
        <v>842</v>
      </c>
      <c r="J26" s="43">
        <v>2.0</v>
      </c>
      <c r="K26" s="43" t="s">
        <v>9</v>
      </c>
      <c r="L26" s="43" t="s">
        <v>843</v>
      </c>
      <c r="M26" s="43" t="s">
        <v>844</v>
      </c>
      <c r="N26" s="43" t="s">
        <v>845</v>
      </c>
      <c r="O26" s="52">
        <v>45292.0</v>
      </c>
      <c r="P26" s="52">
        <v>46387.0</v>
      </c>
      <c r="Q26" s="43" t="s">
        <v>846</v>
      </c>
      <c r="R26" s="43" t="s">
        <v>92</v>
      </c>
      <c r="S26" s="47"/>
      <c r="T26" s="45"/>
      <c r="U26" s="59" t="s">
        <v>61</v>
      </c>
      <c r="V26" s="57"/>
      <c r="W26" s="57"/>
      <c r="X26" s="58"/>
      <c r="Y26" s="58"/>
    </row>
    <row r="27">
      <c r="A27" s="43">
        <v>26.0</v>
      </c>
      <c r="B27" s="45"/>
      <c r="C27" s="47" t="s">
        <v>12</v>
      </c>
      <c r="D27" s="47" t="s">
        <v>580</v>
      </c>
      <c r="E27" s="47" t="s">
        <v>581</v>
      </c>
      <c r="F27" s="43" t="s">
        <v>847</v>
      </c>
      <c r="G27" s="51" t="s">
        <v>848</v>
      </c>
      <c r="H27" s="43" t="s">
        <v>238</v>
      </c>
      <c r="I27" s="43" t="s">
        <v>849</v>
      </c>
      <c r="J27" s="43">
        <v>1.0</v>
      </c>
      <c r="K27" s="43" t="s">
        <v>8</v>
      </c>
      <c r="L27" s="43" t="s">
        <v>850</v>
      </c>
      <c r="M27" s="43" t="s">
        <v>851</v>
      </c>
      <c r="N27" s="43" t="s">
        <v>852</v>
      </c>
      <c r="O27" s="52">
        <v>46023.0</v>
      </c>
      <c r="P27" s="52">
        <v>47118.0</v>
      </c>
      <c r="Q27" s="43" t="s">
        <v>853</v>
      </c>
      <c r="R27" s="43" t="s">
        <v>92</v>
      </c>
      <c r="S27" s="47"/>
      <c r="T27" s="45"/>
      <c r="U27" s="59" t="s">
        <v>61</v>
      </c>
      <c r="V27" s="57"/>
      <c r="W27" s="57"/>
      <c r="X27" s="58"/>
      <c r="Y27" s="58"/>
    </row>
    <row r="28">
      <c r="A28" s="43">
        <v>27.0</v>
      </c>
      <c r="B28" s="45"/>
      <c r="C28" s="47" t="s">
        <v>12</v>
      </c>
      <c r="D28" s="47" t="s">
        <v>580</v>
      </c>
      <c r="E28" s="47" t="s">
        <v>854</v>
      </c>
      <c r="F28" s="43" t="s">
        <v>855</v>
      </c>
      <c r="G28" s="51" t="s">
        <v>856</v>
      </c>
      <c r="H28" s="43" t="s">
        <v>238</v>
      </c>
      <c r="I28" s="43" t="s">
        <v>856</v>
      </c>
      <c r="J28" s="43">
        <v>1.0</v>
      </c>
      <c r="K28" s="43" t="s">
        <v>9</v>
      </c>
      <c r="L28" s="43" t="s">
        <v>857</v>
      </c>
      <c r="M28" s="43" t="s">
        <v>858</v>
      </c>
      <c r="N28" s="43" t="s">
        <v>859</v>
      </c>
      <c r="O28" s="52">
        <v>46023.0</v>
      </c>
      <c r="P28" s="52">
        <v>47118.0</v>
      </c>
      <c r="Q28" s="43" t="s">
        <v>860</v>
      </c>
      <c r="R28" s="43" t="s">
        <v>126</v>
      </c>
      <c r="S28" s="47"/>
      <c r="T28" s="45"/>
      <c r="U28" s="59" t="s">
        <v>61</v>
      </c>
      <c r="V28" s="57"/>
      <c r="W28" s="57"/>
      <c r="X28" s="58"/>
      <c r="Y28" s="58"/>
    </row>
    <row r="29">
      <c r="A29" s="43">
        <v>28.0</v>
      </c>
      <c r="B29" s="43" t="s">
        <v>861</v>
      </c>
      <c r="C29" s="47" t="s">
        <v>12</v>
      </c>
      <c r="D29" s="47" t="s">
        <v>580</v>
      </c>
      <c r="E29" s="47" t="s">
        <v>854</v>
      </c>
      <c r="F29" s="43" t="s">
        <v>862</v>
      </c>
      <c r="G29" s="51" t="s">
        <v>863</v>
      </c>
      <c r="H29" s="43" t="s">
        <v>238</v>
      </c>
      <c r="I29" s="43" t="s">
        <v>864</v>
      </c>
      <c r="J29" s="43">
        <v>2.0</v>
      </c>
      <c r="K29" s="43" t="s">
        <v>8</v>
      </c>
      <c r="L29" s="43" t="s">
        <v>865</v>
      </c>
      <c r="M29" s="43">
        <v>9.994224601E9</v>
      </c>
      <c r="N29" s="43" t="s">
        <v>866</v>
      </c>
      <c r="O29" s="52">
        <v>46023.0</v>
      </c>
      <c r="P29" s="52">
        <v>47118.0</v>
      </c>
      <c r="Q29" s="43" t="s">
        <v>867</v>
      </c>
      <c r="R29" s="43" t="s">
        <v>92</v>
      </c>
      <c r="S29" s="47"/>
      <c r="T29" s="45"/>
      <c r="U29" s="59" t="s">
        <v>61</v>
      </c>
      <c r="V29" s="57"/>
      <c r="W29" s="57"/>
      <c r="X29" s="58"/>
      <c r="Y29" s="58"/>
    </row>
    <row r="30">
      <c r="A30" s="43">
        <v>29.0</v>
      </c>
      <c r="B30" s="45"/>
      <c r="C30" s="47" t="s">
        <v>12</v>
      </c>
      <c r="D30" s="47" t="s">
        <v>580</v>
      </c>
      <c r="E30" s="47" t="s">
        <v>854</v>
      </c>
      <c r="F30" s="43" t="s">
        <v>868</v>
      </c>
      <c r="G30" s="51" t="s">
        <v>869</v>
      </c>
      <c r="H30" s="43" t="s">
        <v>238</v>
      </c>
      <c r="I30" s="43" t="s">
        <v>870</v>
      </c>
      <c r="J30" s="43">
        <v>1.0</v>
      </c>
      <c r="K30" s="43" t="s">
        <v>9</v>
      </c>
      <c r="L30" s="43" t="s">
        <v>871</v>
      </c>
      <c r="M30" s="43">
        <v>9.175115386E9</v>
      </c>
      <c r="N30" s="43" t="s">
        <v>872</v>
      </c>
      <c r="O30" s="52">
        <v>46023.0</v>
      </c>
      <c r="P30" s="52">
        <v>47118.0</v>
      </c>
      <c r="Q30" s="43" t="s">
        <v>873</v>
      </c>
      <c r="R30" s="43" t="s">
        <v>126</v>
      </c>
      <c r="S30" s="47"/>
      <c r="T30" s="45"/>
      <c r="U30" s="59" t="s">
        <v>61</v>
      </c>
      <c r="V30" s="57"/>
      <c r="W30" s="57"/>
      <c r="X30" s="58"/>
      <c r="Y30" s="58"/>
    </row>
    <row r="31">
      <c r="A31" s="43">
        <v>30.0</v>
      </c>
      <c r="B31" s="43">
        <v>49028.0</v>
      </c>
      <c r="C31" s="47" t="s">
        <v>12</v>
      </c>
      <c r="D31" s="47" t="s">
        <v>580</v>
      </c>
      <c r="E31" s="47" t="s">
        <v>854</v>
      </c>
      <c r="F31" s="43" t="s">
        <v>874</v>
      </c>
      <c r="G31" s="51" t="s">
        <v>875</v>
      </c>
      <c r="H31" s="43" t="s">
        <v>238</v>
      </c>
      <c r="I31" s="43" t="s">
        <v>735</v>
      </c>
      <c r="J31" s="43">
        <v>5.0</v>
      </c>
      <c r="K31" s="43" t="s">
        <v>8</v>
      </c>
      <c r="L31" s="43" t="s">
        <v>876</v>
      </c>
      <c r="M31" s="43">
        <v>9.178068518E9</v>
      </c>
      <c r="N31" s="43" t="s">
        <v>877</v>
      </c>
      <c r="O31" s="52">
        <v>45664.0</v>
      </c>
      <c r="P31" s="52">
        <v>46387.0</v>
      </c>
      <c r="Q31" s="43" t="s">
        <v>878</v>
      </c>
      <c r="R31" s="43" t="s">
        <v>613</v>
      </c>
      <c r="S31" s="44"/>
      <c r="T31" s="45"/>
      <c r="U31" s="57"/>
      <c r="V31" s="57"/>
      <c r="W31" s="57"/>
      <c r="X31" s="58"/>
      <c r="Y31" s="58"/>
    </row>
    <row r="32">
      <c r="A32" s="43">
        <v>31.0</v>
      </c>
      <c r="B32" s="43">
        <v>49039.0</v>
      </c>
      <c r="C32" s="47" t="s">
        <v>12</v>
      </c>
      <c r="D32" s="47" t="s">
        <v>580</v>
      </c>
      <c r="E32" s="47" t="s">
        <v>879</v>
      </c>
      <c r="F32" s="43" t="s">
        <v>880</v>
      </c>
      <c r="G32" s="51" t="s">
        <v>881</v>
      </c>
      <c r="H32" s="43" t="s">
        <v>238</v>
      </c>
      <c r="I32" s="43" t="s">
        <v>882</v>
      </c>
      <c r="J32" s="43">
        <v>1.0</v>
      </c>
      <c r="K32" s="43" t="s">
        <v>9</v>
      </c>
      <c r="L32" s="43" t="s">
        <v>883</v>
      </c>
      <c r="M32" s="43" t="s">
        <v>884</v>
      </c>
      <c r="N32" s="43" t="s">
        <v>885</v>
      </c>
      <c r="O32" s="52">
        <v>45292.0</v>
      </c>
      <c r="P32" s="52">
        <v>46387.0</v>
      </c>
      <c r="Q32" s="43" t="s">
        <v>886</v>
      </c>
      <c r="R32" s="43" t="s">
        <v>92</v>
      </c>
      <c r="S32" s="44"/>
      <c r="T32" s="45"/>
      <c r="U32" s="59" t="s">
        <v>61</v>
      </c>
      <c r="V32" s="57"/>
      <c r="W32" s="57"/>
      <c r="X32" s="58"/>
      <c r="Y32" s="58"/>
    </row>
    <row r="33">
      <c r="A33" s="43">
        <v>32.0</v>
      </c>
      <c r="B33" s="43" t="s">
        <v>887</v>
      </c>
      <c r="C33" s="47" t="s">
        <v>12</v>
      </c>
      <c r="D33" s="47" t="s">
        <v>580</v>
      </c>
      <c r="E33" s="47" t="s">
        <v>879</v>
      </c>
      <c r="F33" s="43" t="s">
        <v>888</v>
      </c>
      <c r="G33" s="51" t="s">
        <v>889</v>
      </c>
      <c r="H33" s="43" t="s">
        <v>238</v>
      </c>
      <c r="I33" s="43" t="s">
        <v>890</v>
      </c>
      <c r="J33" s="43">
        <v>1.0</v>
      </c>
      <c r="K33" s="43" t="s">
        <v>9</v>
      </c>
      <c r="L33" s="43" t="s">
        <v>891</v>
      </c>
      <c r="M33" s="43" t="s">
        <v>892</v>
      </c>
      <c r="N33" s="43" t="s">
        <v>893</v>
      </c>
      <c r="O33" s="52">
        <v>46023.0</v>
      </c>
      <c r="P33" s="52">
        <v>47118.0</v>
      </c>
      <c r="Q33" s="43" t="s">
        <v>894</v>
      </c>
      <c r="R33" s="43" t="s">
        <v>60</v>
      </c>
      <c r="S33" s="44"/>
      <c r="T33" s="45"/>
      <c r="U33" s="59" t="s">
        <v>61</v>
      </c>
      <c r="V33" s="57"/>
      <c r="W33" s="57"/>
      <c r="X33" s="58"/>
      <c r="Y33" s="58"/>
    </row>
    <row r="34">
      <c r="A34" s="43">
        <v>33.0</v>
      </c>
      <c r="B34" s="45"/>
      <c r="C34" s="47" t="s">
        <v>12</v>
      </c>
      <c r="D34" s="47" t="s">
        <v>580</v>
      </c>
      <c r="E34" s="47" t="s">
        <v>879</v>
      </c>
      <c r="F34" s="43" t="s">
        <v>895</v>
      </c>
      <c r="G34" s="51" t="s">
        <v>896</v>
      </c>
      <c r="H34" s="43" t="s">
        <v>238</v>
      </c>
      <c r="I34" s="43" t="s">
        <v>897</v>
      </c>
      <c r="J34" s="43">
        <v>1.0</v>
      </c>
      <c r="K34" s="43" t="s">
        <v>9</v>
      </c>
      <c r="L34" s="43" t="s">
        <v>898</v>
      </c>
      <c r="M34" s="43" t="s">
        <v>899</v>
      </c>
      <c r="N34" s="43" t="s">
        <v>900</v>
      </c>
      <c r="O34" s="52">
        <v>45855.0</v>
      </c>
      <c r="P34" s="52">
        <v>46752.0</v>
      </c>
      <c r="Q34" s="43" t="s">
        <v>901</v>
      </c>
      <c r="R34" s="43" t="s">
        <v>126</v>
      </c>
      <c r="S34" s="47" t="s">
        <v>101</v>
      </c>
      <c r="T34" s="45"/>
      <c r="U34" s="57"/>
      <c r="V34" s="57"/>
      <c r="W34" s="57"/>
      <c r="X34" s="58"/>
      <c r="Y34" s="58"/>
    </row>
    <row r="35">
      <c r="A35" s="43">
        <v>34.0</v>
      </c>
      <c r="B35" s="43">
        <v>49041.0</v>
      </c>
      <c r="C35" s="47" t="s">
        <v>12</v>
      </c>
      <c r="D35" s="47" t="s">
        <v>580</v>
      </c>
      <c r="E35" s="47" t="s">
        <v>879</v>
      </c>
      <c r="F35" s="43" t="s">
        <v>902</v>
      </c>
      <c r="G35" s="51" t="s">
        <v>903</v>
      </c>
      <c r="H35" s="43" t="s">
        <v>238</v>
      </c>
      <c r="I35" s="43" t="s">
        <v>904</v>
      </c>
      <c r="J35" s="43">
        <v>1.0</v>
      </c>
      <c r="K35" s="43" t="s">
        <v>8</v>
      </c>
      <c r="L35" s="43" t="s">
        <v>905</v>
      </c>
      <c r="M35" s="43" t="s">
        <v>906</v>
      </c>
      <c r="N35" s="43" t="s">
        <v>907</v>
      </c>
      <c r="O35" s="52">
        <v>45292.0</v>
      </c>
      <c r="P35" s="52">
        <v>46387.0</v>
      </c>
      <c r="Q35" s="43" t="s">
        <v>908</v>
      </c>
      <c r="R35" s="43" t="s">
        <v>126</v>
      </c>
      <c r="S35" s="47" t="s">
        <v>101</v>
      </c>
      <c r="T35" s="45"/>
      <c r="U35" s="57"/>
      <c r="V35" s="57"/>
      <c r="W35" s="57"/>
      <c r="X35" s="58"/>
      <c r="Y35" s="58"/>
    </row>
    <row r="36">
      <c r="A36" s="43">
        <v>35.0</v>
      </c>
      <c r="B36" s="45"/>
      <c r="C36" s="47" t="s">
        <v>12</v>
      </c>
      <c r="D36" s="47" t="s">
        <v>580</v>
      </c>
      <c r="E36" s="47" t="s">
        <v>879</v>
      </c>
      <c r="F36" s="43" t="s">
        <v>909</v>
      </c>
      <c r="G36" s="51" t="s">
        <v>910</v>
      </c>
      <c r="H36" s="43" t="s">
        <v>238</v>
      </c>
      <c r="I36" s="43" t="s">
        <v>911</v>
      </c>
      <c r="J36" s="43">
        <v>1.0</v>
      </c>
      <c r="K36" s="43" t="s">
        <v>9</v>
      </c>
      <c r="L36" s="43" t="s">
        <v>912</v>
      </c>
      <c r="M36" s="43" t="s">
        <v>913</v>
      </c>
      <c r="N36" s="43" t="s">
        <v>914</v>
      </c>
      <c r="O36" s="52">
        <v>46038.0</v>
      </c>
      <c r="P36" s="52">
        <v>47118.0</v>
      </c>
      <c r="Q36" s="43" t="s">
        <v>915</v>
      </c>
      <c r="R36" s="43" t="s">
        <v>60</v>
      </c>
      <c r="S36" s="44"/>
      <c r="T36" s="45"/>
      <c r="U36" s="59" t="s">
        <v>61</v>
      </c>
      <c r="V36" s="57"/>
      <c r="W36" s="57"/>
      <c r="X36" s="58"/>
      <c r="Y36" s="58"/>
    </row>
    <row r="37">
      <c r="A37" s="43">
        <v>36.0</v>
      </c>
      <c r="B37" s="45"/>
      <c r="C37" s="47" t="s">
        <v>12</v>
      </c>
      <c r="D37" s="47" t="s">
        <v>580</v>
      </c>
      <c r="E37" s="47" t="s">
        <v>879</v>
      </c>
      <c r="F37" s="43" t="s">
        <v>916</v>
      </c>
      <c r="G37" s="51" t="s">
        <v>917</v>
      </c>
      <c r="H37" s="43" t="s">
        <v>238</v>
      </c>
      <c r="I37" s="43" t="s">
        <v>917</v>
      </c>
      <c r="J37" s="43">
        <v>1.0</v>
      </c>
      <c r="K37" s="43" t="s">
        <v>8</v>
      </c>
      <c r="L37" s="43" t="s">
        <v>918</v>
      </c>
      <c r="M37" s="43" t="s">
        <v>919</v>
      </c>
      <c r="N37" s="43" t="s">
        <v>920</v>
      </c>
      <c r="O37" s="52">
        <v>45775.0</v>
      </c>
      <c r="P37" s="52">
        <v>46752.0</v>
      </c>
      <c r="Q37" s="43" t="s">
        <v>921</v>
      </c>
      <c r="R37" s="43" t="s">
        <v>60</v>
      </c>
      <c r="S37" s="44"/>
      <c r="T37" s="45"/>
      <c r="U37" s="57"/>
      <c r="V37" s="59">
        <v>50.0</v>
      </c>
      <c r="W37" s="59">
        <v>61.0</v>
      </c>
      <c r="X37" s="58"/>
      <c r="Y37" s="58"/>
    </row>
    <row r="38">
      <c r="A38" s="43">
        <v>37.0</v>
      </c>
      <c r="B38" s="43">
        <v>49047.0</v>
      </c>
      <c r="C38" s="47" t="s">
        <v>12</v>
      </c>
      <c r="D38" s="47" t="s">
        <v>580</v>
      </c>
      <c r="E38" s="47" t="s">
        <v>879</v>
      </c>
      <c r="F38" s="43" t="s">
        <v>922</v>
      </c>
      <c r="G38" s="51" t="s">
        <v>923</v>
      </c>
      <c r="H38" s="43" t="s">
        <v>238</v>
      </c>
      <c r="I38" s="43" t="s">
        <v>923</v>
      </c>
      <c r="J38" s="43">
        <v>2.0</v>
      </c>
      <c r="K38" s="43" t="s">
        <v>9</v>
      </c>
      <c r="L38" s="43" t="s">
        <v>924</v>
      </c>
      <c r="M38" s="43" t="s">
        <v>925</v>
      </c>
      <c r="N38" s="43" t="s">
        <v>926</v>
      </c>
      <c r="O38" s="52">
        <v>45292.0</v>
      </c>
      <c r="P38" s="52">
        <v>46387.0</v>
      </c>
      <c r="Q38" s="43" t="s">
        <v>927</v>
      </c>
      <c r="R38" s="43" t="s">
        <v>126</v>
      </c>
      <c r="S38" s="44"/>
      <c r="T38" s="45"/>
      <c r="U38" s="59" t="s">
        <v>61</v>
      </c>
      <c r="V38" s="57"/>
      <c r="W38" s="57"/>
      <c r="X38" s="58"/>
      <c r="Y38" s="58"/>
    </row>
    <row r="39">
      <c r="A39" s="43">
        <v>38.0</v>
      </c>
      <c r="B39" s="43">
        <v>49040.0</v>
      </c>
      <c r="C39" s="47" t="s">
        <v>12</v>
      </c>
      <c r="D39" s="47" t="s">
        <v>580</v>
      </c>
      <c r="E39" s="47" t="s">
        <v>928</v>
      </c>
      <c r="F39" s="43" t="s">
        <v>929</v>
      </c>
      <c r="G39" s="51" t="s">
        <v>930</v>
      </c>
      <c r="H39" s="43" t="s">
        <v>238</v>
      </c>
      <c r="I39" s="43" t="s">
        <v>930</v>
      </c>
      <c r="J39" s="43">
        <v>6.0</v>
      </c>
      <c r="K39" s="43" t="s">
        <v>9</v>
      </c>
      <c r="L39" s="43" t="s">
        <v>931</v>
      </c>
      <c r="M39" s="43" t="s">
        <v>932</v>
      </c>
      <c r="N39" s="43" t="s">
        <v>933</v>
      </c>
      <c r="O39" s="52">
        <v>45292.0</v>
      </c>
      <c r="P39" s="52">
        <v>46387.0</v>
      </c>
      <c r="Q39" s="43" t="s">
        <v>934</v>
      </c>
      <c r="R39" s="43" t="s">
        <v>92</v>
      </c>
      <c r="S39" s="47" t="s">
        <v>101</v>
      </c>
      <c r="T39" s="45"/>
      <c r="U39" s="57"/>
      <c r="V39" s="57"/>
      <c r="W39" s="57"/>
      <c r="X39" s="58"/>
      <c r="Y39" s="58"/>
    </row>
    <row r="40">
      <c r="A40" s="43">
        <v>39.0</v>
      </c>
      <c r="B40" s="45"/>
      <c r="C40" s="47" t="s">
        <v>12</v>
      </c>
      <c r="D40" s="47" t="s">
        <v>580</v>
      </c>
      <c r="E40" s="47" t="s">
        <v>935</v>
      </c>
      <c r="F40" s="43" t="s">
        <v>936</v>
      </c>
      <c r="G40" s="51" t="s">
        <v>937</v>
      </c>
      <c r="H40" s="43" t="s">
        <v>238</v>
      </c>
      <c r="I40" s="43" t="s">
        <v>937</v>
      </c>
      <c r="J40" s="43">
        <v>1.0</v>
      </c>
      <c r="K40" s="43" t="s">
        <v>8</v>
      </c>
      <c r="L40" s="43" t="s">
        <v>938</v>
      </c>
      <c r="M40" s="43" t="s">
        <v>939</v>
      </c>
      <c r="N40" s="43" t="s">
        <v>940</v>
      </c>
      <c r="O40" s="52">
        <v>45783.0</v>
      </c>
      <c r="P40" s="52">
        <v>46752.0</v>
      </c>
      <c r="Q40" s="43" t="s">
        <v>941</v>
      </c>
      <c r="R40" s="43" t="s">
        <v>126</v>
      </c>
      <c r="S40" s="47" t="s">
        <v>101</v>
      </c>
      <c r="T40" s="45"/>
      <c r="U40" s="57"/>
      <c r="V40" s="57"/>
      <c r="W40" s="57"/>
      <c r="X40" s="58"/>
      <c r="Y40" s="58"/>
    </row>
    <row r="41">
      <c r="A41" s="43">
        <v>40.0</v>
      </c>
      <c r="B41" s="45"/>
      <c r="C41" s="47" t="s">
        <v>12</v>
      </c>
      <c r="D41" s="47" t="s">
        <v>580</v>
      </c>
      <c r="E41" s="47" t="s">
        <v>597</v>
      </c>
      <c r="F41" s="43" t="s">
        <v>942</v>
      </c>
      <c r="G41" s="51" t="s">
        <v>943</v>
      </c>
      <c r="H41" s="43" t="s">
        <v>238</v>
      </c>
      <c r="I41" s="43" t="s">
        <v>943</v>
      </c>
      <c r="J41" s="43">
        <v>2.0</v>
      </c>
      <c r="K41" s="43" t="s">
        <v>9</v>
      </c>
      <c r="L41" s="43" t="s">
        <v>944</v>
      </c>
      <c r="M41" s="43" t="s">
        <v>945</v>
      </c>
      <c r="N41" s="43" t="s">
        <v>946</v>
      </c>
      <c r="O41" s="52">
        <v>45636.0</v>
      </c>
      <c r="P41" s="52">
        <v>46387.0</v>
      </c>
      <c r="Q41" s="43" t="s">
        <v>947</v>
      </c>
      <c r="R41" s="43" t="s">
        <v>92</v>
      </c>
      <c r="S41" s="47" t="s">
        <v>101</v>
      </c>
      <c r="T41" s="45"/>
      <c r="U41" s="57"/>
      <c r="V41" s="57"/>
      <c r="W41" s="57"/>
      <c r="X41" s="58"/>
      <c r="Y41" s="58"/>
    </row>
    <row r="42">
      <c r="A42" s="43">
        <v>41.0</v>
      </c>
      <c r="B42" s="45"/>
      <c r="C42" s="47" t="s">
        <v>12</v>
      </c>
      <c r="D42" s="47" t="s">
        <v>580</v>
      </c>
      <c r="E42" s="47" t="s">
        <v>597</v>
      </c>
      <c r="F42" s="43" t="s">
        <v>948</v>
      </c>
      <c r="G42" s="51" t="s">
        <v>949</v>
      </c>
      <c r="H42" s="43" t="s">
        <v>238</v>
      </c>
      <c r="I42" s="43" t="s">
        <v>950</v>
      </c>
      <c r="J42" s="43">
        <v>16.0</v>
      </c>
      <c r="K42" s="43" t="s">
        <v>9</v>
      </c>
      <c r="L42" s="43" t="s">
        <v>951</v>
      </c>
      <c r="M42" s="43" t="s">
        <v>952</v>
      </c>
      <c r="N42" s="43" t="s">
        <v>953</v>
      </c>
      <c r="O42" s="52">
        <v>46023.0</v>
      </c>
      <c r="P42" s="52">
        <v>47118.0</v>
      </c>
      <c r="Q42" s="43" t="s">
        <v>954</v>
      </c>
      <c r="R42" s="43" t="s">
        <v>126</v>
      </c>
      <c r="S42" s="44"/>
      <c r="T42" s="45"/>
      <c r="U42" s="57"/>
      <c r="V42" s="57"/>
      <c r="W42" s="57"/>
      <c r="X42" s="58"/>
      <c r="Y42" s="58"/>
    </row>
    <row r="43">
      <c r="A43" s="43">
        <v>42.0</v>
      </c>
      <c r="B43" s="43">
        <v>49044.0</v>
      </c>
      <c r="C43" s="47" t="s">
        <v>12</v>
      </c>
      <c r="D43" s="47" t="s">
        <v>580</v>
      </c>
      <c r="E43" s="47" t="s">
        <v>955</v>
      </c>
      <c r="F43" s="43" t="s">
        <v>956</v>
      </c>
      <c r="G43" s="51" t="s">
        <v>957</v>
      </c>
      <c r="H43" s="43" t="s">
        <v>238</v>
      </c>
      <c r="I43" s="43" t="s">
        <v>958</v>
      </c>
      <c r="J43" s="43">
        <v>2.0</v>
      </c>
      <c r="K43" s="43" t="s">
        <v>8</v>
      </c>
      <c r="L43" s="43" t="s">
        <v>959</v>
      </c>
      <c r="M43" s="43" t="s">
        <v>960</v>
      </c>
      <c r="N43" s="43" t="s">
        <v>961</v>
      </c>
      <c r="O43" s="52">
        <v>45658.0</v>
      </c>
      <c r="P43" s="52">
        <v>46752.0</v>
      </c>
      <c r="Q43" s="43" t="s">
        <v>962</v>
      </c>
      <c r="R43" s="43" t="s">
        <v>92</v>
      </c>
      <c r="S43" s="44"/>
      <c r="T43" s="45"/>
      <c r="U43" s="57"/>
      <c r="V43" s="57"/>
      <c r="W43" s="57"/>
      <c r="X43" s="58"/>
      <c r="Y43" s="58"/>
    </row>
    <row r="44">
      <c r="A44" s="43">
        <v>43.0</v>
      </c>
      <c r="B44" s="43">
        <v>49037.0</v>
      </c>
      <c r="C44" s="47" t="s">
        <v>12</v>
      </c>
      <c r="D44" s="47" t="s">
        <v>580</v>
      </c>
      <c r="E44" s="47" t="s">
        <v>963</v>
      </c>
      <c r="F44" s="43" t="s">
        <v>964</v>
      </c>
      <c r="G44" s="51" t="s">
        <v>965</v>
      </c>
      <c r="H44" s="43" t="s">
        <v>238</v>
      </c>
      <c r="I44" s="43" t="s">
        <v>966</v>
      </c>
      <c r="J44" s="43">
        <v>1.0</v>
      </c>
      <c r="K44" s="43" t="s">
        <v>8</v>
      </c>
      <c r="L44" s="43" t="s">
        <v>967</v>
      </c>
      <c r="M44" s="43" t="s">
        <v>968</v>
      </c>
      <c r="N44" s="43" t="s">
        <v>969</v>
      </c>
      <c r="O44" s="52">
        <v>45658.0</v>
      </c>
      <c r="P44" s="52">
        <v>46752.0</v>
      </c>
      <c r="Q44" s="43" t="s">
        <v>970</v>
      </c>
      <c r="R44" s="43" t="s">
        <v>92</v>
      </c>
      <c r="S44" s="44"/>
      <c r="T44" s="45"/>
      <c r="U44" s="57"/>
      <c r="V44" s="57"/>
      <c r="W44" s="57"/>
      <c r="X44" s="58"/>
      <c r="Y44" s="58"/>
    </row>
    <row r="45">
      <c r="A45" s="43">
        <v>44.0</v>
      </c>
      <c r="B45" s="43">
        <v>49043.0</v>
      </c>
      <c r="C45" s="47" t="s">
        <v>12</v>
      </c>
      <c r="D45" s="47" t="s">
        <v>580</v>
      </c>
      <c r="E45" s="47" t="s">
        <v>963</v>
      </c>
      <c r="F45" s="43" t="s">
        <v>971</v>
      </c>
      <c r="G45" s="51" t="s">
        <v>972</v>
      </c>
      <c r="H45" s="43" t="s">
        <v>238</v>
      </c>
      <c r="I45" s="43" t="s">
        <v>973</v>
      </c>
      <c r="J45" s="43">
        <v>1.0</v>
      </c>
      <c r="K45" s="43" t="s">
        <v>8</v>
      </c>
      <c r="L45" s="43" t="s">
        <v>974</v>
      </c>
      <c r="M45" s="43" t="s">
        <v>975</v>
      </c>
      <c r="N45" s="43" t="s">
        <v>976</v>
      </c>
      <c r="O45" s="52">
        <v>45692.0</v>
      </c>
      <c r="P45" s="52">
        <v>46752.0</v>
      </c>
      <c r="Q45" s="43" t="s">
        <v>977</v>
      </c>
      <c r="R45" s="43" t="s">
        <v>92</v>
      </c>
      <c r="S45" s="44"/>
      <c r="T45" s="45"/>
      <c r="U45" s="57"/>
      <c r="V45" s="57"/>
      <c r="W45" s="57"/>
      <c r="X45" s="58"/>
      <c r="Y45" s="58"/>
    </row>
    <row r="46">
      <c r="A46" s="43">
        <v>45.0</v>
      </c>
      <c r="B46" s="43" t="s">
        <v>978</v>
      </c>
      <c r="C46" s="47" t="s">
        <v>12</v>
      </c>
      <c r="D46" s="47" t="s">
        <v>580</v>
      </c>
      <c r="E46" s="47" t="s">
        <v>963</v>
      </c>
      <c r="F46" s="43" t="s">
        <v>979</v>
      </c>
      <c r="G46" s="51" t="s">
        <v>980</v>
      </c>
      <c r="H46" s="43" t="s">
        <v>238</v>
      </c>
      <c r="I46" s="43" t="s">
        <v>981</v>
      </c>
      <c r="J46" s="43">
        <v>1.0</v>
      </c>
      <c r="K46" s="43" t="s">
        <v>8</v>
      </c>
      <c r="L46" s="43" t="s">
        <v>982</v>
      </c>
      <c r="M46" s="43" t="s">
        <v>983</v>
      </c>
      <c r="N46" s="43" t="s">
        <v>984</v>
      </c>
      <c r="O46" s="52">
        <v>46023.0</v>
      </c>
      <c r="P46" s="52">
        <v>47118.0</v>
      </c>
      <c r="Q46" s="43" t="s">
        <v>985</v>
      </c>
      <c r="R46" s="43" t="s">
        <v>92</v>
      </c>
      <c r="S46" s="44"/>
      <c r="T46" s="45"/>
      <c r="U46" s="57"/>
      <c r="V46" s="57"/>
      <c r="W46" s="57"/>
      <c r="X46" s="58"/>
      <c r="Y46" s="58"/>
    </row>
    <row r="47">
      <c r="A47" s="43">
        <v>46.0</v>
      </c>
      <c r="B47" s="45"/>
      <c r="C47" s="47" t="s">
        <v>12</v>
      </c>
      <c r="D47" s="47" t="s">
        <v>580</v>
      </c>
      <c r="E47" s="47" t="s">
        <v>963</v>
      </c>
      <c r="F47" s="43" t="s">
        <v>986</v>
      </c>
      <c r="G47" s="51" t="s">
        <v>987</v>
      </c>
      <c r="H47" s="43" t="s">
        <v>238</v>
      </c>
      <c r="I47" s="43" t="s">
        <v>988</v>
      </c>
      <c r="J47" s="43">
        <v>1.0</v>
      </c>
      <c r="K47" s="43" t="s">
        <v>9</v>
      </c>
      <c r="L47" s="43" t="s">
        <v>989</v>
      </c>
      <c r="M47" s="43">
        <v>9.19094504E9</v>
      </c>
      <c r="N47" s="43" t="s">
        <v>990</v>
      </c>
      <c r="O47" s="52">
        <v>45292.0</v>
      </c>
      <c r="P47" s="52">
        <v>46387.0</v>
      </c>
      <c r="Q47" s="43" t="s">
        <v>991</v>
      </c>
      <c r="R47" s="43" t="s">
        <v>92</v>
      </c>
      <c r="S47" s="44"/>
      <c r="T47" s="45"/>
      <c r="U47" s="57"/>
      <c r="V47" s="57"/>
      <c r="W47" s="57"/>
      <c r="X47" s="58"/>
      <c r="Y47" s="58"/>
    </row>
    <row r="48">
      <c r="A48" s="43">
        <v>47.0</v>
      </c>
      <c r="B48" s="45"/>
      <c r="C48" s="47" t="s">
        <v>12</v>
      </c>
      <c r="D48" s="47" t="s">
        <v>580</v>
      </c>
      <c r="E48" s="47" t="s">
        <v>963</v>
      </c>
      <c r="F48" s="43" t="s">
        <v>992</v>
      </c>
      <c r="G48" s="51" t="s">
        <v>993</v>
      </c>
      <c r="H48" s="43" t="s">
        <v>238</v>
      </c>
      <c r="I48" s="43" t="s">
        <v>994</v>
      </c>
      <c r="J48" s="43">
        <v>1.0</v>
      </c>
      <c r="K48" s="43" t="s">
        <v>9</v>
      </c>
      <c r="L48" s="43" t="s">
        <v>995</v>
      </c>
      <c r="M48" s="43" t="s">
        <v>996</v>
      </c>
      <c r="N48" s="43" t="s">
        <v>997</v>
      </c>
      <c r="O48" s="52">
        <v>46023.0</v>
      </c>
      <c r="P48" s="52">
        <v>47118.0</v>
      </c>
      <c r="Q48" s="43" t="s">
        <v>998</v>
      </c>
      <c r="R48" s="43" t="s">
        <v>126</v>
      </c>
      <c r="S48" s="44"/>
      <c r="T48" s="43" t="s">
        <v>999</v>
      </c>
      <c r="U48" s="57"/>
      <c r="V48" s="57"/>
      <c r="W48" s="57"/>
      <c r="X48" s="58"/>
      <c r="Y48" s="58"/>
    </row>
    <row r="49">
      <c r="A49" s="43">
        <v>48.0</v>
      </c>
      <c r="B49" s="43">
        <v>49045.0</v>
      </c>
      <c r="C49" s="47" t="s">
        <v>12</v>
      </c>
      <c r="D49" s="47" t="s">
        <v>580</v>
      </c>
      <c r="E49" s="47" t="s">
        <v>963</v>
      </c>
      <c r="F49" s="43" t="s">
        <v>1000</v>
      </c>
      <c r="G49" s="51" t="s">
        <v>1001</v>
      </c>
      <c r="H49" s="43" t="s">
        <v>238</v>
      </c>
      <c r="I49" s="43" t="s">
        <v>1002</v>
      </c>
      <c r="J49" s="43">
        <v>3.0</v>
      </c>
      <c r="K49" s="43" t="s">
        <v>9</v>
      </c>
      <c r="L49" s="43" t="s">
        <v>1003</v>
      </c>
      <c r="M49" s="43" t="s">
        <v>1004</v>
      </c>
      <c r="N49" s="43" t="s">
        <v>1005</v>
      </c>
      <c r="O49" s="52">
        <v>45292.0</v>
      </c>
      <c r="P49" s="52">
        <v>46387.0</v>
      </c>
      <c r="Q49" s="43" t="s">
        <v>1006</v>
      </c>
      <c r="R49" s="43" t="s">
        <v>92</v>
      </c>
      <c r="S49" s="44"/>
      <c r="T49" s="45"/>
      <c r="U49" s="57"/>
      <c r="V49" s="57"/>
      <c r="W49" s="57"/>
      <c r="X49" s="58"/>
      <c r="Y49" s="58"/>
    </row>
    <row r="50">
      <c r="A50" s="43">
        <v>49.0</v>
      </c>
      <c r="B50" s="43">
        <v>49050.0</v>
      </c>
      <c r="C50" s="47" t="s">
        <v>12</v>
      </c>
      <c r="D50" s="47" t="s">
        <v>580</v>
      </c>
      <c r="E50" s="47" t="s">
        <v>605</v>
      </c>
      <c r="F50" s="43" t="s">
        <v>1007</v>
      </c>
      <c r="G50" s="51" t="s">
        <v>1008</v>
      </c>
      <c r="H50" s="43" t="s">
        <v>238</v>
      </c>
      <c r="I50" s="43" t="s">
        <v>1009</v>
      </c>
      <c r="J50" s="43">
        <v>2.0</v>
      </c>
      <c r="K50" s="43" t="s">
        <v>9</v>
      </c>
      <c r="L50" s="43" t="s">
        <v>1010</v>
      </c>
      <c r="M50" s="43" t="s">
        <v>1011</v>
      </c>
      <c r="N50" s="43" t="s">
        <v>1012</v>
      </c>
      <c r="O50" s="52">
        <v>45292.0</v>
      </c>
      <c r="P50" s="52">
        <v>46387.0</v>
      </c>
      <c r="Q50" s="43" t="s">
        <v>1013</v>
      </c>
      <c r="R50" s="43" t="s">
        <v>92</v>
      </c>
      <c r="S50" s="44"/>
      <c r="T50" s="45"/>
      <c r="U50" s="57"/>
      <c r="V50" s="57"/>
      <c r="W50" s="57"/>
      <c r="X50" s="58"/>
      <c r="Y50" s="58"/>
    </row>
    <row r="51">
      <c r="A51" s="43">
        <v>50.0</v>
      </c>
      <c r="B51" s="43">
        <v>49051.0</v>
      </c>
      <c r="C51" s="47" t="s">
        <v>631</v>
      </c>
      <c r="D51" s="47" t="s">
        <v>632</v>
      </c>
      <c r="E51" s="47" t="s">
        <v>1014</v>
      </c>
      <c r="F51" s="43" t="s">
        <v>1015</v>
      </c>
      <c r="G51" s="51" t="s">
        <v>1016</v>
      </c>
      <c r="H51" s="43" t="s">
        <v>238</v>
      </c>
      <c r="I51" s="43" t="s">
        <v>1017</v>
      </c>
      <c r="J51" s="43">
        <v>1.0</v>
      </c>
      <c r="K51" s="43" t="s">
        <v>8</v>
      </c>
      <c r="L51" s="43" t="s">
        <v>1018</v>
      </c>
      <c r="M51" s="43" t="s">
        <v>1019</v>
      </c>
      <c r="N51" s="43" t="s">
        <v>1020</v>
      </c>
      <c r="O51" s="52">
        <v>45658.0</v>
      </c>
      <c r="P51" s="52">
        <v>46752.0</v>
      </c>
      <c r="Q51" s="43" t="s">
        <v>1021</v>
      </c>
      <c r="R51" s="43" t="s">
        <v>60</v>
      </c>
      <c r="S51" s="47" t="s">
        <v>101</v>
      </c>
      <c r="T51" s="45"/>
      <c r="U51" s="59"/>
      <c r="V51" s="57"/>
      <c r="W51" s="57"/>
      <c r="X51" s="58"/>
      <c r="Y51" s="58"/>
    </row>
    <row r="52">
      <c r="A52" s="43">
        <v>51.0</v>
      </c>
      <c r="B52" s="43">
        <v>49052.0</v>
      </c>
      <c r="C52" s="47" t="s">
        <v>631</v>
      </c>
      <c r="D52" s="47" t="s">
        <v>648</v>
      </c>
      <c r="E52" s="47" t="s">
        <v>649</v>
      </c>
      <c r="F52" s="43" t="s">
        <v>1022</v>
      </c>
      <c r="G52" s="51" t="s">
        <v>1023</v>
      </c>
      <c r="H52" s="43" t="s">
        <v>238</v>
      </c>
      <c r="I52" s="43" t="s">
        <v>1024</v>
      </c>
      <c r="J52" s="43">
        <v>2.0</v>
      </c>
      <c r="K52" s="43" t="s">
        <v>9</v>
      </c>
      <c r="L52" s="43" t="s">
        <v>1025</v>
      </c>
      <c r="M52" s="43" t="s">
        <v>1026</v>
      </c>
      <c r="N52" s="43" t="s">
        <v>1027</v>
      </c>
      <c r="O52" s="52">
        <v>45292.0</v>
      </c>
      <c r="P52" s="52">
        <v>46387.0</v>
      </c>
      <c r="Q52" s="43" t="s">
        <v>1028</v>
      </c>
      <c r="R52" s="43" t="s">
        <v>60</v>
      </c>
      <c r="S52" s="47" t="s">
        <v>101</v>
      </c>
      <c r="T52" s="45"/>
      <c r="U52" s="59"/>
      <c r="V52" s="57"/>
      <c r="W52" s="57"/>
      <c r="X52" s="58"/>
      <c r="Y52" s="58"/>
    </row>
    <row r="53">
      <c r="A53" s="43">
        <v>52.0</v>
      </c>
      <c r="B53" s="43">
        <v>49053.0</v>
      </c>
      <c r="C53" s="47" t="s">
        <v>631</v>
      </c>
      <c r="D53" s="47" t="s">
        <v>648</v>
      </c>
      <c r="E53" s="47" t="s">
        <v>649</v>
      </c>
      <c r="F53" s="43" t="s">
        <v>1029</v>
      </c>
      <c r="G53" s="51" t="s">
        <v>1030</v>
      </c>
      <c r="H53" s="43" t="s">
        <v>238</v>
      </c>
      <c r="I53" s="43" t="s">
        <v>1030</v>
      </c>
      <c r="J53" s="43">
        <v>1.0</v>
      </c>
      <c r="K53" s="43" t="s">
        <v>8</v>
      </c>
      <c r="L53" s="43" t="s">
        <v>1031</v>
      </c>
      <c r="M53" s="43" t="s">
        <v>1032</v>
      </c>
      <c r="N53" s="43" t="s">
        <v>1033</v>
      </c>
      <c r="O53" s="52">
        <v>45292.0</v>
      </c>
      <c r="P53" s="52">
        <v>46387.0</v>
      </c>
      <c r="Q53" s="43" t="s">
        <v>1034</v>
      </c>
      <c r="R53" s="43" t="s">
        <v>60</v>
      </c>
      <c r="S53" s="47" t="s">
        <v>101</v>
      </c>
      <c r="T53" s="45"/>
      <c r="U53" s="59"/>
      <c r="V53" s="57"/>
      <c r="W53" s="57"/>
      <c r="X53" s="58"/>
      <c r="Y53" s="58"/>
    </row>
    <row r="54">
      <c r="A54" s="43">
        <v>53.0</v>
      </c>
      <c r="B54" s="43">
        <v>49054.0</v>
      </c>
      <c r="C54" s="47" t="s">
        <v>631</v>
      </c>
      <c r="D54" s="47" t="s">
        <v>648</v>
      </c>
      <c r="E54" s="47" t="s">
        <v>649</v>
      </c>
      <c r="F54" s="43" t="s">
        <v>1035</v>
      </c>
      <c r="G54" s="51" t="s">
        <v>1036</v>
      </c>
      <c r="H54" s="43" t="s">
        <v>238</v>
      </c>
      <c r="I54" s="43" t="s">
        <v>1037</v>
      </c>
      <c r="J54" s="43">
        <v>1.0</v>
      </c>
      <c r="K54" s="43" t="s">
        <v>9</v>
      </c>
      <c r="L54" s="43" t="s">
        <v>1038</v>
      </c>
      <c r="M54" s="43" t="s">
        <v>1039</v>
      </c>
      <c r="N54" s="43" t="s">
        <v>1040</v>
      </c>
      <c r="O54" s="52">
        <v>45292.0</v>
      </c>
      <c r="P54" s="52">
        <v>46387.0</v>
      </c>
      <c r="Q54" s="43" t="s">
        <v>1041</v>
      </c>
      <c r="R54" s="43" t="s">
        <v>60</v>
      </c>
      <c r="S54" s="47" t="s">
        <v>101</v>
      </c>
      <c r="T54" s="45"/>
      <c r="U54" s="59"/>
      <c r="V54" s="57"/>
      <c r="W54" s="57"/>
      <c r="X54" s="58"/>
      <c r="Y54" s="58"/>
    </row>
    <row r="55">
      <c r="A55" s="43">
        <v>54.0</v>
      </c>
      <c r="B55" s="45"/>
      <c r="C55" s="47" t="s">
        <v>631</v>
      </c>
      <c r="D55" s="47" t="s">
        <v>648</v>
      </c>
      <c r="E55" s="47" t="s">
        <v>649</v>
      </c>
      <c r="F55" s="43" t="s">
        <v>1042</v>
      </c>
      <c r="G55" s="51" t="s">
        <v>1043</v>
      </c>
      <c r="H55" s="43" t="s">
        <v>238</v>
      </c>
      <c r="I55" s="43" t="s">
        <v>1017</v>
      </c>
      <c r="J55" s="43">
        <v>1.0</v>
      </c>
      <c r="K55" s="43" t="s">
        <v>9</v>
      </c>
      <c r="L55" s="43" t="s">
        <v>1044</v>
      </c>
      <c r="M55" s="45"/>
      <c r="N55" s="43" t="s">
        <v>1045</v>
      </c>
      <c r="O55" s="52">
        <v>46084.0</v>
      </c>
      <c r="P55" s="52">
        <v>47118.0</v>
      </c>
      <c r="Q55" s="43" t="s">
        <v>1046</v>
      </c>
      <c r="R55" s="43" t="s">
        <v>60</v>
      </c>
      <c r="S55" s="47" t="s">
        <v>101</v>
      </c>
      <c r="T55" s="45"/>
      <c r="U55" s="59"/>
      <c r="V55" s="57"/>
      <c r="W55" s="57"/>
      <c r="X55" s="58"/>
      <c r="Y55" s="58"/>
    </row>
    <row r="56">
      <c r="A56" s="43">
        <v>55.0</v>
      </c>
      <c r="B56" s="43">
        <v>54730.0</v>
      </c>
      <c r="C56" s="47" t="s">
        <v>631</v>
      </c>
      <c r="D56" s="47" t="s">
        <v>648</v>
      </c>
      <c r="E56" s="47" t="s">
        <v>1047</v>
      </c>
      <c r="F56" s="43" t="s">
        <v>1048</v>
      </c>
      <c r="G56" s="51" t="s">
        <v>1049</v>
      </c>
      <c r="H56" s="43" t="s">
        <v>238</v>
      </c>
      <c r="I56" s="43" t="s">
        <v>1017</v>
      </c>
      <c r="J56" s="43">
        <v>1.0</v>
      </c>
      <c r="K56" s="43" t="s">
        <v>9</v>
      </c>
      <c r="L56" s="43" t="s">
        <v>1050</v>
      </c>
      <c r="M56" s="43">
        <v>9.104117713E9</v>
      </c>
      <c r="N56" s="43" t="s">
        <v>1051</v>
      </c>
      <c r="O56" s="52">
        <v>46023.0</v>
      </c>
      <c r="P56" s="52">
        <v>47118.0</v>
      </c>
      <c r="Q56" s="43" t="s">
        <v>1052</v>
      </c>
      <c r="R56" s="43" t="s">
        <v>60</v>
      </c>
      <c r="S56" s="47" t="s">
        <v>101</v>
      </c>
      <c r="T56" s="45"/>
      <c r="U56" s="59"/>
      <c r="V56" s="57"/>
      <c r="W56" s="57"/>
      <c r="X56" s="58"/>
      <c r="Y56" s="5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6.38"/>
  </cols>
  <sheetData>
    <row r="1">
      <c r="A1" s="60" t="s">
        <v>1</v>
      </c>
      <c r="B1" s="61" t="s">
        <v>1053</v>
      </c>
      <c r="C1" s="62" t="s">
        <v>157</v>
      </c>
      <c r="D1" s="63" t="s">
        <v>1054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13"/>
      <c r="B2" s="65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13"/>
      <c r="B3" s="65"/>
      <c r="E3" s="64"/>
      <c r="F3" s="64"/>
      <c r="G3" s="64"/>
      <c r="H3" s="64"/>
      <c r="I3" s="64"/>
      <c r="J3" s="64"/>
      <c r="K3" s="63" t="s">
        <v>1055</v>
      </c>
      <c r="L3" s="63" t="s">
        <v>1056</v>
      </c>
      <c r="M3" s="63" t="s">
        <v>1057</v>
      </c>
      <c r="N3" s="63" t="s">
        <v>1058</v>
      </c>
      <c r="O3" s="63" t="s">
        <v>1059</v>
      </c>
      <c r="P3" s="63" t="s">
        <v>1060</v>
      </c>
      <c r="Q3" s="63" t="s">
        <v>1061</v>
      </c>
      <c r="R3" s="63" t="s">
        <v>1062</v>
      </c>
      <c r="S3" s="63" t="s">
        <v>1063</v>
      </c>
      <c r="T3" s="63" t="s">
        <v>1064</v>
      </c>
      <c r="U3" s="63" t="s">
        <v>1065</v>
      </c>
      <c r="V3" s="63" t="s">
        <v>1066</v>
      </c>
      <c r="W3" s="63" t="s">
        <v>1067</v>
      </c>
      <c r="X3" s="64"/>
      <c r="Y3" s="63" t="s">
        <v>1068</v>
      </c>
      <c r="Z3" s="63" t="s">
        <v>1069</v>
      </c>
    </row>
    <row r="4">
      <c r="A4" s="17"/>
      <c r="B4" s="16"/>
      <c r="E4" s="64"/>
      <c r="F4" s="64"/>
      <c r="G4" s="64"/>
      <c r="H4" s="63" t="s">
        <v>1070</v>
      </c>
      <c r="I4" s="64"/>
      <c r="J4" s="63" t="s">
        <v>1071</v>
      </c>
      <c r="K4" s="63" t="s">
        <v>1072</v>
      </c>
      <c r="L4" s="66" t="s">
        <v>1073</v>
      </c>
      <c r="M4" s="66" t="s">
        <v>1074</v>
      </c>
      <c r="N4" s="67" t="s">
        <v>1075</v>
      </c>
      <c r="O4" s="66" t="s">
        <v>1076</v>
      </c>
      <c r="P4" s="68" t="s">
        <v>1077</v>
      </c>
      <c r="Q4" s="69" t="s">
        <v>1078</v>
      </c>
      <c r="R4" s="66" t="s">
        <v>1079</v>
      </c>
      <c r="S4" s="66" t="s">
        <v>8</v>
      </c>
      <c r="T4" s="66" t="s">
        <v>1080</v>
      </c>
      <c r="U4" s="66" t="s">
        <v>1081</v>
      </c>
      <c r="V4" s="66" t="s">
        <v>1082</v>
      </c>
      <c r="W4" s="66" t="s">
        <v>1083</v>
      </c>
      <c r="X4" s="66" t="s">
        <v>1084</v>
      </c>
      <c r="Y4" s="66" t="s">
        <v>1085</v>
      </c>
      <c r="Z4" s="64"/>
    </row>
    <row r="5">
      <c r="A5" s="70" t="s">
        <v>12</v>
      </c>
      <c r="B5" s="71" t="s">
        <v>1086</v>
      </c>
      <c r="C5" s="72" t="s">
        <v>632</v>
      </c>
      <c r="D5" s="72" t="s">
        <v>1087</v>
      </c>
      <c r="E5" s="66" t="s">
        <v>56</v>
      </c>
      <c r="F5" s="66" t="s">
        <v>1088</v>
      </c>
      <c r="G5" s="66" t="s">
        <v>1089</v>
      </c>
      <c r="H5" s="72" t="s">
        <v>1090</v>
      </c>
      <c r="I5" s="66" t="s">
        <v>1091</v>
      </c>
      <c r="J5" s="67" t="s">
        <v>1092</v>
      </c>
      <c r="K5" s="66" t="s">
        <v>1093</v>
      </c>
      <c r="L5" s="66" t="s">
        <v>122</v>
      </c>
      <c r="M5" s="66" t="s">
        <v>1094</v>
      </c>
      <c r="N5" s="67" t="s">
        <v>1095</v>
      </c>
      <c r="O5" s="66" t="s">
        <v>92</v>
      </c>
      <c r="P5" s="68" t="s">
        <v>1096</v>
      </c>
      <c r="Q5" s="69" t="s">
        <v>1097</v>
      </c>
      <c r="R5" s="66" t="s">
        <v>1098</v>
      </c>
      <c r="S5" s="66" t="s">
        <v>9</v>
      </c>
      <c r="T5" s="66" t="s">
        <v>1099</v>
      </c>
      <c r="U5" s="66" t="s">
        <v>1100</v>
      </c>
      <c r="V5" s="66" t="s">
        <v>1101</v>
      </c>
      <c r="W5" s="66" t="s">
        <v>1102</v>
      </c>
      <c r="X5" s="66" t="s">
        <v>1103</v>
      </c>
      <c r="Y5" s="66" t="s">
        <v>1104</v>
      </c>
      <c r="Z5" s="64"/>
    </row>
    <row r="6">
      <c r="A6" s="70" t="s">
        <v>51</v>
      </c>
      <c r="B6" s="71" t="s">
        <v>13</v>
      </c>
      <c r="C6" s="72" t="s">
        <v>539</v>
      </c>
      <c r="D6" s="72" t="s">
        <v>1105</v>
      </c>
      <c r="E6" s="66" t="s">
        <v>238</v>
      </c>
      <c r="F6" s="66" t="s">
        <v>1106</v>
      </c>
      <c r="G6" s="66" t="s">
        <v>1107</v>
      </c>
      <c r="H6" s="72" t="s">
        <v>1108</v>
      </c>
      <c r="I6" s="66" t="s">
        <v>1109</v>
      </c>
      <c r="J6" s="67" t="s">
        <v>1110</v>
      </c>
      <c r="K6" s="66" t="s">
        <v>1074</v>
      </c>
      <c r="L6" s="66" t="s">
        <v>1111</v>
      </c>
      <c r="M6" s="66" t="s">
        <v>1112</v>
      </c>
      <c r="N6" s="73" t="s">
        <v>1113</v>
      </c>
      <c r="O6" s="64"/>
      <c r="P6" s="64"/>
      <c r="Q6" s="64"/>
      <c r="R6" s="66" t="s">
        <v>1114</v>
      </c>
      <c r="S6" s="66" t="s">
        <v>1115</v>
      </c>
      <c r="T6" s="66" t="s">
        <v>1116</v>
      </c>
      <c r="U6" s="64"/>
      <c r="V6" s="64"/>
      <c r="W6" s="66" t="s">
        <v>1117</v>
      </c>
      <c r="X6" s="64"/>
      <c r="Y6" s="66" t="s">
        <v>1118</v>
      </c>
      <c r="Z6" s="64"/>
    </row>
    <row r="7">
      <c r="A7" s="70" t="s">
        <v>117</v>
      </c>
      <c r="B7" s="71" t="s">
        <v>1119</v>
      </c>
      <c r="C7" s="72" t="s">
        <v>1120</v>
      </c>
      <c r="D7" s="72" t="s">
        <v>1121</v>
      </c>
      <c r="E7" s="64"/>
      <c r="F7" s="64"/>
      <c r="G7" s="66" t="s">
        <v>1122</v>
      </c>
      <c r="H7" s="72" t="s">
        <v>1123</v>
      </c>
      <c r="I7" s="64"/>
      <c r="J7" s="67" t="s">
        <v>1124</v>
      </c>
      <c r="K7" s="66" t="s">
        <v>1094</v>
      </c>
      <c r="L7" s="66" t="s">
        <v>1125</v>
      </c>
      <c r="M7" s="66" t="s">
        <v>101</v>
      </c>
      <c r="N7" s="67" t="s">
        <v>101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6" t="s">
        <v>1126</v>
      </c>
      <c r="Z7" s="64"/>
    </row>
    <row r="8">
      <c r="A8" s="70" t="s">
        <v>166</v>
      </c>
      <c r="B8" s="71" t="s">
        <v>15</v>
      </c>
      <c r="C8" s="72" t="s">
        <v>1127</v>
      </c>
      <c r="D8" s="72" t="s">
        <v>1128</v>
      </c>
      <c r="E8" s="64"/>
      <c r="F8" s="64"/>
      <c r="G8" s="64"/>
      <c r="H8" s="72" t="s">
        <v>1129</v>
      </c>
      <c r="I8" s="64"/>
      <c r="J8" s="67" t="s">
        <v>1130</v>
      </c>
      <c r="K8" s="66" t="s">
        <v>1131</v>
      </c>
      <c r="L8" s="66" t="s">
        <v>1132</v>
      </c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70" t="s">
        <v>715</v>
      </c>
      <c r="B9" s="71" t="s">
        <v>16</v>
      </c>
      <c r="C9" s="72" t="s">
        <v>266</v>
      </c>
      <c r="D9" s="72" t="s">
        <v>1133</v>
      </c>
      <c r="E9" s="64"/>
      <c r="F9" s="64"/>
      <c r="G9" s="64"/>
      <c r="H9" s="72" t="s">
        <v>1134</v>
      </c>
      <c r="I9" s="64"/>
      <c r="J9" s="67" t="s">
        <v>1135</v>
      </c>
      <c r="K9" s="64"/>
      <c r="L9" s="66" t="s">
        <v>1136</v>
      </c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70" t="s">
        <v>1137</v>
      </c>
      <c r="B10" s="71" t="s">
        <v>17</v>
      </c>
      <c r="C10" s="72" t="s">
        <v>1138</v>
      </c>
      <c r="D10" s="72" t="s">
        <v>53</v>
      </c>
      <c r="E10" s="64"/>
      <c r="F10" s="64"/>
      <c r="G10" s="64"/>
      <c r="H10" s="72" t="s">
        <v>1139</v>
      </c>
      <c r="I10" s="64"/>
      <c r="J10" s="67" t="s">
        <v>1140</v>
      </c>
      <c r="K10" s="63" t="s">
        <v>1141</v>
      </c>
      <c r="L10" s="66" t="s">
        <v>1142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70" t="s">
        <v>265</v>
      </c>
      <c r="B11" s="71" t="s">
        <v>18</v>
      </c>
      <c r="C11" s="72" t="s">
        <v>640</v>
      </c>
      <c r="D11" s="72" t="s">
        <v>1143</v>
      </c>
      <c r="E11" s="64"/>
      <c r="F11" s="64"/>
      <c r="G11" s="64"/>
      <c r="H11" s="72" t="s">
        <v>1130</v>
      </c>
      <c r="I11" s="64"/>
      <c r="J11" s="73" t="s">
        <v>1144</v>
      </c>
      <c r="K11" s="66" t="s">
        <v>1084</v>
      </c>
      <c r="L11" s="66" t="s">
        <v>1145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70" t="s">
        <v>771</v>
      </c>
      <c r="B12" s="71" t="s">
        <v>1146</v>
      </c>
      <c r="C12" s="72" t="s">
        <v>1147</v>
      </c>
      <c r="D12" s="72" t="s">
        <v>1148</v>
      </c>
      <c r="E12" s="64"/>
      <c r="F12" s="64"/>
      <c r="G12" s="64"/>
      <c r="H12" s="72" t="s">
        <v>1149</v>
      </c>
      <c r="I12" s="64"/>
      <c r="J12" s="64"/>
      <c r="K12" s="66" t="s">
        <v>1150</v>
      </c>
      <c r="L12" s="66" t="s">
        <v>1151</v>
      </c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70" t="s">
        <v>281</v>
      </c>
      <c r="B13" s="71" t="s">
        <v>1152</v>
      </c>
      <c r="C13" s="72" t="s">
        <v>1153</v>
      </c>
      <c r="D13" s="72" t="s">
        <v>1154</v>
      </c>
      <c r="E13" s="64"/>
      <c r="F13" s="64"/>
      <c r="G13" s="64"/>
      <c r="H13" s="72" t="s">
        <v>1155</v>
      </c>
      <c r="I13" s="64"/>
      <c r="J13" s="64"/>
      <c r="K13" s="64"/>
      <c r="L13" s="66" t="s">
        <v>1156</v>
      </c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70" t="s">
        <v>289</v>
      </c>
      <c r="B14" s="71" t="s">
        <v>1157</v>
      </c>
      <c r="C14" s="72" t="s">
        <v>167</v>
      </c>
      <c r="D14" s="72" t="s">
        <v>1158</v>
      </c>
      <c r="E14" s="64"/>
      <c r="F14" s="64"/>
      <c r="G14" s="64"/>
      <c r="H14" s="72" t="s">
        <v>1159</v>
      </c>
      <c r="I14" s="64"/>
      <c r="J14" s="64"/>
      <c r="K14" s="64"/>
      <c r="L14" s="66" t="s">
        <v>33</v>
      </c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70" t="s">
        <v>392</v>
      </c>
      <c r="B15" s="71" t="s">
        <v>22</v>
      </c>
      <c r="C15" s="72" t="s">
        <v>1160</v>
      </c>
      <c r="D15" s="72" t="s">
        <v>1161</v>
      </c>
      <c r="E15" s="64"/>
      <c r="F15" s="64"/>
      <c r="G15" s="64"/>
      <c r="H15" s="72" t="s">
        <v>1162</v>
      </c>
      <c r="I15" s="64"/>
      <c r="J15" s="64"/>
      <c r="K15" s="63" t="s">
        <v>1163</v>
      </c>
      <c r="L15" s="66" t="s">
        <v>101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70" t="s">
        <v>432</v>
      </c>
      <c r="B16" s="71" t="s">
        <v>1164</v>
      </c>
      <c r="C16" s="72" t="s">
        <v>716</v>
      </c>
      <c r="D16" s="72" t="s">
        <v>1165</v>
      </c>
      <c r="E16" s="64"/>
      <c r="F16" s="64"/>
      <c r="G16" s="64"/>
      <c r="H16" s="72" t="s">
        <v>1166</v>
      </c>
      <c r="I16" s="64"/>
      <c r="J16" s="64"/>
      <c r="K16" s="66" t="s">
        <v>1167</v>
      </c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70" t="s">
        <v>475</v>
      </c>
      <c r="B17" s="71" t="s">
        <v>1168</v>
      </c>
      <c r="C17" s="72" t="s">
        <v>648</v>
      </c>
      <c r="D17" s="72" t="s">
        <v>1169</v>
      </c>
      <c r="E17" s="64"/>
      <c r="F17" s="64"/>
      <c r="G17" s="64"/>
      <c r="H17" s="72" t="s">
        <v>1110</v>
      </c>
      <c r="I17" s="64"/>
      <c r="J17" s="64"/>
      <c r="K17" s="66" t="s">
        <v>1170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70" t="s">
        <v>528</v>
      </c>
      <c r="B18" s="71" t="s">
        <v>25</v>
      </c>
      <c r="C18" s="72" t="s">
        <v>1171</v>
      </c>
      <c r="D18" s="72" t="s">
        <v>1172</v>
      </c>
      <c r="E18" s="64"/>
      <c r="F18" s="64"/>
      <c r="G18" s="64"/>
      <c r="H18" s="72" t="s">
        <v>1173</v>
      </c>
      <c r="I18" s="64"/>
      <c r="J18" s="64"/>
      <c r="K18" s="66" t="s">
        <v>1174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70" t="s">
        <v>538</v>
      </c>
      <c r="B19" s="71" t="s">
        <v>26</v>
      </c>
      <c r="C19" s="72" t="s">
        <v>1175</v>
      </c>
      <c r="D19" s="72" t="s">
        <v>1176</v>
      </c>
      <c r="E19" s="64"/>
      <c r="F19" s="64"/>
      <c r="G19" s="64"/>
      <c r="H19" s="72" t="s">
        <v>1177</v>
      </c>
      <c r="I19" s="64"/>
      <c r="J19" s="64"/>
      <c r="K19" s="66" t="s">
        <v>1178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70" t="s">
        <v>631</v>
      </c>
      <c r="B20" s="71" t="s">
        <v>27</v>
      </c>
      <c r="C20" s="72" t="s">
        <v>1179</v>
      </c>
      <c r="D20" s="72" t="s">
        <v>1180</v>
      </c>
      <c r="E20" s="64"/>
      <c r="F20" s="64"/>
      <c r="G20" s="64"/>
      <c r="H20" s="72" t="s">
        <v>1181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74" t="s">
        <v>28</v>
      </c>
      <c r="B21" s="75" t="s">
        <v>1182</v>
      </c>
      <c r="C21" s="72"/>
      <c r="D21" s="72"/>
      <c r="E21" s="64"/>
      <c r="F21" s="64"/>
      <c r="G21" s="64"/>
      <c r="H21" s="72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70" t="s">
        <v>29</v>
      </c>
      <c r="B22" s="71" t="s">
        <v>1183</v>
      </c>
      <c r="C22" s="72" t="s">
        <v>184</v>
      </c>
      <c r="D22" s="72" t="s">
        <v>1184</v>
      </c>
      <c r="E22" s="64"/>
      <c r="F22" s="64"/>
      <c r="G22" s="64"/>
      <c r="H22" s="72" t="s">
        <v>1185</v>
      </c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73"/>
      <c r="B23" s="73"/>
      <c r="C23" s="72" t="s">
        <v>118</v>
      </c>
      <c r="D23" s="72" t="s">
        <v>1186</v>
      </c>
      <c r="E23" s="64"/>
      <c r="F23" s="64"/>
      <c r="G23" s="64"/>
      <c r="H23" s="72" t="s">
        <v>1187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64"/>
      <c r="C24" s="72" t="s">
        <v>1188</v>
      </c>
      <c r="D24" s="72" t="s">
        <v>1189</v>
      </c>
      <c r="E24" s="64"/>
      <c r="F24" s="64"/>
      <c r="G24" s="64"/>
      <c r="H24" s="72" t="s">
        <v>1190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64"/>
      <c r="C25" s="72" t="s">
        <v>273</v>
      </c>
      <c r="D25" s="72" t="s">
        <v>530</v>
      </c>
      <c r="E25" s="64"/>
      <c r="F25" s="64"/>
      <c r="G25" s="64"/>
      <c r="H25" s="72" t="s">
        <v>1191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4"/>
      <c r="B26" s="64"/>
      <c r="C26" s="72" t="s">
        <v>1192</v>
      </c>
      <c r="D26" s="72" t="s">
        <v>1193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64"/>
      <c r="C27" s="72" t="s">
        <v>1194</v>
      </c>
      <c r="D27" s="72" t="s">
        <v>1195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4"/>
      <c r="B28" s="64"/>
      <c r="C28" s="72" t="s">
        <v>1196</v>
      </c>
      <c r="D28" s="72" t="s">
        <v>103</v>
      </c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4"/>
      <c r="B29" s="64"/>
      <c r="C29" s="72" t="s">
        <v>740</v>
      </c>
      <c r="D29" s="72" t="s">
        <v>1197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4"/>
      <c r="B30" s="64"/>
      <c r="C30" s="72" t="s">
        <v>282</v>
      </c>
      <c r="D30" s="72" t="s">
        <v>1198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64"/>
      <c r="C31" s="72" t="s">
        <v>1199</v>
      </c>
      <c r="D31" s="72" t="s">
        <v>1200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64"/>
      <c r="C32" s="72" t="s">
        <v>476</v>
      </c>
      <c r="D32" s="72" t="s">
        <v>1201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64"/>
      <c r="C33" s="72" t="s">
        <v>484</v>
      </c>
      <c r="D33" s="72" t="s">
        <v>1202</v>
      </c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72" t="s">
        <v>493</v>
      </c>
      <c r="D34" s="72" t="s">
        <v>1203</v>
      </c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72" t="s">
        <v>512</v>
      </c>
      <c r="D35" s="72" t="s">
        <v>1204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72" t="s">
        <v>520</v>
      </c>
      <c r="D36" s="72" t="s">
        <v>1205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72" t="s">
        <v>1206</v>
      </c>
      <c r="D37" s="72" t="s">
        <v>1207</v>
      </c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72" t="s">
        <v>290</v>
      </c>
      <c r="D38" s="72" t="s">
        <v>1208</v>
      </c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72" t="s">
        <v>1209</v>
      </c>
      <c r="D39" s="72" t="s">
        <v>1210</v>
      </c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72" t="s">
        <v>1211</v>
      </c>
      <c r="D40" s="72" t="s">
        <v>1212</v>
      </c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72" t="s">
        <v>52</v>
      </c>
      <c r="D41" s="72" t="s">
        <v>1213</v>
      </c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72" t="s">
        <v>85</v>
      </c>
      <c r="D42" s="72" t="s">
        <v>1214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72" t="s">
        <v>772</v>
      </c>
      <c r="D43" s="72" t="s">
        <v>1215</v>
      </c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72" t="s">
        <v>1216</v>
      </c>
      <c r="D44" s="72" t="s">
        <v>1217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72" t="s">
        <v>1218</v>
      </c>
      <c r="D45" s="72" t="s">
        <v>1219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72" t="s">
        <v>93</v>
      </c>
      <c r="D46" s="72" t="s">
        <v>1220</v>
      </c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72" t="s">
        <v>1221</v>
      </c>
      <c r="D47" s="72" t="s">
        <v>1222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72" t="s">
        <v>433</v>
      </c>
      <c r="D48" s="72" t="s">
        <v>1223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72" t="s">
        <v>1224</v>
      </c>
      <c r="D49" s="72" t="s">
        <v>1225</v>
      </c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72" t="s">
        <v>298</v>
      </c>
      <c r="D50" s="72" t="s">
        <v>1226</v>
      </c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72" t="s">
        <v>1227</v>
      </c>
      <c r="D51" s="72" t="s">
        <v>1228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72" t="s">
        <v>1229</v>
      </c>
      <c r="D52" s="72" t="s">
        <v>1230</v>
      </c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72" t="s">
        <v>1231</v>
      </c>
      <c r="D53" s="72" t="s">
        <v>1232</v>
      </c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72" t="s">
        <v>1233</v>
      </c>
      <c r="D54" s="72" t="s">
        <v>1234</v>
      </c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72" t="s">
        <v>452</v>
      </c>
      <c r="D55" s="72" t="s">
        <v>1235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72" t="s">
        <v>459</v>
      </c>
      <c r="D56" s="72" t="s">
        <v>1236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72" t="s">
        <v>1237</v>
      </c>
      <c r="D57" s="72" t="s">
        <v>1238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72" t="s">
        <v>622</v>
      </c>
      <c r="D58" s="72" t="s">
        <v>1239</v>
      </c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72" t="s">
        <v>1240</v>
      </c>
      <c r="D59" s="72" t="s">
        <v>1241</v>
      </c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72" t="s">
        <v>1242</v>
      </c>
      <c r="D60" s="72" t="s">
        <v>349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72" t="s">
        <v>193</v>
      </c>
      <c r="D61" s="72" t="s">
        <v>1243</v>
      </c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72" t="s">
        <v>133</v>
      </c>
      <c r="D62" s="72" t="s">
        <v>1244</v>
      </c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72" t="s">
        <v>1245</v>
      </c>
      <c r="D63" s="72" t="s">
        <v>1246</v>
      </c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72" t="s">
        <v>1247</v>
      </c>
      <c r="D64" s="72" t="s">
        <v>1248</v>
      </c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72" t="s">
        <v>1249</v>
      </c>
      <c r="D65" s="72" t="s">
        <v>684</v>
      </c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72" t="s">
        <v>226</v>
      </c>
      <c r="D66" s="72" t="s">
        <v>1250</v>
      </c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72" t="s">
        <v>102</v>
      </c>
      <c r="D67" s="72" t="s">
        <v>1251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72" t="s">
        <v>1252</v>
      </c>
      <c r="D68" s="72" t="s">
        <v>1253</v>
      </c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72" t="s">
        <v>153</v>
      </c>
      <c r="D69" s="72" t="s">
        <v>1254</v>
      </c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72" t="s">
        <v>755</v>
      </c>
      <c r="D70" s="72" t="s">
        <v>1255</v>
      </c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72" t="s">
        <v>1256</v>
      </c>
      <c r="D71" s="72" t="s">
        <v>756</v>
      </c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72" t="s">
        <v>327</v>
      </c>
      <c r="D72" s="72" t="s">
        <v>1257</v>
      </c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72" t="s">
        <v>529</v>
      </c>
      <c r="D73" s="72" t="s">
        <v>119</v>
      </c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72" t="s">
        <v>1258</v>
      </c>
      <c r="D74" s="72" t="s">
        <v>1259</v>
      </c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72" t="s">
        <v>1260</v>
      </c>
      <c r="D75" s="72" t="s">
        <v>1261</v>
      </c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72" t="s">
        <v>827</v>
      </c>
      <c r="D76" s="72" t="s">
        <v>1262</v>
      </c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72" t="s">
        <v>348</v>
      </c>
      <c r="D77" s="72" t="s">
        <v>1263</v>
      </c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72" t="s">
        <v>1264</v>
      </c>
      <c r="D78" s="72" t="s">
        <v>1265</v>
      </c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72" t="s">
        <v>1266</v>
      </c>
      <c r="D79" s="72" t="s">
        <v>1267</v>
      </c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72" t="s">
        <v>548</v>
      </c>
      <c r="D80" s="72" t="s">
        <v>1268</v>
      </c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72" t="s">
        <v>1269</v>
      </c>
      <c r="D81" s="72" t="s">
        <v>1270</v>
      </c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72" t="s">
        <v>1271</v>
      </c>
      <c r="D82" s="72" t="s">
        <v>1272</v>
      </c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72" t="s">
        <v>706</v>
      </c>
      <c r="D83" s="72" t="s">
        <v>1273</v>
      </c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72" t="s">
        <v>393</v>
      </c>
      <c r="D84" s="72" t="s">
        <v>1274</v>
      </c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72" t="s">
        <v>411</v>
      </c>
      <c r="D85" s="72" t="s">
        <v>1275</v>
      </c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72" t="s">
        <v>425</v>
      </c>
      <c r="D86" s="72" t="s">
        <v>1276</v>
      </c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72" t="s">
        <v>580</v>
      </c>
      <c r="D87" s="72" t="s">
        <v>1277</v>
      </c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72" t="s">
        <v>1278</v>
      </c>
      <c r="D88" s="72" t="s">
        <v>1147</v>
      </c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72" t="s">
        <v>1279</v>
      </c>
      <c r="D89" s="72" t="s">
        <v>1280</v>
      </c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72" t="s">
        <v>1281</v>
      </c>
      <c r="D90" s="72" t="s">
        <v>1282</v>
      </c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72" t="s">
        <v>741</v>
      </c>
      <c r="D91" s="72" t="s">
        <v>1283</v>
      </c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72" t="s">
        <v>756</v>
      </c>
      <c r="D92" s="72" t="s">
        <v>1284</v>
      </c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72" t="s">
        <v>1285</v>
      </c>
      <c r="D93" s="72" t="s">
        <v>62</v>
      </c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72" t="s">
        <v>1286</v>
      </c>
      <c r="D94" s="72" t="s">
        <v>1287</v>
      </c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72" t="s">
        <v>320</v>
      </c>
      <c r="D95" s="72" t="s">
        <v>1288</v>
      </c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72" t="s">
        <v>1289</v>
      </c>
      <c r="D96" s="72" t="s">
        <v>1290</v>
      </c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72" t="s">
        <v>1264</v>
      </c>
      <c r="D97" s="72" t="s">
        <v>1291</v>
      </c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72" t="s">
        <v>1292</v>
      </c>
      <c r="D98" s="72" t="s">
        <v>1293</v>
      </c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72" t="s">
        <v>234</v>
      </c>
      <c r="D99" s="72" t="s">
        <v>1294</v>
      </c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72" t="s">
        <v>1295</v>
      </c>
      <c r="D100" s="72" t="s">
        <v>1296</v>
      </c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72" t="s">
        <v>1297</v>
      </c>
      <c r="D101" s="72" t="s">
        <v>1298</v>
      </c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72" t="s">
        <v>1299</v>
      </c>
      <c r="D102" s="72" t="s">
        <v>1300</v>
      </c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72" t="s">
        <v>1301</v>
      </c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72" t="s">
        <v>1302</v>
      </c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72" t="s">
        <v>1303</v>
      </c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72" t="s">
        <v>134</v>
      </c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72" t="s">
        <v>168</v>
      </c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72" t="s">
        <v>1304</v>
      </c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72" t="s">
        <v>1305</v>
      </c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76" t="s">
        <v>341</v>
      </c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72" t="s">
        <v>1306</v>
      </c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72" t="s">
        <v>1307</v>
      </c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72" t="s">
        <v>1308</v>
      </c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72" t="s">
        <v>1309</v>
      </c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72" t="s">
        <v>649</v>
      </c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72" t="s">
        <v>1310</v>
      </c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72" t="s">
        <v>1311</v>
      </c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72" t="s">
        <v>1312</v>
      </c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72" t="s">
        <v>1313</v>
      </c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72" t="s">
        <v>1314</v>
      </c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72" t="s">
        <v>1315</v>
      </c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72" t="s">
        <v>1316</v>
      </c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72" t="s">
        <v>1317</v>
      </c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72" t="s">
        <v>662</v>
      </c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72" t="s">
        <v>1318</v>
      </c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72" t="s">
        <v>1319</v>
      </c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72" t="s">
        <v>1320</v>
      </c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72" t="s">
        <v>1321</v>
      </c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72" t="s">
        <v>1322</v>
      </c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72" t="s">
        <v>1323</v>
      </c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72" t="s">
        <v>1324</v>
      </c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72" t="s">
        <v>1325</v>
      </c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72" t="s">
        <v>1326</v>
      </c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72" t="s">
        <v>1327</v>
      </c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72" t="s">
        <v>1328</v>
      </c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72" t="s">
        <v>1329</v>
      </c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72" t="s">
        <v>1330</v>
      </c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72" t="s">
        <v>1331</v>
      </c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72" t="s">
        <v>1332</v>
      </c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72" t="s">
        <v>1333</v>
      </c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72" t="s">
        <v>1334</v>
      </c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72" t="s">
        <v>1335</v>
      </c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72" t="s">
        <v>1336</v>
      </c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72" t="s">
        <v>1337</v>
      </c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72" t="s">
        <v>1338</v>
      </c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72" t="s">
        <v>1339</v>
      </c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72" t="s">
        <v>1340</v>
      </c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72" t="s">
        <v>140</v>
      </c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72" t="s">
        <v>1341</v>
      </c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72" t="s">
        <v>1342</v>
      </c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72" t="s">
        <v>1343</v>
      </c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72" t="s">
        <v>1344</v>
      </c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72" t="s">
        <v>1345</v>
      </c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72" t="s">
        <v>1346</v>
      </c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72" t="s">
        <v>1347</v>
      </c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72" t="s">
        <v>1014</v>
      </c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72" t="s">
        <v>1348</v>
      </c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72" t="s">
        <v>1349</v>
      </c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72" t="s">
        <v>1350</v>
      </c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72" t="s">
        <v>1351</v>
      </c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72" t="s">
        <v>1352</v>
      </c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72" t="s">
        <v>1353</v>
      </c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72" t="s">
        <v>1354</v>
      </c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72" t="s">
        <v>1355</v>
      </c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72" t="s">
        <v>1356</v>
      </c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72" t="s">
        <v>1357</v>
      </c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72" t="s">
        <v>1358</v>
      </c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72" t="s">
        <v>1359</v>
      </c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72" t="s">
        <v>1360</v>
      </c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72" t="s">
        <v>1361</v>
      </c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72" t="s">
        <v>1362</v>
      </c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72" t="s">
        <v>1363</v>
      </c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72" t="s">
        <v>1364</v>
      </c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72" t="s">
        <v>1365</v>
      </c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72" t="s">
        <v>1366</v>
      </c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72" t="s">
        <v>1367</v>
      </c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72" t="s">
        <v>1368</v>
      </c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72" t="s">
        <v>1369</v>
      </c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72" t="s">
        <v>1370</v>
      </c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72" t="s">
        <v>1371</v>
      </c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72" t="s">
        <v>1372</v>
      </c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72" t="s">
        <v>1373</v>
      </c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72" t="s">
        <v>1374</v>
      </c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72" t="s">
        <v>717</v>
      </c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72" t="s">
        <v>1375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72" t="s">
        <v>1376</v>
      </c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72" t="s">
        <v>724</v>
      </c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72" t="s">
        <v>1377</v>
      </c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72" t="s">
        <v>1378</v>
      </c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72" t="s">
        <v>1379</v>
      </c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72" t="s">
        <v>1380</v>
      </c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72" t="s">
        <v>1381</v>
      </c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72" t="s">
        <v>1382</v>
      </c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72" t="s">
        <v>1383</v>
      </c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72" t="s">
        <v>1384</v>
      </c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72" t="s">
        <v>1385</v>
      </c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72" t="s">
        <v>1386</v>
      </c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72" t="s">
        <v>109</v>
      </c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72" t="s">
        <v>1387</v>
      </c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72" t="s">
        <v>1388</v>
      </c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72" t="s">
        <v>1389</v>
      </c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72" t="s">
        <v>1390</v>
      </c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72" t="s">
        <v>146</v>
      </c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72" t="s">
        <v>1391</v>
      </c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72" t="s">
        <v>1392</v>
      </c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72" t="s">
        <v>1393</v>
      </c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72" t="s">
        <v>1394</v>
      </c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72" t="s">
        <v>1395</v>
      </c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72" t="s">
        <v>1396</v>
      </c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72" t="s">
        <v>1171</v>
      </c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72" t="s">
        <v>1397</v>
      </c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72" t="s">
        <v>1398</v>
      </c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72" t="s">
        <v>1399</v>
      </c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72" t="s">
        <v>1400</v>
      </c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72" t="s">
        <v>1401</v>
      </c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72" t="s">
        <v>1402</v>
      </c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72" t="s">
        <v>1403</v>
      </c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72" t="s">
        <v>1404</v>
      </c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72" t="s">
        <v>1405</v>
      </c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72" t="s">
        <v>1406</v>
      </c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72" t="s">
        <v>1407</v>
      </c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72" t="s">
        <v>1408</v>
      </c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72" t="s">
        <v>1409</v>
      </c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72" t="s">
        <v>1410</v>
      </c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72" t="s">
        <v>1411</v>
      </c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72" t="s">
        <v>1412</v>
      </c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72" t="s">
        <v>1413</v>
      </c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72" t="s">
        <v>1414</v>
      </c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72" t="s">
        <v>1415</v>
      </c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72" t="s">
        <v>1416</v>
      </c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72" t="s">
        <v>194</v>
      </c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72" t="s">
        <v>1417</v>
      </c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72" t="s">
        <v>1418</v>
      </c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72" t="s">
        <v>1419</v>
      </c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72" t="s">
        <v>1420</v>
      </c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72" t="s">
        <v>1421</v>
      </c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72" t="s">
        <v>1422</v>
      </c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72" t="s">
        <v>1422</v>
      </c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72" t="s">
        <v>1423</v>
      </c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72" t="s">
        <v>1424</v>
      </c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72" t="s">
        <v>1425</v>
      </c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72" t="s">
        <v>1426</v>
      </c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72" t="s">
        <v>1427</v>
      </c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72" t="s">
        <v>1428</v>
      </c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72" t="s">
        <v>1429</v>
      </c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72" t="s">
        <v>1430</v>
      </c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72" t="s">
        <v>1431</v>
      </c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72" t="s">
        <v>1432</v>
      </c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72" t="s">
        <v>1433</v>
      </c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72" t="s">
        <v>127</v>
      </c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72" t="s">
        <v>1434</v>
      </c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72" t="s">
        <v>274</v>
      </c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72" t="s">
        <v>1435</v>
      </c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72" t="s">
        <v>1436</v>
      </c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72" t="s">
        <v>1437</v>
      </c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72" t="s">
        <v>1438</v>
      </c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72" t="s">
        <v>1439</v>
      </c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72" t="s">
        <v>1440</v>
      </c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72" t="s">
        <v>1441</v>
      </c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72" t="s">
        <v>1442</v>
      </c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72" t="s">
        <v>1443</v>
      </c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72" t="s">
        <v>1444</v>
      </c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72" t="s">
        <v>549</v>
      </c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72" t="s">
        <v>1445</v>
      </c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72" t="s">
        <v>1446</v>
      </c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72" t="s">
        <v>1447</v>
      </c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72" t="s">
        <v>1448</v>
      </c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72" t="s">
        <v>540</v>
      </c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72" t="s">
        <v>1449</v>
      </c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72" t="s">
        <v>1450</v>
      </c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72" t="s">
        <v>1451</v>
      </c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72" t="s">
        <v>1452</v>
      </c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72" t="s">
        <v>203</v>
      </c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72" t="s">
        <v>1453</v>
      </c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72" t="s">
        <v>1454</v>
      </c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72" t="s">
        <v>154</v>
      </c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72" t="s">
        <v>1455</v>
      </c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72" t="s">
        <v>1456</v>
      </c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72" t="s">
        <v>1457</v>
      </c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72" t="s">
        <v>1458</v>
      </c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72" t="s">
        <v>1459</v>
      </c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72" t="s">
        <v>1460</v>
      </c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72" t="s">
        <v>1461</v>
      </c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72" t="s">
        <v>460</v>
      </c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72" t="s">
        <v>1462</v>
      </c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72" t="s">
        <v>1463</v>
      </c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72" t="s">
        <v>1464</v>
      </c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72" t="s">
        <v>1465</v>
      </c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72" t="s">
        <v>1466</v>
      </c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72" t="s">
        <v>1467</v>
      </c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72" t="s">
        <v>1468</v>
      </c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72" t="s">
        <v>1469</v>
      </c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72" t="s">
        <v>1470</v>
      </c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72" t="s">
        <v>1471</v>
      </c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72" t="s">
        <v>1472</v>
      </c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72" t="s">
        <v>1473</v>
      </c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72" t="s">
        <v>1474</v>
      </c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72" t="s">
        <v>1475</v>
      </c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72" t="s">
        <v>1476</v>
      </c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72" t="s">
        <v>1477</v>
      </c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72" t="s">
        <v>1478</v>
      </c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72" t="s">
        <v>1479</v>
      </c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72" t="s">
        <v>1480</v>
      </c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72" t="s">
        <v>1481</v>
      </c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72" t="s">
        <v>1482</v>
      </c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72" t="s">
        <v>1483</v>
      </c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72" t="s">
        <v>1484</v>
      </c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72" t="s">
        <v>1485</v>
      </c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72" t="s">
        <v>1486</v>
      </c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72" t="s">
        <v>1487</v>
      </c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72" t="s">
        <v>1488</v>
      </c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72" t="s">
        <v>1489</v>
      </c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72" t="s">
        <v>1490</v>
      </c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72" t="s">
        <v>1491</v>
      </c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72" t="s">
        <v>1492</v>
      </c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72" t="s">
        <v>1493</v>
      </c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72" t="s">
        <v>1494</v>
      </c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72" t="s">
        <v>1495</v>
      </c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72" t="s">
        <v>1496</v>
      </c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72" t="s">
        <v>1497</v>
      </c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72" t="s">
        <v>1498</v>
      </c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72" t="s">
        <v>1499</v>
      </c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72" t="s">
        <v>1500</v>
      </c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72" t="s">
        <v>1501</v>
      </c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72" t="s">
        <v>1502</v>
      </c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72" t="s">
        <v>1503</v>
      </c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72" t="s">
        <v>1504</v>
      </c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72" t="s">
        <v>1505</v>
      </c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72" t="s">
        <v>1506</v>
      </c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72" t="s">
        <v>1507</v>
      </c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72" t="s">
        <v>1508</v>
      </c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72" t="s">
        <v>1509</v>
      </c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72" t="s">
        <v>1510</v>
      </c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72" t="s">
        <v>1511</v>
      </c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72" t="s">
        <v>1512</v>
      </c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72" t="s">
        <v>1513</v>
      </c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72" t="s">
        <v>1514</v>
      </c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72" t="s">
        <v>1515</v>
      </c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72" t="s">
        <v>1516</v>
      </c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72" t="s">
        <v>1517</v>
      </c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72" t="s">
        <v>1518</v>
      </c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72" t="s">
        <v>1519</v>
      </c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72" t="s">
        <v>1520</v>
      </c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72" t="s">
        <v>1521</v>
      </c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72" t="s">
        <v>1522</v>
      </c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72" t="s">
        <v>1523</v>
      </c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72" t="s">
        <v>1524</v>
      </c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72" t="s">
        <v>1525</v>
      </c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72" t="s">
        <v>1526</v>
      </c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72" t="s">
        <v>1527</v>
      </c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72" t="s">
        <v>1528</v>
      </c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72" t="s">
        <v>1529</v>
      </c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72" t="s">
        <v>1530</v>
      </c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72" t="s">
        <v>1531</v>
      </c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72" t="s">
        <v>1532</v>
      </c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72" t="s">
        <v>1533</v>
      </c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72" t="s">
        <v>786</v>
      </c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72" t="s">
        <v>1534</v>
      </c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72" t="s">
        <v>1535</v>
      </c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72" t="s">
        <v>1536</v>
      </c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72" t="s">
        <v>1537</v>
      </c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72" t="s">
        <v>1538</v>
      </c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72" t="s">
        <v>1539</v>
      </c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72" t="s">
        <v>235</v>
      </c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72" t="s">
        <v>1540</v>
      </c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72" t="s">
        <v>1541</v>
      </c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72" t="s">
        <v>1542</v>
      </c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72" t="s">
        <v>1543</v>
      </c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72" t="s">
        <v>1544</v>
      </c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72" t="s">
        <v>1545</v>
      </c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72" t="s">
        <v>1546</v>
      </c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72" t="s">
        <v>1547</v>
      </c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72" t="s">
        <v>1548</v>
      </c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72" t="s">
        <v>1549</v>
      </c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72" t="s">
        <v>1550</v>
      </c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72" t="s">
        <v>1551</v>
      </c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72" t="s">
        <v>1552</v>
      </c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72" t="s">
        <v>1553</v>
      </c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72" t="s">
        <v>1554</v>
      </c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72" t="s">
        <v>1555</v>
      </c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72" t="s">
        <v>1556</v>
      </c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72" t="s">
        <v>1557</v>
      </c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72" t="s">
        <v>1558</v>
      </c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72" t="s">
        <v>1559</v>
      </c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72" t="s">
        <v>1560</v>
      </c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72" t="s">
        <v>633</v>
      </c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72" t="s">
        <v>1279</v>
      </c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72" t="s">
        <v>1561</v>
      </c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72" t="s">
        <v>1562</v>
      </c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72" t="s">
        <v>1563</v>
      </c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72" t="s">
        <v>1564</v>
      </c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72" t="s">
        <v>1565</v>
      </c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72" t="s">
        <v>1566</v>
      </c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72" t="s">
        <v>1567</v>
      </c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72" t="s">
        <v>1568</v>
      </c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72" t="s">
        <v>1281</v>
      </c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72" t="s">
        <v>1569</v>
      </c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72" t="s">
        <v>741</v>
      </c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72" t="s">
        <v>1570</v>
      </c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72" t="s">
        <v>1571</v>
      </c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72" t="s">
        <v>1572</v>
      </c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72" t="s">
        <v>1573</v>
      </c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72" t="s">
        <v>1574</v>
      </c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72" t="s">
        <v>1575</v>
      </c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72" t="s">
        <v>1576</v>
      </c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72" t="s">
        <v>1577</v>
      </c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72" t="s">
        <v>1578</v>
      </c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72" t="s">
        <v>1579</v>
      </c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72" t="s">
        <v>1580</v>
      </c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72" t="s">
        <v>1581</v>
      </c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72" t="s">
        <v>1582</v>
      </c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72" t="s">
        <v>1583</v>
      </c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72" t="s">
        <v>494</v>
      </c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72" t="s">
        <v>556</v>
      </c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72" t="s">
        <v>1584</v>
      </c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72" t="s">
        <v>1585</v>
      </c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72" t="s">
        <v>1586</v>
      </c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72" t="s">
        <v>160</v>
      </c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72" t="s">
        <v>1587</v>
      </c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72" t="s">
        <v>1588</v>
      </c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72" t="s">
        <v>1589</v>
      </c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72" t="s">
        <v>1590</v>
      </c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72" t="s">
        <v>1591</v>
      </c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72" t="s">
        <v>1592</v>
      </c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72" t="s">
        <v>1593</v>
      </c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72" t="s">
        <v>1594</v>
      </c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72" t="s">
        <v>1595</v>
      </c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72" t="s">
        <v>1596</v>
      </c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72" t="s">
        <v>1597</v>
      </c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72" t="s">
        <v>1598</v>
      </c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72" t="s">
        <v>1599</v>
      </c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72" t="s">
        <v>1600</v>
      </c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72" t="s">
        <v>1601</v>
      </c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72" t="s">
        <v>1602</v>
      </c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72" t="s">
        <v>1603</v>
      </c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72" t="s">
        <v>1604</v>
      </c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72" t="s">
        <v>1605</v>
      </c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72" t="s">
        <v>1606</v>
      </c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72" t="s">
        <v>1607</v>
      </c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72" t="s">
        <v>1608</v>
      </c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72" t="s">
        <v>1609</v>
      </c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72" t="s">
        <v>1610</v>
      </c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72" t="s">
        <v>1611</v>
      </c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72" t="s">
        <v>1612</v>
      </c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72" t="s">
        <v>1613</v>
      </c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72" t="s">
        <v>1614</v>
      </c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72" t="s">
        <v>1615</v>
      </c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72" t="s">
        <v>1616</v>
      </c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72" t="s">
        <v>70</v>
      </c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72" t="s">
        <v>1617</v>
      </c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72" t="s">
        <v>1618</v>
      </c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72" t="s">
        <v>1619</v>
      </c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72" t="s">
        <v>1620</v>
      </c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72" t="s">
        <v>1621</v>
      </c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72" t="s">
        <v>1622</v>
      </c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72" t="s">
        <v>1623</v>
      </c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72" t="s">
        <v>1624</v>
      </c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72" t="s">
        <v>1625</v>
      </c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72" t="s">
        <v>1626</v>
      </c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72" t="s">
        <v>1627</v>
      </c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72" t="s">
        <v>1628</v>
      </c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72" t="s">
        <v>1629</v>
      </c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72" t="s">
        <v>1630</v>
      </c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72" t="s">
        <v>1631</v>
      </c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72" t="s">
        <v>1632</v>
      </c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72" t="s">
        <v>1633</v>
      </c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72" t="s">
        <v>1634</v>
      </c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72" t="s">
        <v>1635</v>
      </c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72" t="s">
        <v>1636</v>
      </c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72" t="s">
        <v>1636</v>
      </c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72" t="s">
        <v>1637</v>
      </c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72" t="s">
        <v>1638</v>
      </c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72" t="s">
        <v>1639</v>
      </c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72" t="s">
        <v>1640</v>
      </c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72" t="s">
        <v>1641</v>
      </c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72" t="s">
        <v>1642</v>
      </c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72" t="s">
        <v>1643</v>
      </c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72" t="s">
        <v>1644</v>
      </c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72" t="s">
        <v>1645</v>
      </c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72" t="s">
        <v>1646</v>
      </c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72" t="s">
        <v>1647</v>
      </c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72" t="s">
        <v>1648</v>
      </c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72" t="s">
        <v>1649</v>
      </c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72" t="s">
        <v>562</v>
      </c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72" t="s">
        <v>1650</v>
      </c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72" t="s">
        <v>1651</v>
      </c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72" t="s">
        <v>1652</v>
      </c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72" t="s">
        <v>1653</v>
      </c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72" t="s">
        <v>1654</v>
      </c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72" t="s">
        <v>1655</v>
      </c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72" t="s">
        <v>1656</v>
      </c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72" t="s">
        <v>1657</v>
      </c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72" t="s">
        <v>1658</v>
      </c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72" t="s">
        <v>1659</v>
      </c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72" t="s">
        <v>1660</v>
      </c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72" t="s">
        <v>1661</v>
      </c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72" t="s">
        <v>1662</v>
      </c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72" t="s">
        <v>1663</v>
      </c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72" t="s">
        <v>1664</v>
      </c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72" t="s">
        <v>1665</v>
      </c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72" t="s">
        <v>1666</v>
      </c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72" t="s">
        <v>1667</v>
      </c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72" t="s">
        <v>1668</v>
      </c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72" t="s">
        <v>1669</v>
      </c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72" t="s">
        <v>1670</v>
      </c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72" t="s">
        <v>1671</v>
      </c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72" t="s">
        <v>1672</v>
      </c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72" t="s">
        <v>1673</v>
      </c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72" t="s">
        <v>1674</v>
      </c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72" t="s">
        <v>1675</v>
      </c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72" t="s">
        <v>1676</v>
      </c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72" t="s">
        <v>1677</v>
      </c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72" t="s">
        <v>1678</v>
      </c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72" t="s">
        <v>1679</v>
      </c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72" t="s">
        <v>1680</v>
      </c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72" t="s">
        <v>1681</v>
      </c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72" t="s">
        <v>1682</v>
      </c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72" t="s">
        <v>1683</v>
      </c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72" t="s">
        <v>1684</v>
      </c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72" t="s">
        <v>1685</v>
      </c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72" t="s">
        <v>1686</v>
      </c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72" t="s">
        <v>1687</v>
      </c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72" t="s">
        <v>1688</v>
      </c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72" t="s">
        <v>1689</v>
      </c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72" t="s">
        <v>1690</v>
      </c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72" t="s">
        <v>1691</v>
      </c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72" t="s">
        <v>1692</v>
      </c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72" t="s">
        <v>1693</v>
      </c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72" t="s">
        <v>1694</v>
      </c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72" t="s">
        <v>1695</v>
      </c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72" t="s">
        <v>1696</v>
      </c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72" t="s">
        <v>1697</v>
      </c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72" t="s">
        <v>1698</v>
      </c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72" t="s">
        <v>1699</v>
      </c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72" t="s">
        <v>1700</v>
      </c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72" t="s">
        <v>1701</v>
      </c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72" t="s">
        <v>1702</v>
      </c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72" t="s">
        <v>1703</v>
      </c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72" t="s">
        <v>1704</v>
      </c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72" t="s">
        <v>1705</v>
      </c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72" t="s">
        <v>1706</v>
      </c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72" t="s">
        <v>1707</v>
      </c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72" t="s">
        <v>1708</v>
      </c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72" t="s">
        <v>1709</v>
      </c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72" t="s">
        <v>1710</v>
      </c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72" t="s">
        <v>1711</v>
      </c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72" t="s">
        <v>1712</v>
      </c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72" t="s">
        <v>1713</v>
      </c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72" t="s">
        <v>773</v>
      </c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72" t="s">
        <v>1714</v>
      </c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72" t="s">
        <v>1715</v>
      </c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72" t="s">
        <v>1716</v>
      </c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72" t="s">
        <v>1717</v>
      </c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72" t="s">
        <v>1718</v>
      </c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72" t="s">
        <v>1719</v>
      </c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72" t="s">
        <v>1720</v>
      </c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72" t="s">
        <v>1721</v>
      </c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72" t="s">
        <v>1722</v>
      </c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72" t="s">
        <v>1723</v>
      </c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72" t="s">
        <v>1724</v>
      </c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72" t="s">
        <v>1725</v>
      </c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72" t="s">
        <v>1726</v>
      </c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72" t="s">
        <v>1727</v>
      </c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72" t="s">
        <v>1728</v>
      </c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72" t="s">
        <v>1729</v>
      </c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72" t="s">
        <v>1730</v>
      </c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72" t="s">
        <v>1731</v>
      </c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72" t="s">
        <v>1732</v>
      </c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72" t="s">
        <v>1733</v>
      </c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72" t="s">
        <v>1734</v>
      </c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72" t="s">
        <v>1735</v>
      </c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72" t="s">
        <v>1736</v>
      </c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72" t="s">
        <v>1737</v>
      </c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72" t="s">
        <v>1738</v>
      </c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72" t="s">
        <v>1739</v>
      </c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72" t="s">
        <v>1740</v>
      </c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72" t="s">
        <v>1741</v>
      </c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72" t="s">
        <v>1742</v>
      </c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72" t="s">
        <v>1743</v>
      </c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72" t="s">
        <v>1744</v>
      </c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72" t="s">
        <v>1745</v>
      </c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72" t="s">
        <v>1746</v>
      </c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72" t="s">
        <v>1747</v>
      </c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72" t="s">
        <v>1748</v>
      </c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72" t="s">
        <v>1749</v>
      </c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72" t="s">
        <v>1750</v>
      </c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72" t="s">
        <v>1751</v>
      </c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72" t="s">
        <v>1752</v>
      </c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72" t="s">
        <v>1753</v>
      </c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72" t="s">
        <v>1754</v>
      </c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72" t="s">
        <v>1755</v>
      </c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72" t="s">
        <v>1756</v>
      </c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72" t="s">
        <v>1757</v>
      </c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72" t="s">
        <v>1758</v>
      </c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72" t="s">
        <v>1759</v>
      </c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72" t="s">
        <v>1760</v>
      </c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72" t="s">
        <v>1761</v>
      </c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72" t="s">
        <v>1762</v>
      </c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72" t="s">
        <v>1763</v>
      </c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72" t="s">
        <v>1764</v>
      </c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72" t="s">
        <v>394</v>
      </c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72" t="s">
        <v>1765</v>
      </c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72" t="s">
        <v>1766</v>
      </c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72" t="s">
        <v>1767</v>
      </c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72" t="s">
        <v>1768</v>
      </c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72" t="s">
        <v>1769</v>
      </c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72" t="s">
        <v>1770</v>
      </c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72" t="s">
        <v>1771</v>
      </c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72" t="s">
        <v>1772</v>
      </c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72" t="s">
        <v>1773</v>
      </c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72" t="s">
        <v>1774</v>
      </c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72" t="s">
        <v>1775</v>
      </c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72" t="s">
        <v>1776</v>
      </c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72" t="s">
        <v>1777</v>
      </c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72" t="s">
        <v>1778</v>
      </c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72" t="s">
        <v>1779</v>
      </c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72" t="s">
        <v>1780</v>
      </c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72" t="s">
        <v>1781</v>
      </c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72" t="s">
        <v>1782</v>
      </c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72" t="s">
        <v>1783</v>
      </c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72" t="s">
        <v>1784</v>
      </c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72" t="s">
        <v>1785</v>
      </c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72" t="s">
        <v>1786</v>
      </c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72" t="s">
        <v>1787</v>
      </c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72" t="s">
        <v>1788</v>
      </c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72" t="s">
        <v>1789</v>
      </c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72" t="s">
        <v>1289</v>
      </c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72" t="s">
        <v>1790</v>
      </c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72" t="s">
        <v>1791</v>
      </c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72" t="s">
        <v>1792</v>
      </c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72" t="s">
        <v>1793</v>
      </c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72" t="s">
        <v>245</v>
      </c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72" t="s">
        <v>1047</v>
      </c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72" t="s">
        <v>1047</v>
      </c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72" t="s">
        <v>1794</v>
      </c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72" t="s">
        <v>1795</v>
      </c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72" t="s">
        <v>1796</v>
      </c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72" t="s">
        <v>1797</v>
      </c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72" t="s">
        <v>1798</v>
      </c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72" t="s">
        <v>1799</v>
      </c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72" t="s">
        <v>1800</v>
      </c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72" t="s">
        <v>1801</v>
      </c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72" t="s">
        <v>1802</v>
      </c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72" t="s">
        <v>1803</v>
      </c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72" t="s">
        <v>1804</v>
      </c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72" t="s">
        <v>1805</v>
      </c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72" t="s">
        <v>828</v>
      </c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72" t="s">
        <v>1806</v>
      </c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72" t="s">
        <v>1807</v>
      </c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72" t="s">
        <v>1808</v>
      </c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72" t="s">
        <v>1809</v>
      </c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72" t="s">
        <v>1810</v>
      </c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72" t="s">
        <v>1811</v>
      </c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72" t="s">
        <v>1812</v>
      </c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72" t="s">
        <v>1813</v>
      </c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72" t="s">
        <v>1814</v>
      </c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72" t="s">
        <v>1815</v>
      </c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72" t="s">
        <v>1816</v>
      </c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72" t="s">
        <v>1817</v>
      </c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72" t="s">
        <v>1818</v>
      </c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72" t="s">
        <v>1819</v>
      </c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72" t="s">
        <v>1819</v>
      </c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72" t="s">
        <v>1820</v>
      </c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72" t="s">
        <v>1821</v>
      </c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72" t="s">
        <v>1822</v>
      </c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72" t="s">
        <v>1823</v>
      </c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72" t="s">
        <v>1824</v>
      </c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72" t="s">
        <v>1825</v>
      </c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72" t="s">
        <v>1826</v>
      </c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72" t="s">
        <v>1827</v>
      </c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72" t="s">
        <v>1828</v>
      </c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72" t="s">
        <v>1829</v>
      </c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72" t="s">
        <v>1830</v>
      </c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72" t="s">
        <v>1831</v>
      </c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72" t="s">
        <v>1832</v>
      </c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72" t="s">
        <v>1833</v>
      </c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72" t="s">
        <v>1834</v>
      </c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72" t="s">
        <v>1835</v>
      </c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72" t="s">
        <v>1836</v>
      </c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72" t="s">
        <v>1837</v>
      </c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72" t="s">
        <v>1838</v>
      </c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72" t="s">
        <v>1839</v>
      </c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72" t="s">
        <v>1840</v>
      </c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72" t="s">
        <v>298</v>
      </c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72" t="s">
        <v>1841</v>
      </c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72" t="s">
        <v>1842</v>
      </c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72" t="s">
        <v>1843</v>
      </c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72" t="s">
        <v>1844</v>
      </c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72" t="s">
        <v>1845</v>
      </c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72" t="s">
        <v>1846</v>
      </c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72" t="s">
        <v>1847</v>
      </c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72" t="s">
        <v>1848</v>
      </c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72" t="s">
        <v>1849</v>
      </c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72" t="s">
        <v>1850</v>
      </c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72" t="s">
        <v>1851</v>
      </c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72" t="s">
        <v>1852</v>
      </c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72" t="s">
        <v>1853</v>
      </c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72" t="s">
        <v>1854</v>
      </c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72" t="s">
        <v>1855</v>
      </c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72" t="s">
        <v>1856</v>
      </c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72" t="s">
        <v>1857</v>
      </c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72" t="s">
        <v>356</v>
      </c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72" t="s">
        <v>1858</v>
      </c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72" t="s">
        <v>1859</v>
      </c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72" t="s">
        <v>176</v>
      </c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72" t="s">
        <v>1860</v>
      </c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72" t="s">
        <v>1861</v>
      </c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72" t="s">
        <v>1862</v>
      </c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72" t="s">
        <v>1863</v>
      </c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72" t="s">
        <v>732</v>
      </c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72" t="s">
        <v>1864</v>
      </c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72" t="s">
        <v>1865</v>
      </c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72" t="s">
        <v>1866</v>
      </c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72" t="s">
        <v>1867</v>
      </c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72" t="s">
        <v>1868</v>
      </c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72" t="s">
        <v>1869</v>
      </c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72" t="s">
        <v>1870</v>
      </c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72" t="s">
        <v>1871</v>
      </c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72" t="s">
        <v>1872</v>
      </c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72" t="s">
        <v>1873</v>
      </c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72" t="s">
        <v>1874</v>
      </c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72" t="s">
        <v>1875</v>
      </c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72" t="s">
        <v>1876</v>
      </c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72" t="s">
        <v>1877</v>
      </c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72" t="s">
        <v>1878</v>
      </c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72" t="s">
        <v>1879</v>
      </c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72" t="s">
        <v>1880</v>
      </c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72" t="s">
        <v>1881</v>
      </c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72" t="s">
        <v>1882</v>
      </c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72" t="s">
        <v>1883</v>
      </c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72" t="s">
        <v>1884</v>
      </c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72" t="s">
        <v>1885</v>
      </c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72" t="s">
        <v>1886</v>
      </c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72" t="s">
        <v>1887</v>
      </c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72" t="s">
        <v>1888</v>
      </c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72" t="s">
        <v>1889</v>
      </c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72" t="s">
        <v>641</v>
      </c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72" t="s">
        <v>210</v>
      </c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72" t="s">
        <v>1890</v>
      </c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72" t="s">
        <v>513</v>
      </c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72" t="s">
        <v>1891</v>
      </c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72" t="s">
        <v>1892</v>
      </c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72" t="s">
        <v>1893</v>
      </c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72" t="s">
        <v>1894</v>
      </c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72" t="s">
        <v>1895</v>
      </c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72" t="s">
        <v>363</v>
      </c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72" t="s">
        <v>1896</v>
      </c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72" t="s">
        <v>1897</v>
      </c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72" t="s">
        <v>1898</v>
      </c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72" t="s">
        <v>1899</v>
      </c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72" t="s">
        <v>1900</v>
      </c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72" t="s">
        <v>1901</v>
      </c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72" t="s">
        <v>1902</v>
      </c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72" t="s">
        <v>299</v>
      </c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72" t="s">
        <v>1903</v>
      </c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72" t="s">
        <v>1904</v>
      </c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72" t="s">
        <v>1905</v>
      </c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72" t="s">
        <v>1906</v>
      </c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72" t="s">
        <v>1907</v>
      </c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72" t="s">
        <v>1908</v>
      </c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72" t="s">
        <v>1909</v>
      </c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72" t="s">
        <v>1910</v>
      </c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72" t="s">
        <v>1911</v>
      </c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72" t="s">
        <v>1912</v>
      </c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72" t="s">
        <v>1913</v>
      </c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72" t="s">
        <v>1914</v>
      </c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72" t="s">
        <v>1915</v>
      </c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72" t="s">
        <v>1916</v>
      </c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72" t="s">
        <v>1917</v>
      </c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72" t="s">
        <v>1918</v>
      </c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72" t="s">
        <v>1919</v>
      </c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72" t="s">
        <v>1920</v>
      </c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72" t="s">
        <v>306</v>
      </c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72" t="s">
        <v>1921</v>
      </c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72" t="s">
        <v>1922</v>
      </c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72" t="s">
        <v>1923</v>
      </c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72" t="s">
        <v>1924</v>
      </c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72" t="s">
        <v>1925</v>
      </c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72" t="s">
        <v>1926</v>
      </c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72" t="s">
        <v>1927</v>
      </c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72" t="s">
        <v>1928</v>
      </c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72" t="s">
        <v>581</v>
      </c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72" t="s">
        <v>1929</v>
      </c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72" t="s">
        <v>1930</v>
      </c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72" t="s">
        <v>1931</v>
      </c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72" t="s">
        <v>1932</v>
      </c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72" t="s">
        <v>1933</v>
      </c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72" t="s">
        <v>1934</v>
      </c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72" t="s">
        <v>1935</v>
      </c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72" t="s">
        <v>1936</v>
      </c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72" t="s">
        <v>1937</v>
      </c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72" t="s">
        <v>1938</v>
      </c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72" t="s">
        <v>1939</v>
      </c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72" t="s">
        <v>1940</v>
      </c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72" t="s">
        <v>267</v>
      </c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72" t="s">
        <v>1941</v>
      </c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72" t="s">
        <v>1942</v>
      </c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72" t="s">
        <v>821</v>
      </c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72" t="s">
        <v>370</v>
      </c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72" t="s">
        <v>1943</v>
      </c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72" t="s">
        <v>1944</v>
      </c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72" t="s">
        <v>1945</v>
      </c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72" t="s">
        <v>1946</v>
      </c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72" t="s">
        <v>1947</v>
      </c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72" t="s">
        <v>1948</v>
      </c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72" t="s">
        <v>1949</v>
      </c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72" t="s">
        <v>1950</v>
      </c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72" t="s">
        <v>1951</v>
      </c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72" t="s">
        <v>1952</v>
      </c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72" t="s">
        <v>1953</v>
      </c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72" t="s">
        <v>1954</v>
      </c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72" t="s">
        <v>1955</v>
      </c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72" t="s">
        <v>854</v>
      </c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72" t="s">
        <v>1956</v>
      </c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72" t="s">
        <v>283</v>
      </c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72" t="s">
        <v>1957</v>
      </c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72" t="s">
        <v>1958</v>
      </c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72" t="s">
        <v>1959</v>
      </c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72" t="s">
        <v>879</v>
      </c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72" t="s">
        <v>1960</v>
      </c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72" t="s">
        <v>1961</v>
      </c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72" t="s">
        <v>1962</v>
      </c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72" t="s">
        <v>1963</v>
      </c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72" t="s">
        <v>1964</v>
      </c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72" t="s">
        <v>1965</v>
      </c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72" t="s">
        <v>1966</v>
      </c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72" t="s">
        <v>1967</v>
      </c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72" t="s">
        <v>1968</v>
      </c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72" t="s">
        <v>1969</v>
      </c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72" t="s">
        <v>1970</v>
      </c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72" t="s">
        <v>1971</v>
      </c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72" t="s">
        <v>1972</v>
      </c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72" t="s">
        <v>1973</v>
      </c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72" t="s">
        <v>1974</v>
      </c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72" t="s">
        <v>1975</v>
      </c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72" t="s">
        <v>1976</v>
      </c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72" t="s">
        <v>1977</v>
      </c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72" t="s">
        <v>1978</v>
      </c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72" t="s">
        <v>1979</v>
      </c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72" t="s">
        <v>1980</v>
      </c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72" t="s">
        <v>1981</v>
      </c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72" t="s">
        <v>928</v>
      </c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72" t="s">
        <v>1982</v>
      </c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72" t="s">
        <v>1983</v>
      </c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72" t="s">
        <v>1984</v>
      </c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72" t="s">
        <v>1985</v>
      </c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72" t="s">
        <v>1986</v>
      </c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72" t="s">
        <v>1987</v>
      </c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72" t="s">
        <v>1988</v>
      </c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72" t="s">
        <v>1989</v>
      </c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72" t="s">
        <v>1990</v>
      </c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72" t="s">
        <v>1991</v>
      </c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72" t="s">
        <v>1992</v>
      </c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72" t="s">
        <v>1993</v>
      </c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72" t="s">
        <v>1994</v>
      </c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72" t="s">
        <v>1995</v>
      </c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72" t="s">
        <v>1996</v>
      </c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72" t="s">
        <v>521</v>
      </c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72" t="s">
        <v>1997</v>
      </c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72" t="s">
        <v>1998</v>
      </c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72" t="s">
        <v>1999</v>
      </c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72" t="s">
        <v>2000</v>
      </c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72" t="s">
        <v>2001</v>
      </c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72" t="s">
        <v>2002</v>
      </c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72" t="s">
        <v>2003</v>
      </c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72" t="s">
        <v>2004</v>
      </c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72" t="s">
        <v>2005</v>
      </c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72" t="s">
        <v>2006</v>
      </c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72" t="s">
        <v>2007</v>
      </c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72" t="s">
        <v>2008</v>
      </c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72" t="s">
        <v>2009</v>
      </c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72" t="s">
        <v>2010</v>
      </c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72" t="s">
        <v>2011</v>
      </c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72" t="s">
        <v>2012</v>
      </c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72" t="s">
        <v>2013</v>
      </c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72" t="s">
        <v>2014</v>
      </c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72" t="s">
        <v>2015</v>
      </c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72" t="s">
        <v>2016</v>
      </c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72" t="s">
        <v>2017</v>
      </c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72" t="s">
        <v>2018</v>
      </c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72" t="s">
        <v>2019</v>
      </c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72" t="s">
        <v>2020</v>
      </c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72" t="s">
        <v>2021</v>
      </c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72" t="s">
        <v>2022</v>
      </c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72" t="s">
        <v>2023</v>
      </c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72" t="s">
        <v>2024</v>
      </c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72" t="s">
        <v>2025</v>
      </c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72" t="s">
        <v>2026</v>
      </c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72" t="s">
        <v>412</v>
      </c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72" t="s">
        <v>2027</v>
      </c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72" t="s">
        <v>2028</v>
      </c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72" t="s">
        <v>2029</v>
      </c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72" t="s">
        <v>2030</v>
      </c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72" t="s">
        <v>2031</v>
      </c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72" t="s">
        <v>2032</v>
      </c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72" t="s">
        <v>2033</v>
      </c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72" t="s">
        <v>2034</v>
      </c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72" t="s">
        <v>2035</v>
      </c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72" t="s">
        <v>2036</v>
      </c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72" t="s">
        <v>2037</v>
      </c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72" t="s">
        <v>2038</v>
      </c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72" t="s">
        <v>935</v>
      </c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72" t="s">
        <v>2039</v>
      </c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72" t="s">
        <v>2040</v>
      </c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72" t="s">
        <v>2041</v>
      </c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72" t="s">
        <v>2042</v>
      </c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72" t="s">
        <v>2043</v>
      </c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72" t="s">
        <v>477</v>
      </c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72" t="s">
        <v>764</v>
      </c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72" t="s">
        <v>2044</v>
      </c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72" t="s">
        <v>2045</v>
      </c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72" t="s">
        <v>2046</v>
      </c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72" t="s">
        <v>2047</v>
      </c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72" t="s">
        <v>2048</v>
      </c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72" t="s">
        <v>2049</v>
      </c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72" t="s">
        <v>2050</v>
      </c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72" t="s">
        <v>2051</v>
      </c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72" t="s">
        <v>2052</v>
      </c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72" t="s">
        <v>2053</v>
      </c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72" t="s">
        <v>2054</v>
      </c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72" t="s">
        <v>2055</v>
      </c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72" t="s">
        <v>2056</v>
      </c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72" t="s">
        <v>2057</v>
      </c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72" t="s">
        <v>2058</v>
      </c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72" t="s">
        <v>2059</v>
      </c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72" t="s">
        <v>485</v>
      </c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72" t="s">
        <v>2060</v>
      </c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72" t="s">
        <v>2061</v>
      </c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72" t="s">
        <v>2062</v>
      </c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72" t="s">
        <v>2063</v>
      </c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72" t="s">
        <v>2064</v>
      </c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72" t="s">
        <v>2065</v>
      </c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72" t="s">
        <v>2066</v>
      </c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72" t="s">
        <v>2067</v>
      </c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72" t="s">
        <v>2068</v>
      </c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72" t="s">
        <v>2069</v>
      </c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72" t="s">
        <v>2070</v>
      </c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72" t="s">
        <v>2071</v>
      </c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72" t="s">
        <v>2072</v>
      </c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72" t="s">
        <v>2073</v>
      </c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72" t="s">
        <v>707</v>
      </c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72" t="s">
        <v>2074</v>
      </c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72" t="s">
        <v>2075</v>
      </c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72" t="s">
        <v>2076</v>
      </c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72" t="s">
        <v>2077</v>
      </c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72" t="s">
        <v>291</v>
      </c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72" t="s">
        <v>2078</v>
      </c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72" t="s">
        <v>313</v>
      </c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72" t="s">
        <v>2079</v>
      </c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72" t="s">
        <v>2080</v>
      </c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72" t="s">
        <v>2081</v>
      </c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72" t="s">
        <v>453</v>
      </c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72" t="s">
        <v>2082</v>
      </c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72" t="s">
        <v>377</v>
      </c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72" t="s">
        <v>2083</v>
      </c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72" t="s">
        <v>2084</v>
      </c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72" t="s">
        <v>2085</v>
      </c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72" t="s">
        <v>2086</v>
      </c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72" t="s">
        <v>2087</v>
      </c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72" t="s">
        <v>2088</v>
      </c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72" t="s">
        <v>2089</v>
      </c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72" t="s">
        <v>2090</v>
      </c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72" t="s">
        <v>2091</v>
      </c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72" t="s">
        <v>2092</v>
      </c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72" t="s">
        <v>2093</v>
      </c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72" t="s">
        <v>2094</v>
      </c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72" t="s">
        <v>2095</v>
      </c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72" t="s">
        <v>2096</v>
      </c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72" t="s">
        <v>2097</v>
      </c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72" t="s">
        <v>2098</v>
      </c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72" t="s">
        <v>2099</v>
      </c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72" t="s">
        <v>2100</v>
      </c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72" t="s">
        <v>2101</v>
      </c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72" t="s">
        <v>2102</v>
      </c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72" t="s">
        <v>2103</v>
      </c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72" t="s">
        <v>2104</v>
      </c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72" t="s">
        <v>2105</v>
      </c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72" t="s">
        <v>2106</v>
      </c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72" t="s">
        <v>2107</v>
      </c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72" t="s">
        <v>2108</v>
      </c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72" t="s">
        <v>2109</v>
      </c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72" t="s">
        <v>2110</v>
      </c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72" t="s">
        <v>2111</v>
      </c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72" t="s">
        <v>2112</v>
      </c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72" t="s">
        <v>2113</v>
      </c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72" t="s">
        <v>2114</v>
      </c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72" t="s">
        <v>2115</v>
      </c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72" t="s">
        <v>2116</v>
      </c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72" t="s">
        <v>2117</v>
      </c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72" t="s">
        <v>2118</v>
      </c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72" t="s">
        <v>2119</v>
      </c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72" t="s">
        <v>2120</v>
      </c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72" t="s">
        <v>2121</v>
      </c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72" t="s">
        <v>2122</v>
      </c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72" t="s">
        <v>2123</v>
      </c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72" t="s">
        <v>2124</v>
      </c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72" t="s">
        <v>2125</v>
      </c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72" t="s">
        <v>648</v>
      </c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72" t="s">
        <v>434</v>
      </c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72" t="s">
        <v>2126</v>
      </c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>
      <c r="A1001" s="64"/>
      <c r="B1001" s="64"/>
      <c r="C1001" s="64"/>
      <c r="D1001" s="72" t="s">
        <v>2127</v>
      </c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  <row r="1002">
      <c r="A1002" s="64"/>
      <c r="B1002" s="64"/>
      <c r="C1002" s="64"/>
      <c r="D1002" s="72" t="s">
        <v>2128</v>
      </c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</row>
    <row r="1003">
      <c r="A1003" s="64"/>
      <c r="B1003" s="64"/>
      <c r="C1003" s="64"/>
      <c r="D1003" s="72" t="s">
        <v>77</v>
      </c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</row>
    <row r="1004">
      <c r="A1004" s="64"/>
      <c r="B1004" s="64"/>
      <c r="C1004" s="64"/>
      <c r="D1004" s="72" t="s">
        <v>2129</v>
      </c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</row>
    <row r="1005">
      <c r="A1005" s="64"/>
      <c r="B1005" s="64"/>
      <c r="C1005" s="64"/>
      <c r="D1005" s="72" t="s">
        <v>2130</v>
      </c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</row>
    <row r="1006">
      <c r="A1006" s="64"/>
      <c r="B1006" s="64"/>
      <c r="C1006" s="64"/>
      <c r="D1006" s="72" t="s">
        <v>2131</v>
      </c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</row>
    <row r="1007">
      <c r="A1007" s="64"/>
      <c r="B1007" s="64"/>
      <c r="C1007" s="64"/>
      <c r="D1007" s="72" t="s">
        <v>2132</v>
      </c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</row>
    <row r="1008">
      <c r="A1008" s="64"/>
      <c r="B1008" s="64"/>
      <c r="C1008" s="64"/>
      <c r="D1008" s="72" t="s">
        <v>2133</v>
      </c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</row>
    <row r="1009">
      <c r="A1009" s="64"/>
      <c r="B1009" s="64"/>
      <c r="C1009" s="64"/>
      <c r="D1009" s="72" t="s">
        <v>597</v>
      </c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</row>
    <row r="1010">
      <c r="A1010" s="64"/>
      <c r="B1010" s="64"/>
      <c r="C1010" s="64"/>
      <c r="D1010" s="72" t="s">
        <v>2134</v>
      </c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</row>
    <row r="1011">
      <c r="A1011" s="64"/>
      <c r="B1011" s="64"/>
      <c r="C1011" s="64"/>
      <c r="D1011" s="72" t="s">
        <v>2135</v>
      </c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</row>
    <row r="1012">
      <c r="A1012" s="64"/>
      <c r="B1012" s="64"/>
      <c r="C1012" s="64"/>
      <c r="D1012" s="72" t="s">
        <v>2136</v>
      </c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</row>
    <row r="1013">
      <c r="A1013" s="64"/>
      <c r="B1013" s="64"/>
      <c r="C1013" s="64"/>
      <c r="D1013" s="72" t="s">
        <v>2137</v>
      </c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</row>
    <row r="1014">
      <c r="A1014" s="64"/>
      <c r="B1014" s="64"/>
      <c r="C1014" s="64"/>
      <c r="D1014" s="72" t="s">
        <v>955</v>
      </c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</row>
    <row r="1015">
      <c r="A1015" s="64"/>
      <c r="B1015" s="64"/>
      <c r="C1015" s="64"/>
      <c r="D1015" s="72" t="s">
        <v>2138</v>
      </c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</row>
    <row r="1016">
      <c r="A1016" s="64"/>
      <c r="B1016" s="64"/>
      <c r="C1016" s="64"/>
      <c r="D1016" s="72" t="s">
        <v>2139</v>
      </c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</row>
    <row r="1017">
      <c r="A1017" s="64"/>
      <c r="B1017" s="64"/>
      <c r="C1017" s="64"/>
      <c r="D1017" s="72" t="s">
        <v>2140</v>
      </c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</row>
    <row r="1018">
      <c r="A1018" s="64"/>
      <c r="B1018" s="64"/>
      <c r="C1018" s="64"/>
      <c r="D1018" s="72" t="s">
        <v>2141</v>
      </c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</row>
    <row r="1019">
      <c r="A1019" s="64"/>
      <c r="B1019" s="64"/>
      <c r="C1019" s="64"/>
      <c r="D1019" s="72" t="s">
        <v>2142</v>
      </c>
      <c r="E1019" s="64"/>
      <c r="F1019" s="64"/>
      <c r="G1019" s="64"/>
      <c r="H1019" s="64"/>
      <c r="I1019" s="64"/>
      <c r="J1019" s="64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4"/>
    </row>
    <row r="1020">
      <c r="A1020" s="64"/>
      <c r="B1020" s="64"/>
      <c r="C1020" s="64"/>
      <c r="D1020" s="72" t="s">
        <v>2143</v>
      </c>
      <c r="E1020" s="64"/>
      <c r="F1020" s="64"/>
      <c r="G1020" s="64"/>
      <c r="H1020" s="64"/>
      <c r="I1020" s="64"/>
      <c r="J1020" s="64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</row>
    <row r="1021">
      <c r="A1021" s="64"/>
      <c r="B1021" s="64"/>
      <c r="C1021" s="64"/>
      <c r="D1021" s="72" t="s">
        <v>2144</v>
      </c>
      <c r="E1021" s="64"/>
      <c r="F1021" s="64"/>
      <c r="G1021" s="64"/>
      <c r="H1021" s="64"/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</row>
    <row r="1022">
      <c r="A1022" s="64"/>
      <c r="B1022" s="64"/>
      <c r="C1022" s="64"/>
      <c r="D1022" s="72" t="s">
        <v>2145</v>
      </c>
      <c r="E1022" s="64"/>
      <c r="F1022" s="64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</row>
    <row r="1023">
      <c r="A1023" s="64"/>
      <c r="B1023" s="64"/>
      <c r="C1023" s="64"/>
      <c r="D1023" s="72" t="s">
        <v>2146</v>
      </c>
      <c r="E1023" s="64"/>
      <c r="F1023" s="64"/>
      <c r="G1023" s="64"/>
      <c r="H1023" s="64"/>
      <c r="I1023" s="64"/>
      <c r="J1023" s="64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</row>
    <row r="1024">
      <c r="A1024" s="64"/>
      <c r="B1024" s="64"/>
      <c r="C1024" s="64"/>
      <c r="D1024" s="72" t="s">
        <v>2147</v>
      </c>
      <c r="E1024" s="64"/>
      <c r="F1024" s="64"/>
      <c r="G1024" s="64"/>
      <c r="H1024" s="64"/>
      <c r="I1024" s="64"/>
      <c r="J1024" s="64"/>
      <c r="K1024" s="64"/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64"/>
    </row>
    <row r="1025">
      <c r="A1025" s="64"/>
      <c r="B1025" s="64"/>
      <c r="C1025" s="64"/>
      <c r="D1025" s="72" t="s">
        <v>2148</v>
      </c>
      <c r="E1025" s="64"/>
      <c r="F1025" s="64"/>
      <c r="G1025" s="64"/>
      <c r="H1025" s="64"/>
      <c r="I1025" s="64"/>
      <c r="J1025" s="64"/>
      <c r="K1025" s="64"/>
      <c r="L1025" s="64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</row>
    <row r="1026">
      <c r="A1026" s="64"/>
      <c r="B1026" s="64"/>
      <c r="C1026" s="64"/>
      <c r="D1026" s="72" t="s">
        <v>2149</v>
      </c>
      <c r="E1026" s="64"/>
      <c r="F1026" s="64"/>
      <c r="G1026" s="64"/>
      <c r="H1026" s="64"/>
      <c r="I1026" s="64"/>
      <c r="J1026" s="64"/>
      <c r="K1026" s="64"/>
      <c r="L1026" s="64"/>
      <c r="M1026" s="64"/>
      <c r="N1026" s="64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</row>
    <row r="1027">
      <c r="A1027" s="64"/>
      <c r="B1027" s="64"/>
      <c r="C1027" s="64"/>
      <c r="D1027" s="72" t="s">
        <v>2150</v>
      </c>
      <c r="E1027" s="64"/>
      <c r="F1027" s="64"/>
      <c r="G1027" s="64"/>
      <c r="H1027" s="64"/>
      <c r="I1027" s="64"/>
      <c r="J1027" s="64"/>
      <c r="K1027" s="64"/>
      <c r="L1027" s="64"/>
      <c r="M1027" s="64"/>
      <c r="N1027" s="64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64"/>
    </row>
    <row r="1028">
      <c r="A1028" s="64"/>
      <c r="B1028" s="64"/>
      <c r="C1028" s="64"/>
      <c r="D1028" s="72" t="s">
        <v>2151</v>
      </c>
      <c r="E1028" s="64"/>
      <c r="F1028" s="64"/>
      <c r="G1028" s="64"/>
      <c r="H1028" s="64"/>
      <c r="I1028" s="64"/>
      <c r="J1028" s="64"/>
      <c r="K1028" s="64"/>
      <c r="L1028" s="64"/>
      <c r="M1028" s="64"/>
      <c r="N1028" s="64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64"/>
    </row>
    <row r="1029">
      <c r="A1029" s="64"/>
      <c r="B1029" s="64"/>
      <c r="C1029" s="64"/>
      <c r="D1029" s="72" t="s">
        <v>2152</v>
      </c>
      <c r="E1029" s="64"/>
      <c r="F1029" s="64"/>
      <c r="G1029" s="64"/>
      <c r="H1029" s="64"/>
      <c r="I1029" s="64"/>
      <c r="J1029" s="64"/>
      <c r="K1029" s="64"/>
      <c r="L1029" s="64"/>
      <c r="M1029" s="64"/>
      <c r="N1029" s="64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4"/>
      <c r="Z1029" s="64"/>
    </row>
    <row r="1030">
      <c r="A1030" s="64"/>
      <c r="B1030" s="64"/>
      <c r="C1030" s="64"/>
      <c r="D1030" s="72" t="s">
        <v>2153</v>
      </c>
      <c r="E1030" s="64"/>
      <c r="F1030" s="64"/>
      <c r="G1030" s="64"/>
      <c r="H1030" s="64"/>
      <c r="I1030" s="64"/>
      <c r="J1030" s="64"/>
      <c r="K1030" s="64"/>
      <c r="L1030" s="64"/>
      <c r="M1030" s="64"/>
      <c r="N1030" s="64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</row>
    <row r="1031">
      <c r="A1031" s="64"/>
      <c r="B1031" s="64"/>
      <c r="C1031" s="64"/>
      <c r="D1031" s="72" t="s">
        <v>2154</v>
      </c>
      <c r="E1031" s="64"/>
      <c r="F1031" s="64"/>
      <c r="G1031" s="64"/>
      <c r="H1031" s="64"/>
      <c r="I1031" s="64"/>
      <c r="J1031" s="64"/>
      <c r="K1031" s="64"/>
      <c r="L1031" s="64"/>
      <c r="M1031" s="64"/>
      <c r="N1031" s="64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4"/>
    </row>
    <row r="1032">
      <c r="A1032" s="64"/>
      <c r="B1032" s="64"/>
      <c r="C1032" s="64"/>
      <c r="D1032" s="72" t="s">
        <v>2155</v>
      </c>
      <c r="E1032" s="64"/>
      <c r="F1032" s="64"/>
      <c r="G1032" s="64"/>
      <c r="H1032" s="64"/>
      <c r="I1032" s="64"/>
      <c r="J1032" s="64"/>
      <c r="K1032" s="64"/>
      <c r="L1032" s="64"/>
      <c r="M1032" s="64"/>
      <c r="N1032" s="64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  <c r="Y1032" s="64"/>
      <c r="Z1032" s="64"/>
    </row>
    <row r="1033">
      <c r="A1033" s="64"/>
      <c r="B1033" s="64"/>
      <c r="C1033" s="64"/>
      <c r="D1033" s="72" t="s">
        <v>2156</v>
      </c>
      <c r="E1033" s="64"/>
      <c r="F1033" s="64"/>
      <c r="G1033" s="64"/>
      <c r="H1033" s="64"/>
      <c r="I1033" s="64"/>
      <c r="J1033" s="64"/>
      <c r="K1033" s="64"/>
      <c r="L1033" s="64"/>
      <c r="M1033" s="64"/>
      <c r="N1033" s="64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</row>
    <row r="1034">
      <c r="A1034" s="64"/>
      <c r="B1034" s="64"/>
      <c r="C1034" s="64"/>
      <c r="D1034" s="72" t="s">
        <v>2157</v>
      </c>
      <c r="E1034" s="64"/>
      <c r="F1034" s="64"/>
      <c r="G1034" s="64"/>
      <c r="H1034" s="64"/>
      <c r="I1034" s="64"/>
      <c r="J1034" s="64"/>
      <c r="K1034" s="64"/>
      <c r="L1034" s="64"/>
      <c r="M1034" s="64"/>
      <c r="N1034" s="64"/>
      <c r="O1034" s="64"/>
      <c r="P1034" s="64"/>
      <c r="Q1034" s="64"/>
      <c r="R1034" s="64"/>
      <c r="S1034" s="64"/>
      <c r="T1034" s="64"/>
      <c r="U1034" s="64"/>
      <c r="V1034" s="64"/>
      <c r="W1034" s="64"/>
      <c r="X1034" s="64"/>
      <c r="Y1034" s="64"/>
      <c r="Z1034" s="64"/>
    </row>
    <row r="1035">
      <c r="A1035" s="64"/>
      <c r="B1035" s="64"/>
      <c r="C1035" s="64"/>
      <c r="D1035" s="72" t="s">
        <v>2158</v>
      </c>
      <c r="E1035" s="64"/>
      <c r="F1035" s="64"/>
      <c r="G1035" s="64"/>
      <c r="H1035" s="64"/>
      <c r="I1035" s="64"/>
      <c r="J1035" s="64"/>
      <c r="K1035" s="64"/>
      <c r="L1035" s="64"/>
      <c r="M1035" s="64"/>
      <c r="N1035" s="64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  <c r="Y1035" s="64"/>
      <c r="Z1035" s="64"/>
    </row>
    <row r="1036">
      <c r="A1036" s="64"/>
      <c r="B1036" s="64"/>
      <c r="C1036" s="64"/>
      <c r="D1036" s="72" t="s">
        <v>2159</v>
      </c>
      <c r="E1036" s="64"/>
      <c r="F1036" s="64"/>
      <c r="G1036" s="64"/>
      <c r="H1036" s="64"/>
      <c r="I1036" s="64"/>
      <c r="J1036" s="64"/>
      <c r="K1036" s="64"/>
      <c r="L1036" s="64"/>
      <c r="M1036" s="64"/>
      <c r="N1036" s="64"/>
      <c r="O1036" s="64"/>
      <c r="P1036" s="64"/>
      <c r="Q1036" s="64"/>
      <c r="R1036" s="64"/>
      <c r="S1036" s="64"/>
      <c r="T1036" s="64"/>
      <c r="U1036" s="64"/>
      <c r="V1036" s="64"/>
      <c r="W1036" s="64"/>
      <c r="X1036" s="64"/>
      <c r="Y1036" s="64"/>
      <c r="Z1036" s="64"/>
    </row>
    <row r="1037">
      <c r="A1037" s="64"/>
      <c r="B1037" s="64"/>
      <c r="C1037" s="64"/>
      <c r="D1037" s="72" t="s">
        <v>2160</v>
      </c>
      <c r="E1037" s="64"/>
      <c r="F1037" s="64"/>
      <c r="G1037" s="64"/>
      <c r="H1037" s="64"/>
      <c r="I1037" s="64"/>
      <c r="J1037" s="64"/>
      <c r="K1037" s="64"/>
      <c r="L1037" s="64"/>
      <c r="M1037" s="64"/>
      <c r="N1037" s="64"/>
      <c r="O1037" s="64"/>
      <c r="P1037" s="64"/>
      <c r="Q1037" s="64"/>
      <c r="R1037" s="64"/>
      <c r="S1037" s="64"/>
      <c r="T1037" s="64"/>
      <c r="U1037" s="64"/>
      <c r="V1037" s="64"/>
      <c r="W1037" s="64"/>
      <c r="X1037" s="64"/>
      <c r="Y1037" s="64"/>
      <c r="Z1037" s="64"/>
    </row>
    <row r="1038">
      <c r="A1038" s="64"/>
      <c r="B1038" s="64"/>
      <c r="C1038" s="64"/>
      <c r="D1038" s="72" t="s">
        <v>568</v>
      </c>
      <c r="E1038" s="64"/>
      <c r="F1038" s="64"/>
      <c r="G1038" s="64"/>
      <c r="H1038" s="64"/>
      <c r="I1038" s="64"/>
      <c r="J1038" s="64"/>
      <c r="K1038" s="64"/>
      <c r="L1038" s="64"/>
      <c r="M1038" s="64"/>
      <c r="N1038" s="64"/>
      <c r="O1038" s="64"/>
      <c r="P1038" s="64"/>
      <c r="Q1038" s="64"/>
      <c r="R1038" s="64"/>
      <c r="S1038" s="64"/>
      <c r="T1038" s="64"/>
      <c r="U1038" s="64"/>
      <c r="V1038" s="64"/>
      <c r="W1038" s="64"/>
      <c r="X1038" s="64"/>
      <c r="Y1038" s="64"/>
      <c r="Z1038" s="64"/>
    </row>
    <row r="1039">
      <c r="A1039" s="64"/>
      <c r="B1039" s="64"/>
      <c r="C1039" s="64"/>
      <c r="D1039" s="72" t="s">
        <v>2161</v>
      </c>
      <c r="E1039" s="64"/>
      <c r="F1039" s="64"/>
      <c r="G1039" s="64"/>
      <c r="H1039" s="64"/>
      <c r="I1039" s="64"/>
      <c r="J1039" s="64"/>
      <c r="K1039" s="64"/>
      <c r="L1039" s="64"/>
      <c r="M1039" s="64"/>
      <c r="N1039" s="64"/>
      <c r="O1039" s="64"/>
      <c r="P1039" s="64"/>
      <c r="Q1039" s="64"/>
      <c r="R1039" s="64"/>
      <c r="S1039" s="64"/>
      <c r="T1039" s="64"/>
      <c r="U1039" s="64"/>
      <c r="V1039" s="64"/>
      <c r="W1039" s="64"/>
      <c r="X1039" s="64"/>
      <c r="Y1039" s="64"/>
      <c r="Z1039" s="64"/>
    </row>
    <row r="1040">
      <c r="A1040" s="64"/>
      <c r="B1040" s="64"/>
      <c r="C1040" s="64"/>
      <c r="D1040" s="72" t="s">
        <v>2162</v>
      </c>
      <c r="E1040" s="64"/>
      <c r="F1040" s="64"/>
      <c r="G1040" s="64"/>
      <c r="H1040" s="64"/>
      <c r="I1040" s="64"/>
      <c r="J1040" s="64"/>
      <c r="K1040" s="64"/>
      <c r="L1040" s="64"/>
      <c r="M1040" s="64"/>
      <c r="N1040" s="64"/>
      <c r="O1040" s="64"/>
      <c r="P1040" s="64"/>
      <c r="Q1040" s="64"/>
      <c r="R1040" s="64"/>
      <c r="S1040" s="64"/>
      <c r="T1040" s="64"/>
      <c r="U1040" s="64"/>
      <c r="V1040" s="64"/>
      <c r="W1040" s="64"/>
      <c r="X1040" s="64"/>
      <c r="Y1040" s="64"/>
      <c r="Z1040" s="64"/>
    </row>
    <row r="1041">
      <c r="A1041" s="64"/>
      <c r="B1041" s="64"/>
      <c r="C1041" s="64"/>
      <c r="D1041" s="72" t="s">
        <v>2163</v>
      </c>
      <c r="E1041" s="64"/>
      <c r="F1041" s="64"/>
      <c r="G1041" s="64"/>
      <c r="H1041" s="64"/>
      <c r="I1041" s="64"/>
      <c r="J1041" s="64"/>
      <c r="K1041" s="64"/>
      <c r="L1041" s="64"/>
      <c r="M1041" s="64"/>
      <c r="N1041" s="64"/>
      <c r="O1041" s="64"/>
      <c r="P1041" s="64"/>
      <c r="Q1041" s="64"/>
      <c r="R1041" s="64"/>
      <c r="S1041" s="64"/>
      <c r="T1041" s="64"/>
      <c r="U1041" s="64"/>
      <c r="V1041" s="64"/>
      <c r="W1041" s="64"/>
      <c r="X1041" s="64"/>
      <c r="Y1041" s="64"/>
      <c r="Z1041" s="64"/>
    </row>
    <row r="1042">
      <c r="A1042" s="64"/>
      <c r="B1042" s="64"/>
      <c r="C1042" s="64"/>
      <c r="D1042" s="72" t="s">
        <v>2164</v>
      </c>
      <c r="E1042" s="64"/>
      <c r="F1042" s="64"/>
      <c r="G1042" s="64"/>
      <c r="H1042" s="64"/>
      <c r="I1042" s="64"/>
      <c r="J1042" s="64"/>
      <c r="K1042" s="64"/>
      <c r="L1042" s="64"/>
      <c r="M1042" s="64"/>
      <c r="N1042" s="64"/>
      <c r="O1042" s="64"/>
      <c r="P1042" s="64"/>
      <c r="Q1042" s="64"/>
      <c r="R1042" s="64"/>
      <c r="S1042" s="64"/>
      <c r="T1042" s="64"/>
      <c r="U1042" s="64"/>
      <c r="V1042" s="64"/>
      <c r="W1042" s="64"/>
      <c r="X1042" s="64"/>
      <c r="Y1042" s="64"/>
      <c r="Z1042" s="64"/>
    </row>
    <row r="1043">
      <c r="A1043" s="64"/>
      <c r="B1043" s="64"/>
      <c r="C1043" s="64"/>
      <c r="D1043" s="72" t="s">
        <v>2165</v>
      </c>
      <c r="E1043" s="64"/>
      <c r="F1043" s="64"/>
      <c r="G1043" s="64"/>
      <c r="H1043" s="64"/>
      <c r="I1043" s="64"/>
      <c r="J1043" s="64"/>
      <c r="K1043" s="64"/>
      <c r="L1043" s="64"/>
      <c r="M1043" s="64"/>
      <c r="N1043" s="64"/>
      <c r="O1043" s="64"/>
      <c r="P1043" s="64"/>
      <c r="Q1043" s="64"/>
      <c r="R1043" s="64"/>
      <c r="S1043" s="64"/>
      <c r="T1043" s="64"/>
      <c r="U1043" s="64"/>
      <c r="V1043" s="64"/>
      <c r="W1043" s="64"/>
      <c r="X1043" s="64"/>
      <c r="Y1043" s="64"/>
      <c r="Z1043" s="64"/>
    </row>
    <row r="1044">
      <c r="A1044" s="64"/>
      <c r="B1044" s="64"/>
      <c r="C1044" s="64"/>
      <c r="D1044" s="72" t="s">
        <v>2166</v>
      </c>
      <c r="E1044" s="64"/>
      <c r="F1044" s="64"/>
      <c r="G1044" s="64"/>
      <c r="H1044" s="64"/>
      <c r="I1044" s="64"/>
      <c r="J1044" s="64"/>
      <c r="K1044" s="64"/>
      <c r="L1044" s="64"/>
      <c r="M1044" s="64"/>
      <c r="N1044" s="64"/>
      <c r="O1044" s="64"/>
      <c r="P1044" s="64"/>
      <c r="Q1044" s="64"/>
      <c r="R1044" s="64"/>
      <c r="S1044" s="64"/>
      <c r="T1044" s="64"/>
      <c r="U1044" s="64"/>
      <c r="V1044" s="64"/>
      <c r="W1044" s="64"/>
      <c r="X1044" s="64"/>
      <c r="Y1044" s="64"/>
      <c r="Z1044" s="64"/>
    </row>
    <row r="1045">
      <c r="A1045" s="64"/>
      <c r="B1045" s="64"/>
      <c r="C1045" s="64"/>
      <c r="D1045" s="72" t="s">
        <v>2167</v>
      </c>
      <c r="E1045" s="64"/>
      <c r="F1045" s="64"/>
      <c r="G1045" s="64"/>
      <c r="H1045" s="64"/>
      <c r="I1045" s="64"/>
      <c r="J1045" s="64"/>
      <c r="K1045" s="64"/>
      <c r="L1045" s="64"/>
      <c r="M1045" s="64"/>
      <c r="N1045" s="64"/>
      <c r="O1045" s="64"/>
      <c r="P1045" s="64"/>
      <c r="Q1045" s="64"/>
      <c r="R1045" s="64"/>
      <c r="S1045" s="64"/>
      <c r="T1045" s="64"/>
      <c r="U1045" s="64"/>
      <c r="V1045" s="64"/>
      <c r="W1045" s="64"/>
      <c r="X1045" s="64"/>
      <c r="Y1045" s="64"/>
      <c r="Z1045" s="64"/>
    </row>
    <row r="1046">
      <c r="A1046" s="64"/>
      <c r="B1046" s="64"/>
      <c r="C1046" s="64"/>
      <c r="D1046" s="72" t="s">
        <v>385</v>
      </c>
      <c r="E1046" s="64"/>
      <c r="F1046" s="64"/>
      <c r="G1046" s="64"/>
      <c r="H1046" s="64"/>
      <c r="I1046" s="64"/>
      <c r="J1046" s="64"/>
      <c r="K1046" s="64"/>
      <c r="L1046" s="64"/>
      <c r="M1046" s="64"/>
      <c r="N1046" s="64"/>
      <c r="O1046" s="64"/>
      <c r="P1046" s="64"/>
      <c r="Q1046" s="64"/>
      <c r="R1046" s="64"/>
      <c r="S1046" s="64"/>
      <c r="T1046" s="64"/>
      <c r="U1046" s="64"/>
      <c r="V1046" s="64"/>
      <c r="W1046" s="64"/>
      <c r="X1046" s="64"/>
      <c r="Y1046" s="64"/>
      <c r="Z1046" s="64"/>
    </row>
    <row r="1047">
      <c r="A1047" s="64"/>
      <c r="B1047" s="64"/>
      <c r="C1047" s="64"/>
      <c r="D1047" s="72" t="s">
        <v>2168</v>
      </c>
      <c r="E1047" s="64"/>
      <c r="F1047" s="64"/>
      <c r="G1047" s="64"/>
      <c r="H1047" s="64"/>
      <c r="I1047" s="64"/>
      <c r="J1047" s="64"/>
      <c r="K1047" s="64"/>
      <c r="L1047" s="64"/>
      <c r="M1047" s="64"/>
      <c r="N1047" s="64"/>
      <c r="O1047" s="64"/>
      <c r="P1047" s="64"/>
      <c r="Q1047" s="64"/>
      <c r="R1047" s="64"/>
      <c r="S1047" s="64"/>
      <c r="T1047" s="64"/>
      <c r="U1047" s="64"/>
      <c r="V1047" s="64"/>
      <c r="W1047" s="64"/>
      <c r="X1047" s="64"/>
      <c r="Y1047" s="64"/>
      <c r="Z1047" s="64"/>
    </row>
    <row r="1048">
      <c r="A1048" s="64"/>
      <c r="B1048" s="64"/>
      <c r="C1048" s="64"/>
      <c r="D1048" s="72" t="s">
        <v>2169</v>
      </c>
      <c r="E1048" s="64"/>
      <c r="F1048" s="64"/>
      <c r="G1048" s="64"/>
      <c r="H1048" s="64"/>
      <c r="I1048" s="64"/>
      <c r="J1048" s="64"/>
      <c r="K1048" s="64"/>
      <c r="L1048" s="64"/>
      <c r="M1048" s="64"/>
      <c r="N1048" s="64"/>
      <c r="O1048" s="64"/>
      <c r="P1048" s="64"/>
      <c r="Q1048" s="64"/>
      <c r="R1048" s="64"/>
      <c r="S1048" s="64"/>
      <c r="T1048" s="64"/>
      <c r="U1048" s="64"/>
      <c r="V1048" s="64"/>
      <c r="W1048" s="64"/>
      <c r="X1048" s="64"/>
      <c r="Y1048" s="64"/>
      <c r="Z1048" s="64"/>
    </row>
    <row r="1049">
      <c r="A1049" s="64"/>
      <c r="B1049" s="64"/>
      <c r="C1049" s="64"/>
      <c r="D1049" s="72" t="s">
        <v>2170</v>
      </c>
      <c r="E1049" s="64"/>
      <c r="F1049" s="64"/>
      <c r="G1049" s="64"/>
      <c r="H1049" s="64"/>
      <c r="I1049" s="64"/>
      <c r="J1049" s="64"/>
      <c r="K1049" s="64"/>
      <c r="L1049" s="64"/>
      <c r="M1049" s="64"/>
      <c r="N1049" s="64"/>
      <c r="O1049" s="64"/>
      <c r="P1049" s="64"/>
      <c r="Q1049" s="64"/>
      <c r="R1049" s="64"/>
      <c r="S1049" s="64"/>
      <c r="T1049" s="64"/>
      <c r="U1049" s="64"/>
      <c r="V1049" s="64"/>
      <c r="W1049" s="64"/>
      <c r="X1049" s="64"/>
      <c r="Y1049" s="64"/>
      <c r="Z1049" s="64"/>
    </row>
    <row r="1050">
      <c r="A1050" s="64"/>
      <c r="B1050" s="64"/>
      <c r="C1050" s="64"/>
      <c r="D1050" s="72" t="s">
        <v>2171</v>
      </c>
      <c r="E1050" s="64"/>
      <c r="F1050" s="64"/>
      <c r="G1050" s="64"/>
      <c r="H1050" s="64"/>
      <c r="I1050" s="64"/>
      <c r="J1050" s="64"/>
      <c r="K1050" s="64"/>
      <c r="L1050" s="64"/>
      <c r="M1050" s="64"/>
      <c r="N1050" s="64"/>
      <c r="O1050" s="64"/>
      <c r="P1050" s="64"/>
      <c r="Q1050" s="64"/>
      <c r="R1050" s="64"/>
      <c r="S1050" s="64"/>
      <c r="T1050" s="64"/>
      <c r="U1050" s="64"/>
      <c r="V1050" s="64"/>
      <c r="W1050" s="64"/>
      <c r="X1050" s="64"/>
      <c r="Y1050" s="64"/>
      <c r="Z1050" s="64"/>
    </row>
    <row r="1051">
      <c r="A1051" s="64"/>
      <c r="B1051" s="64"/>
      <c r="C1051" s="64"/>
      <c r="D1051" s="72" t="s">
        <v>2172</v>
      </c>
      <c r="E1051" s="64"/>
      <c r="F1051" s="64"/>
      <c r="G1051" s="64"/>
      <c r="H1051" s="64"/>
      <c r="I1051" s="64"/>
      <c r="J1051" s="64"/>
      <c r="K1051" s="64"/>
      <c r="L1051" s="64"/>
      <c r="M1051" s="64"/>
      <c r="N1051" s="64"/>
      <c r="O1051" s="64"/>
      <c r="P1051" s="64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</row>
    <row r="1052">
      <c r="A1052" s="64"/>
      <c r="B1052" s="64"/>
      <c r="C1052" s="64"/>
      <c r="D1052" s="72" t="s">
        <v>2173</v>
      </c>
      <c r="E1052" s="64"/>
      <c r="F1052" s="64"/>
      <c r="G1052" s="64"/>
      <c r="H1052" s="64"/>
      <c r="I1052" s="64"/>
      <c r="J1052" s="64"/>
      <c r="K1052" s="64"/>
      <c r="L1052" s="64"/>
      <c r="M1052" s="64"/>
      <c r="N1052" s="64"/>
      <c r="O1052" s="64"/>
      <c r="P1052" s="64"/>
      <c r="Q1052" s="64"/>
      <c r="R1052" s="64"/>
      <c r="S1052" s="64"/>
      <c r="T1052" s="64"/>
      <c r="U1052" s="64"/>
      <c r="V1052" s="64"/>
      <c r="W1052" s="64"/>
      <c r="X1052" s="64"/>
      <c r="Y1052" s="64"/>
      <c r="Z1052" s="64"/>
    </row>
    <row r="1053">
      <c r="A1053" s="64"/>
      <c r="B1053" s="64"/>
      <c r="C1053" s="64"/>
      <c r="D1053" s="72" t="s">
        <v>2174</v>
      </c>
      <c r="E1053" s="64"/>
      <c r="F1053" s="64"/>
      <c r="G1053" s="64"/>
      <c r="H1053" s="64"/>
      <c r="I1053" s="64"/>
      <c r="J1053" s="64"/>
      <c r="K1053" s="64"/>
      <c r="L1053" s="64"/>
      <c r="M1053" s="64"/>
      <c r="N1053" s="64"/>
      <c r="O1053" s="64"/>
      <c r="P1053" s="64"/>
      <c r="Q1053" s="64"/>
      <c r="R1053" s="64"/>
      <c r="S1053" s="64"/>
      <c r="T1053" s="64"/>
      <c r="U1053" s="64"/>
      <c r="V1053" s="64"/>
      <c r="W1053" s="64"/>
      <c r="X1053" s="64"/>
      <c r="Y1053" s="64"/>
      <c r="Z1053" s="64"/>
    </row>
    <row r="1054">
      <c r="A1054" s="64"/>
      <c r="B1054" s="64"/>
      <c r="C1054" s="64"/>
      <c r="D1054" s="72" t="s">
        <v>2175</v>
      </c>
      <c r="E1054" s="64"/>
      <c r="F1054" s="64"/>
      <c r="G1054" s="64"/>
      <c r="H1054" s="64"/>
      <c r="I1054" s="64"/>
      <c r="J1054" s="64"/>
      <c r="K1054" s="64"/>
      <c r="L1054" s="64"/>
      <c r="M1054" s="64"/>
      <c r="N1054" s="64"/>
      <c r="O1054" s="64"/>
      <c r="P1054" s="64"/>
      <c r="Q1054" s="64"/>
      <c r="R1054" s="64"/>
      <c r="S1054" s="64"/>
      <c r="T1054" s="64"/>
      <c r="U1054" s="64"/>
      <c r="V1054" s="64"/>
      <c r="W1054" s="64"/>
      <c r="X1054" s="64"/>
      <c r="Y1054" s="64"/>
      <c r="Z1054" s="64"/>
    </row>
    <row r="1055">
      <c r="A1055" s="64"/>
      <c r="B1055" s="64"/>
      <c r="C1055" s="64"/>
      <c r="D1055" s="72" t="s">
        <v>2176</v>
      </c>
      <c r="E1055" s="64"/>
      <c r="F1055" s="64"/>
      <c r="G1055" s="64"/>
      <c r="H1055" s="64"/>
      <c r="I1055" s="64"/>
      <c r="J1055" s="64"/>
      <c r="K1055" s="64"/>
      <c r="L1055" s="64"/>
      <c r="M1055" s="64"/>
      <c r="N1055" s="64"/>
      <c r="O1055" s="64"/>
      <c r="P1055" s="64"/>
      <c r="Q1055" s="64"/>
      <c r="R1055" s="64"/>
      <c r="S1055" s="64"/>
      <c r="T1055" s="64"/>
      <c r="U1055" s="64"/>
      <c r="V1055" s="64"/>
      <c r="W1055" s="64"/>
      <c r="X1055" s="64"/>
      <c r="Y1055" s="64"/>
      <c r="Z1055" s="64"/>
    </row>
    <row r="1056">
      <c r="A1056" s="64"/>
      <c r="B1056" s="64"/>
      <c r="C1056" s="64"/>
      <c r="D1056" s="72" t="s">
        <v>2177</v>
      </c>
      <c r="E1056" s="64"/>
      <c r="F1056" s="64"/>
      <c r="G1056" s="64"/>
      <c r="H1056" s="64"/>
      <c r="I1056" s="64"/>
      <c r="J1056" s="64"/>
      <c r="K1056" s="64"/>
      <c r="L1056" s="64"/>
      <c r="M1056" s="64"/>
      <c r="N1056" s="64"/>
      <c r="O1056" s="64"/>
      <c r="P1056" s="64"/>
      <c r="Q1056" s="64"/>
      <c r="R1056" s="64"/>
      <c r="S1056" s="64"/>
      <c r="T1056" s="64"/>
      <c r="U1056" s="64"/>
      <c r="V1056" s="64"/>
      <c r="W1056" s="64"/>
      <c r="X1056" s="64"/>
      <c r="Y1056" s="64"/>
      <c r="Z1056" s="64"/>
    </row>
    <row r="1057">
      <c r="A1057" s="64"/>
      <c r="B1057" s="64"/>
      <c r="C1057" s="64"/>
      <c r="D1057" s="72" t="s">
        <v>1299</v>
      </c>
      <c r="E1057" s="64"/>
      <c r="F1057" s="64"/>
      <c r="G1057" s="64"/>
      <c r="H1057" s="64"/>
      <c r="I1057" s="64"/>
      <c r="J1057" s="64"/>
      <c r="K1057" s="64"/>
      <c r="L1057" s="64"/>
      <c r="M1057" s="64"/>
      <c r="N1057" s="64"/>
      <c r="O1057" s="64"/>
      <c r="P1057" s="64"/>
      <c r="Q1057" s="64"/>
      <c r="R1057" s="64"/>
      <c r="S1057" s="64"/>
      <c r="T1057" s="64"/>
      <c r="U1057" s="64"/>
      <c r="V1057" s="64"/>
      <c r="W1057" s="64"/>
      <c r="X1057" s="64"/>
      <c r="Y1057" s="64"/>
      <c r="Z1057" s="64"/>
    </row>
    <row r="1058">
      <c r="A1058" s="64"/>
      <c r="B1058" s="64"/>
      <c r="C1058" s="64"/>
      <c r="D1058" s="72" t="s">
        <v>2178</v>
      </c>
      <c r="E1058" s="64"/>
      <c r="F1058" s="64"/>
      <c r="G1058" s="64"/>
      <c r="H1058" s="64"/>
      <c r="I1058" s="64"/>
      <c r="J1058" s="64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  <c r="Y1058" s="64"/>
      <c r="Z1058" s="64"/>
    </row>
    <row r="1059">
      <c r="A1059" s="64"/>
      <c r="B1059" s="64"/>
      <c r="C1059" s="64"/>
      <c r="D1059" s="72" t="s">
        <v>2179</v>
      </c>
      <c r="E1059" s="64"/>
      <c r="F1059" s="64"/>
      <c r="G1059" s="64"/>
      <c r="H1059" s="64"/>
      <c r="I1059" s="64"/>
      <c r="J1059" s="64"/>
      <c r="K1059" s="64"/>
      <c r="L1059" s="64"/>
      <c r="M1059" s="64"/>
      <c r="N1059" s="64"/>
      <c r="O1059" s="64"/>
      <c r="P1059" s="64"/>
      <c r="Q1059" s="64"/>
      <c r="R1059" s="64"/>
      <c r="S1059" s="64"/>
      <c r="T1059" s="64"/>
      <c r="U1059" s="64"/>
      <c r="V1059" s="64"/>
      <c r="W1059" s="64"/>
      <c r="X1059" s="64"/>
      <c r="Y1059" s="64"/>
      <c r="Z1059" s="64"/>
    </row>
    <row r="1060">
      <c r="A1060" s="64"/>
      <c r="B1060" s="64"/>
      <c r="C1060" s="64"/>
      <c r="D1060" s="72" t="s">
        <v>440</v>
      </c>
      <c r="E1060" s="64"/>
      <c r="F1060" s="64"/>
      <c r="G1060" s="64"/>
      <c r="H1060" s="64"/>
      <c r="I1060" s="64"/>
      <c r="J1060" s="64"/>
      <c r="K1060" s="64"/>
      <c r="L1060" s="64"/>
      <c r="M1060" s="64"/>
      <c r="N1060" s="64"/>
      <c r="O1060" s="64"/>
      <c r="P1060" s="64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</row>
    <row r="1061">
      <c r="A1061" s="64"/>
      <c r="B1061" s="64"/>
      <c r="C1061" s="64"/>
      <c r="D1061" s="72" t="s">
        <v>2180</v>
      </c>
      <c r="E1061" s="64"/>
      <c r="F1061" s="64"/>
      <c r="G1061" s="64"/>
      <c r="H1061" s="64"/>
      <c r="I1061" s="64"/>
      <c r="J1061" s="64"/>
      <c r="K1061" s="64"/>
      <c r="L1061" s="64"/>
      <c r="M1061" s="64"/>
      <c r="N1061" s="64"/>
      <c r="O1061" s="64"/>
      <c r="P1061" s="64"/>
      <c r="Q1061" s="64"/>
      <c r="R1061" s="64"/>
      <c r="S1061" s="64"/>
      <c r="T1061" s="64"/>
      <c r="U1061" s="64"/>
      <c r="V1061" s="64"/>
      <c r="W1061" s="64"/>
      <c r="X1061" s="64"/>
      <c r="Y1061" s="64"/>
      <c r="Z1061" s="64"/>
    </row>
    <row r="1062">
      <c r="A1062" s="64"/>
      <c r="B1062" s="64"/>
      <c r="C1062" s="64"/>
      <c r="D1062" s="72" t="s">
        <v>2181</v>
      </c>
      <c r="E1062" s="64"/>
      <c r="F1062" s="64"/>
      <c r="G1062" s="64"/>
      <c r="H1062" s="64"/>
      <c r="I1062" s="64"/>
      <c r="J1062" s="64"/>
      <c r="K1062" s="64"/>
      <c r="L1062" s="64"/>
      <c r="M1062" s="64"/>
      <c r="N1062" s="64"/>
      <c r="O1062" s="64"/>
      <c r="P1062" s="64"/>
      <c r="Q1062" s="64"/>
      <c r="R1062" s="64"/>
      <c r="S1062" s="64"/>
      <c r="T1062" s="64"/>
      <c r="U1062" s="64"/>
      <c r="V1062" s="64"/>
      <c r="W1062" s="64"/>
      <c r="X1062" s="64"/>
      <c r="Y1062" s="64"/>
      <c r="Z1062" s="64"/>
    </row>
    <row r="1063">
      <c r="A1063" s="64"/>
      <c r="B1063" s="64"/>
      <c r="C1063" s="64"/>
      <c r="D1063" s="72" t="s">
        <v>2182</v>
      </c>
      <c r="E1063" s="64"/>
      <c r="F1063" s="64"/>
      <c r="G1063" s="64"/>
      <c r="H1063" s="64"/>
      <c r="I1063" s="64"/>
      <c r="J1063" s="64"/>
      <c r="K1063" s="64"/>
      <c r="L1063" s="64"/>
      <c r="M1063" s="64"/>
      <c r="N1063" s="64"/>
      <c r="O1063" s="64"/>
      <c r="P1063" s="64"/>
      <c r="Q1063" s="64"/>
      <c r="R1063" s="64"/>
      <c r="S1063" s="64"/>
      <c r="T1063" s="64"/>
      <c r="U1063" s="64"/>
      <c r="V1063" s="64"/>
      <c r="W1063" s="64"/>
      <c r="X1063" s="64"/>
      <c r="Y1063" s="64"/>
      <c r="Z1063" s="64"/>
    </row>
    <row r="1064">
      <c r="A1064" s="64"/>
      <c r="B1064" s="64"/>
      <c r="C1064" s="64"/>
      <c r="D1064" s="72" t="s">
        <v>2183</v>
      </c>
      <c r="E1064" s="64"/>
      <c r="F1064" s="64"/>
      <c r="G1064" s="64"/>
      <c r="H1064" s="64"/>
      <c r="I1064" s="64"/>
      <c r="J1064" s="64"/>
      <c r="K1064" s="64"/>
      <c r="L1064" s="64"/>
      <c r="M1064" s="64"/>
      <c r="N1064" s="64"/>
      <c r="O1064" s="64"/>
      <c r="P1064" s="64"/>
      <c r="Q1064" s="64"/>
      <c r="R1064" s="64"/>
      <c r="S1064" s="64"/>
      <c r="T1064" s="64"/>
      <c r="U1064" s="64"/>
      <c r="V1064" s="64"/>
      <c r="W1064" s="64"/>
      <c r="X1064" s="64"/>
      <c r="Y1064" s="64"/>
      <c r="Z1064" s="64"/>
    </row>
    <row r="1065">
      <c r="A1065" s="64"/>
      <c r="B1065" s="64"/>
      <c r="C1065" s="64"/>
      <c r="D1065" s="72" t="s">
        <v>2184</v>
      </c>
      <c r="E1065" s="64"/>
      <c r="F1065" s="64"/>
      <c r="G1065" s="64"/>
      <c r="H1065" s="64"/>
      <c r="I1065" s="64"/>
      <c r="J1065" s="64"/>
      <c r="K1065" s="64"/>
      <c r="L1065" s="64"/>
      <c r="M1065" s="64"/>
      <c r="N1065" s="64"/>
      <c r="O1065" s="64"/>
      <c r="P1065" s="64"/>
      <c r="Q1065" s="64"/>
      <c r="R1065" s="64"/>
      <c r="S1065" s="64"/>
      <c r="T1065" s="64"/>
      <c r="U1065" s="64"/>
      <c r="V1065" s="64"/>
      <c r="W1065" s="64"/>
      <c r="X1065" s="64"/>
      <c r="Y1065" s="64"/>
      <c r="Z1065" s="64"/>
    </row>
    <row r="1066">
      <c r="A1066" s="64"/>
      <c r="B1066" s="64"/>
      <c r="C1066" s="64"/>
      <c r="D1066" s="72" t="s">
        <v>2185</v>
      </c>
      <c r="E1066" s="64"/>
      <c r="F1066" s="64"/>
      <c r="G1066" s="64"/>
      <c r="H1066" s="64"/>
      <c r="I1066" s="64"/>
      <c r="J1066" s="64"/>
      <c r="K1066" s="64"/>
      <c r="L1066" s="64"/>
      <c r="M1066" s="64"/>
      <c r="N1066" s="64"/>
      <c r="O1066" s="64"/>
      <c r="P1066" s="64"/>
      <c r="Q1066" s="64"/>
      <c r="R1066" s="64"/>
      <c r="S1066" s="64"/>
      <c r="T1066" s="64"/>
      <c r="U1066" s="64"/>
      <c r="V1066" s="64"/>
      <c r="W1066" s="64"/>
      <c r="X1066" s="64"/>
      <c r="Y1066" s="64"/>
      <c r="Z1066" s="64"/>
    </row>
    <row r="1067">
      <c r="A1067" s="64"/>
      <c r="B1067" s="64"/>
      <c r="C1067" s="64"/>
      <c r="D1067" s="72" t="s">
        <v>2186</v>
      </c>
      <c r="E1067" s="64"/>
      <c r="F1067" s="64"/>
      <c r="G1067" s="64"/>
      <c r="H1067" s="64"/>
      <c r="I1067" s="64"/>
      <c r="J1067" s="64"/>
      <c r="K1067" s="64"/>
      <c r="L1067" s="64"/>
      <c r="M1067" s="64"/>
      <c r="N1067" s="64"/>
      <c r="O1067" s="64"/>
      <c r="P1067" s="64"/>
      <c r="Q1067" s="64"/>
      <c r="R1067" s="64"/>
      <c r="S1067" s="64"/>
      <c r="T1067" s="64"/>
      <c r="U1067" s="64"/>
      <c r="V1067" s="64"/>
      <c r="W1067" s="64"/>
      <c r="X1067" s="64"/>
      <c r="Y1067" s="64"/>
      <c r="Z1067" s="64"/>
    </row>
    <row r="1068">
      <c r="A1068" s="64"/>
      <c r="B1068" s="64"/>
      <c r="C1068" s="64"/>
      <c r="D1068" s="72" t="s">
        <v>2187</v>
      </c>
      <c r="E1068" s="64"/>
      <c r="F1068" s="64"/>
      <c r="G1068" s="64"/>
      <c r="H1068" s="64"/>
      <c r="I1068" s="64"/>
      <c r="J1068" s="64"/>
      <c r="K1068" s="64"/>
      <c r="L1068" s="64"/>
      <c r="M1068" s="64"/>
      <c r="N1068" s="64"/>
      <c r="O1068" s="64"/>
      <c r="P1068" s="64"/>
      <c r="Q1068" s="64"/>
      <c r="R1068" s="64"/>
      <c r="S1068" s="64"/>
      <c r="T1068" s="64"/>
      <c r="U1068" s="64"/>
      <c r="V1068" s="64"/>
      <c r="W1068" s="64"/>
      <c r="X1068" s="64"/>
      <c r="Y1068" s="64"/>
      <c r="Z1068" s="64"/>
    </row>
    <row r="1069">
      <c r="A1069" s="64"/>
      <c r="B1069" s="64"/>
      <c r="C1069" s="64"/>
      <c r="D1069" s="72" t="s">
        <v>2188</v>
      </c>
      <c r="E1069" s="64"/>
      <c r="F1069" s="64"/>
      <c r="G1069" s="64"/>
      <c r="H1069" s="64"/>
      <c r="I1069" s="64"/>
      <c r="J1069" s="64"/>
      <c r="K1069" s="64"/>
      <c r="L1069" s="64"/>
      <c r="M1069" s="64"/>
      <c r="N1069" s="64"/>
      <c r="O1069" s="64"/>
      <c r="P1069" s="64"/>
      <c r="Q1069" s="64"/>
      <c r="R1069" s="64"/>
      <c r="S1069" s="64"/>
      <c r="T1069" s="64"/>
      <c r="U1069" s="64"/>
      <c r="V1069" s="64"/>
      <c r="W1069" s="64"/>
      <c r="X1069" s="64"/>
      <c r="Y1069" s="64"/>
      <c r="Z1069" s="64"/>
    </row>
    <row r="1070">
      <c r="A1070" s="64"/>
      <c r="B1070" s="64"/>
      <c r="C1070" s="64"/>
      <c r="D1070" s="72" t="s">
        <v>2189</v>
      </c>
      <c r="E1070" s="64"/>
      <c r="F1070" s="64"/>
      <c r="G1070" s="64"/>
      <c r="H1070" s="64"/>
      <c r="I1070" s="64"/>
      <c r="J1070" s="64"/>
      <c r="K1070" s="64"/>
      <c r="L1070" s="64"/>
      <c r="M1070" s="64"/>
      <c r="N1070" s="64"/>
      <c r="O1070" s="64"/>
      <c r="P1070" s="64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/>
    </row>
    <row r="1071">
      <c r="A1071" s="64"/>
      <c r="B1071" s="64"/>
      <c r="C1071" s="64"/>
      <c r="D1071" s="72" t="s">
        <v>2190</v>
      </c>
      <c r="E1071" s="64"/>
      <c r="F1071" s="64"/>
      <c r="G1071" s="64"/>
      <c r="H1071" s="64"/>
      <c r="I1071" s="64"/>
      <c r="J1071" s="64"/>
      <c r="K1071" s="64"/>
      <c r="L1071" s="64"/>
      <c r="M1071" s="64"/>
      <c r="N1071" s="64"/>
      <c r="O1071" s="64"/>
      <c r="P1071" s="64"/>
      <c r="Q1071" s="64"/>
      <c r="R1071" s="64"/>
      <c r="S1071" s="64"/>
      <c r="T1071" s="64"/>
      <c r="U1071" s="64"/>
      <c r="V1071" s="64"/>
      <c r="W1071" s="64"/>
      <c r="X1071" s="64"/>
      <c r="Y1071" s="64"/>
      <c r="Z1071" s="64"/>
    </row>
    <row r="1072">
      <c r="A1072" s="64"/>
      <c r="B1072" s="64"/>
      <c r="C1072" s="64"/>
      <c r="D1072" s="72" t="s">
        <v>2191</v>
      </c>
      <c r="E1072" s="64"/>
      <c r="F1072" s="64"/>
      <c r="G1072" s="64"/>
      <c r="H1072" s="64"/>
      <c r="I1072" s="64"/>
      <c r="J1072" s="64"/>
      <c r="K1072" s="64"/>
      <c r="L1072" s="64"/>
      <c r="M1072" s="64"/>
      <c r="N1072" s="64"/>
      <c r="O1072" s="64"/>
      <c r="P1072" s="64"/>
      <c r="Q1072" s="64"/>
      <c r="R1072" s="64"/>
      <c r="S1072" s="64"/>
      <c r="T1072" s="64"/>
      <c r="U1072" s="64"/>
      <c r="V1072" s="64"/>
      <c r="W1072" s="64"/>
      <c r="X1072" s="64"/>
      <c r="Y1072" s="64"/>
      <c r="Z1072" s="64"/>
    </row>
    <row r="1073">
      <c r="A1073" s="64"/>
      <c r="B1073" s="64"/>
      <c r="C1073" s="64"/>
      <c r="D1073" s="72" t="s">
        <v>2192</v>
      </c>
      <c r="E1073" s="64"/>
      <c r="F1073" s="64"/>
      <c r="G1073" s="64"/>
      <c r="H1073" s="64"/>
      <c r="I1073" s="64"/>
      <c r="J1073" s="64"/>
      <c r="K1073" s="64"/>
      <c r="L1073" s="64"/>
      <c r="M1073" s="64"/>
      <c r="N1073" s="64"/>
      <c r="O1073" s="64"/>
      <c r="P1073" s="64"/>
      <c r="Q1073" s="64"/>
      <c r="R1073" s="64"/>
      <c r="S1073" s="64"/>
      <c r="T1073" s="64"/>
      <c r="U1073" s="64"/>
      <c r="V1073" s="64"/>
      <c r="W1073" s="64"/>
      <c r="X1073" s="64"/>
      <c r="Y1073" s="64"/>
      <c r="Z1073" s="64"/>
    </row>
    <row r="1074">
      <c r="A1074" s="64"/>
      <c r="B1074" s="64"/>
      <c r="C1074" s="64"/>
      <c r="D1074" s="72" t="s">
        <v>2193</v>
      </c>
      <c r="E1074" s="64"/>
      <c r="F1074" s="64"/>
      <c r="G1074" s="64"/>
      <c r="H1074" s="64"/>
      <c r="I1074" s="64"/>
      <c r="J1074" s="64"/>
      <c r="K1074" s="64"/>
      <c r="L1074" s="64"/>
      <c r="M1074" s="64"/>
      <c r="N1074" s="64"/>
      <c r="O1074" s="64"/>
      <c r="P1074" s="64"/>
      <c r="Q1074" s="64"/>
      <c r="R1074" s="64"/>
      <c r="S1074" s="64"/>
      <c r="T1074" s="64"/>
      <c r="U1074" s="64"/>
      <c r="V1074" s="64"/>
      <c r="W1074" s="64"/>
      <c r="X1074" s="64"/>
      <c r="Y1074" s="64"/>
      <c r="Z1074" s="64"/>
    </row>
    <row r="1075">
      <c r="A1075" s="64"/>
      <c r="B1075" s="64"/>
      <c r="C1075" s="64"/>
      <c r="D1075" s="72" t="s">
        <v>2194</v>
      </c>
      <c r="E1075" s="64"/>
      <c r="F1075" s="64"/>
      <c r="G1075" s="64"/>
      <c r="H1075" s="64"/>
      <c r="I1075" s="64"/>
      <c r="J1075" s="64"/>
      <c r="K1075" s="64"/>
      <c r="L1075" s="64"/>
      <c r="M1075" s="64"/>
      <c r="N1075" s="64"/>
      <c r="O1075" s="64"/>
      <c r="P1075" s="64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</row>
    <row r="1076">
      <c r="A1076" s="64"/>
      <c r="B1076" s="64"/>
      <c r="C1076" s="64"/>
      <c r="D1076" s="72" t="s">
        <v>2195</v>
      </c>
      <c r="E1076" s="64"/>
      <c r="F1076" s="64"/>
      <c r="G1076" s="64"/>
      <c r="H1076" s="64"/>
      <c r="I1076" s="64"/>
      <c r="J1076" s="64"/>
      <c r="K1076" s="64"/>
      <c r="L1076" s="64"/>
      <c r="M1076" s="64"/>
      <c r="N1076" s="64"/>
      <c r="O1076" s="64"/>
      <c r="P1076" s="64"/>
      <c r="Q1076" s="64"/>
      <c r="R1076" s="64"/>
      <c r="S1076" s="64"/>
      <c r="T1076" s="64"/>
      <c r="U1076" s="64"/>
      <c r="V1076" s="64"/>
      <c r="W1076" s="64"/>
      <c r="X1076" s="64"/>
      <c r="Y1076" s="64"/>
      <c r="Z1076" s="64"/>
    </row>
    <row r="1077">
      <c r="A1077" s="64"/>
      <c r="B1077" s="64"/>
      <c r="C1077" s="64"/>
      <c r="D1077" s="72" t="s">
        <v>2196</v>
      </c>
      <c r="E1077" s="64"/>
      <c r="F1077" s="64"/>
      <c r="G1077" s="64"/>
      <c r="H1077" s="64"/>
      <c r="I1077" s="64"/>
      <c r="J1077" s="64"/>
      <c r="K1077" s="64"/>
      <c r="L1077" s="64"/>
      <c r="M1077" s="64"/>
      <c r="N1077" s="64"/>
      <c r="O1077" s="64"/>
      <c r="P1077" s="64"/>
      <c r="Q1077" s="64"/>
      <c r="R1077" s="64"/>
      <c r="S1077" s="64"/>
      <c r="T1077" s="64"/>
      <c r="U1077" s="64"/>
      <c r="V1077" s="64"/>
      <c r="W1077" s="64"/>
      <c r="X1077" s="64"/>
      <c r="Y1077" s="64"/>
      <c r="Z1077" s="64"/>
    </row>
    <row r="1078">
      <c r="A1078" s="64"/>
      <c r="B1078" s="64"/>
      <c r="C1078" s="64"/>
      <c r="D1078" s="72" t="s">
        <v>2197</v>
      </c>
      <c r="E1078" s="64"/>
      <c r="F1078" s="64"/>
      <c r="G1078" s="64"/>
      <c r="H1078" s="64"/>
      <c r="I1078" s="64"/>
      <c r="J1078" s="64"/>
      <c r="K1078" s="64"/>
      <c r="L1078" s="64"/>
      <c r="M1078" s="64"/>
      <c r="N1078" s="64"/>
      <c r="O1078" s="64"/>
      <c r="P1078" s="64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</row>
    <row r="1079">
      <c r="A1079" s="64"/>
      <c r="B1079" s="64"/>
      <c r="C1079" s="64"/>
      <c r="D1079" s="72" t="s">
        <v>1252</v>
      </c>
      <c r="E1079" s="64"/>
      <c r="F1079" s="64"/>
      <c r="G1079" s="64"/>
      <c r="H1079" s="64"/>
      <c r="I1079" s="64"/>
      <c r="J1079" s="64"/>
      <c r="K1079" s="64"/>
      <c r="L1079" s="64"/>
      <c r="M1079" s="64"/>
      <c r="N1079" s="64"/>
      <c r="O1079" s="64"/>
      <c r="P1079" s="64"/>
      <c r="Q1079" s="64"/>
      <c r="R1079" s="64"/>
      <c r="S1079" s="64"/>
      <c r="T1079" s="64"/>
      <c r="U1079" s="64"/>
      <c r="V1079" s="64"/>
      <c r="W1079" s="64"/>
      <c r="X1079" s="64"/>
      <c r="Y1079" s="64"/>
      <c r="Z1079" s="64"/>
    </row>
    <row r="1080">
      <c r="A1080" s="64"/>
      <c r="B1080" s="64"/>
      <c r="C1080" s="64"/>
      <c r="D1080" s="72" t="s">
        <v>963</v>
      </c>
      <c r="E1080" s="64"/>
      <c r="F1080" s="64"/>
      <c r="G1080" s="64"/>
      <c r="H1080" s="64"/>
      <c r="I1080" s="64"/>
      <c r="J1080" s="64"/>
      <c r="K1080" s="64"/>
      <c r="L1080" s="64"/>
      <c r="M1080" s="64"/>
      <c r="N1080" s="64"/>
      <c r="O1080" s="64"/>
      <c r="P1080" s="64"/>
      <c r="Q1080" s="64"/>
      <c r="R1080" s="64"/>
      <c r="S1080" s="64"/>
      <c r="T1080" s="64"/>
      <c r="U1080" s="64"/>
      <c r="V1080" s="64"/>
      <c r="W1080" s="64"/>
      <c r="X1080" s="64"/>
      <c r="Y1080" s="64"/>
      <c r="Z1080" s="64"/>
    </row>
    <row r="1081">
      <c r="A1081" s="64"/>
      <c r="B1081" s="64"/>
      <c r="C1081" s="64"/>
      <c r="D1081" s="72" t="s">
        <v>2198</v>
      </c>
      <c r="E1081" s="64"/>
      <c r="F1081" s="64"/>
      <c r="G1081" s="64"/>
      <c r="H1081" s="64"/>
      <c r="I1081" s="64"/>
      <c r="J1081" s="64"/>
      <c r="K1081" s="64"/>
      <c r="L1081" s="64"/>
      <c r="M1081" s="64"/>
      <c r="N1081" s="64"/>
      <c r="O1081" s="64"/>
      <c r="P1081" s="64"/>
      <c r="Q1081" s="64"/>
      <c r="R1081" s="64"/>
      <c r="S1081" s="64"/>
      <c r="T1081" s="64"/>
      <c r="U1081" s="64"/>
      <c r="V1081" s="64"/>
      <c r="W1081" s="64"/>
      <c r="X1081" s="64"/>
      <c r="Y1081" s="64"/>
      <c r="Z1081" s="64"/>
    </row>
    <row r="1082">
      <c r="A1082" s="64"/>
      <c r="B1082" s="64"/>
      <c r="C1082" s="64"/>
      <c r="D1082" s="72" t="s">
        <v>153</v>
      </c>
      <c r="E1082" s="64"/>
      <c r="F1082" s="64"/>
      <c r="G1082" s="64"/>
      <c r="H1082" s="64"/>
      <c r="I1082" s="64"/>
      <c r="J1082" s="64"/>
      <c r="K1082" s="64"/>
      <c r="L1082" s="64"/>
      <c r="M1082" s="64"/>
      <c r="N1082" s="64"/>
      <c r="O1082" s="64"/>
      <c r="P1082" s="64"/>
      <c r="Q1082" s="64"/>
      <c r="R1082" s="64"/>
      <c r="S1082" s="64"/>
      <c r="T1082" s="64"/>
      <c r="U1082" s="64"/>
      <c r="V1082" s="64"/>
      <c r="W1082" s="64"/>
      <c r="X1082" s="64"/>
      <c r="Y1082" s="64"/>
      <c r="Z1082" s="64"/>
    </row>
    <row r="1083">
      <c r="A1083" s="64"/>
      <c r="B1083" s="64"/>
      <c r="C1083" s="64"/>
      <c r="D1083" s="72" t="s">
        <v>153</v>
      </c>
      <c r="E1083" s="64"/>
      <c r="F1083" s="64"/>
      <c r="G1083" s="64"/>
      <c r="H1083" s="64"/>
      <c r="I1083" s="64"/>
      <c r="J1083" s="64"/>
      <c r="K1083" s="64"/>
      <c r="L1083" s="64"/>
      <c r="M1083" s="64"/>
      <c r="N1083" s="64"/>
      <c r="O1083" s="64"/>
      <c r="P1083" s="64"/>
      <c r="Q1083" s="64"/>
      <c r="R1083" s="64"/>
      <c r="S1083" s="64"/>
      <c r="T1083" s="64"/>
      <c r="U1083" s="64"/>
      <c r="V1083" s="64"/>
      <c r="W1083" s="64"/>
      <c r="X1083" s="64"/>
      <c r="Y1083" s="64"/>
      <c r="Z1083" s="64"/>
    </row>
    <row r="1084">
      <c r="A1084" s="64"/>
      <c r="B1084" s="64"/>
      <c r="C1084" s="64"/>
      <c r="D1084" s="72" t="s">
        <v>2199</v>
      </c>
      <c r="E1084" s="64"/>
      <c r="F1084" s="64"/>
      <c r="G1084" s="64"/>
      <c r="H1084" s="64"/>
      <c r="I1084" s="64"/>
      <c r="J1084" s="64"/>
      <c r="K1084" s="64"/>
      <c r="L1084" s="64"/>
      <c r="M1084" s="64"/>
      <c r="N1084" s="64"/>
      <c r="O1084" s="64"/>
      <c r="P1084" s="64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</row>
    <row r="1085">
      <c r="A1085" s="64"/>
      <c r="B1085" s="64"/>
      <c r="C1085" s="64"/>
      <c r="D1085" s="72" t="s">
        <v>2200</v>
      </c>
      <c r="E1085" s="64"/>
      <c r="F1085" s="64"/>
      <c r="G1085" s="64"/>
      <c r="H1085" s="64"/>
      <c r="I1085" s="64"/>
      <c r="J1085" s="64"/>
      <c r="K1085" s="64"/>
      <c r="L1085" s="64"/>
      <c r="M1085" s="64"/>
      <c r="N1085" s="64"/>
      <c r="O1085" s="64"/>
      <c r="P1085" s="64"/>
      <c r="Q1085" s="64"/>
      <c r="R1085" s="64"/>
      <c r="S1085" s="64"/>
      <c r="T1085" s="64"/>
      <c r="U1085" s="64"/>
      <c r="V1085" s="64"/>
      <c r="W1085" s="64"/>
      <c r="X1085" s="64"/>
      <c r="Y1085" s="64"/>
      <c r="Z1085" s="64"/>
    </row>
    <row r="1086">
      <c r="A1086" s="64"/>
      <c r="B1086" s="64"/>
      <c r="C1086" s="64"/>
      <c r="D1086" s="72" t="s">
        <v>2201</v>
      </c>
      <c r="E1086" s="64"/>
      <c r="F1086" s="64"/>
      <c r="G1086" s="64"/>
      <c r="H1086" s="64"/>
      <c r="I1086" s="64"/>
      <c r="J1086" s="64"/>
      <c r="K1086" s="64"/>
      <c r="L1086" s="64"/>
      <c r="M1086" s="64"/>
      <c r="N1086" s="64"/>
      <c r="O1086" s="64"/>
      <c r="P1086" s="64"/>
      <c r="Q1086" s="64"/>
      <c r="R1086" s="64"/>
      <c r="S1086" s="64"/>
      <c r="T1086" s="64"/>
      <c r="U1086" s="64"/>
      <c r="V1086" s="64"/>
      <c r="W1086" s="64"/>
      <c r="X1086" s="64"/>
      <c r="Y1086" s="64"/>
      <c r="Z1086" s="64"/>
    </row>
    <row r="1087">
      <c r="A1087" s="64"/>
      <c r="B1087" s="64"/>
      <c r="C1087" s="64"/>
      <c r="D1087" s="72" t="s">
        <v>2202</v>
      </c>
      <c r="E1087" s="64"/>
      <c r="F1087" s="64"/>
      <c r="G1087" s="64"/>
      <c r="H1087" s="64"/>
      <c r="I1087" s="64"/>
      <c r="J1087" s="64"/>
      <c r="K1087" s="64"/>
      <c r="L1087" s="64"/>
      <c r="M1087" s="64"/>
      <c r="N1087" s="64"/>
      <c r="O1087" s="64"/>
      <c r="P1087" s="64"/>
      <c r="Q1087" s="64"/>
      <c r="R1087" s="64"/>
      <c r="S1087" s="64"/>
      <c r="T1087" s="64"/>
      <c r="U1087" s="64"/>
      <c r="V1087" s="64"/>
      <c r="W1087" s="64"/>
      <c r="X1087" s="64"/>
      <c r="Y1087" s="64"/>
      <c r="Z1087" s="64"/>
    </row>
    <row r="1088">
      <c r="A1088" s="64"/>
      <c r="B1088" s="64"/>
      <c r="C1088" s="64"/>
      <c r="D1088" s="72" t="s">
        <v>2203</v>
      </c>
      <c r="E1088" s="64"/>
      <c r="F1088" s="64"/>
      <c r="G1088" s="64"/>
      <c r="H1088" s="64"/>
      <c r="I1088" s="64"/>
      <c r="J1088" s="64"/>
      <c r="K1088" s="64"/>
      <c r="L1088" s="64"/>
      <c r="M1088" s="64"/>
      <c r="N1088" s="64"/>
      <c r="O1088" s="64"/>
      <c r="P1088" s="64"/>
      <c r="Q1088" s="64"/>
      <c r="R1088" s="64"/>
      <c r="S1088" s="64"/>
      <c r="T1088" s="64"/>
      <c r="U1088" s="64"/>
      <c r="V1088" s="64"/>
      <c r="W1088" s="64"/>
      <c r="X1088" s="64"/>
      <c r="Y1088" s="64"/>
      <c r="Z1088" s="64"/>
    </row>
    <row r="1089">
      <c r="A1089" s="64"/>
      <c r="B1089" s="64"/>
      <c r="C1089" s="64"/>
      <c r="D1089" s="72" t="s">
        <v>2204</v>
      </c>
      <c r="E1089" s="64"/>
      <c r="F1089" s="64"/>
      <c r="G1089" s="64"/>
      <c r="H1089" s="64"/>
      <c r="I1089" s="64"/>
      <c r="J1089" s="64"/>
      <c r="K1089" s="64"/>
      <c r="L1089" s="64"/>
      <c r="M1089" s="64"/>
      <c r="N1089" s="64"/>
      <c r="O1089" s="64"/>
      <c r="P1089" s="64"/>
      <c r="Q1089" s="64"/>
      <c r="R1089" s="64"/>
      <c r="S1089" s="64"/>
      <c r="T1089" s="64"/>
      <c r="U1089" s="64"/>
      <c r="V1089" s="64"/>
      <c r="W1089" s="64"/>
      <c r="X1089" s="64"/>
      <c r="Y1089" s="64"/>
      <c r="Z1089" s="64"/>
    </row>
    <row r="1090">
      <c r="A1090" s="64"/>
      <c r="B1090" s="64"/>
      <c r="C1090" s="64"/>
      <c r="D1090" s="72" t="s">
        <v>2205</v>
      </c>
      <c r="E1090" s="64"/>
      <c r="F1090" s="64"/>
      <c r="G1090" s="64"/>
      <c r="H1090" s="64"/>
      <c r="I1090" s="64"/>
      <c r="J1090" s="64"/>
      <c r="K1090" s="64"/>
      <c r="L1090" s="64"/>
      <c r="M1090" s="64"/>
      <c r="N1090" s="64"/>
      <c r="O1090" s="64"/>
      <c r="P1090" s="64"/>
      <c r="Q1090" s="64"/>
      <c r="R1090" s="64"/>
      <c r="S1090" s="64"/>
      <c r="T1090" s="64"/>
      <c r="U1090" s="64"/>
      <c r="V1090" s="64"/>
      <c r="W1090" s="64"/>
      <c r="X1090" s="64"/>
      <c r="Y1090" s="64"/>
      <c r="Z1090" s="64"/>
    </row>
    <row r="1091">
      <c r="A1091" s="64"/>
      <c r="B1091" s="64"/>
      <c r="C1091" s="64"/>
      <c r="D1091" s="72" t="s">
        <v>2206</v>
      </c>
      <c r="E1091" s="64"/>
      <c r="F1091" s="64"/>
      <c r="G1091" s="64"/>
      <c r="H1091" s="64"/>
      <c r="I1091" s="64"/>
      <c r="J1091" s="64"/>
      <c r="K1091" s="64"/>
      <c r="L1091" s="64"/>
      <c r="M1091" s="64"/>
      <c r="N1091" s="64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</row>
    <row r="1092">
      <c r="A1092" s="64"/>
      <c r="B1092" s="64"/>
      <c r="C1092" s="64"/>
      <c r="D1092" s="72" t="s">
        <v>2207</v>
      </c>
      <c r="E1092" s="64"/>
      <c r="F1092" s="64"/>
      <c r="G1092" s="64"/>
      <c r="H1092" s="64"/>
      <c r="I1092" s="64"/>
      <c r="J1092" s="64"/>
      <c r="K1092" s="64"/>
      <c r="L1092" s="64"/>
      <c r="M1092" s="64"/>
      <c r="N1092" s="64"/>
      <c r="O1092" s="64"/>
      <c r="P1092" s="64"/>
      <c r="Q1092" s="64"/>
      <c r="R1092" s="64"/>
      <c r="S1092" s="64"/>
      <c r="T1092" s="64"/>
      <c r="U1092" s="64"/>
      <c r="V1092" s="64"/>
      <c r="W1092" s="64"/>
      <c r="X1092" s="64"/>
      <c r="Y1092" s="64"/>
      <c r="Z1092" s="64"/>
    </row>
    <row r="1093">
      <c r="A1093" s="64"/>
      <c r="B1093" s="64"/>
      <c r="C1093" s="64"/>
      <c r="D1093" s="72" t="s">
        <v>755</v>
      </c>
      <c r="E1093" s="64"/>
      <c r="F1093" s="64"/>
      <c r="G1093" s="64"/>
      <c r="H1093" s="64"/>
      <c r="I1093" s="64"/>
      <c r="J1093" s="64"/>
      <c r="K1093" s="64"/>
      <c r="L1093" s="64"/>
      <c r="M1093" s="64"/>
      <c r="N1093" s="64"/>
      <c r="O1093" s="64"/>
      <c r="P1093" s="64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</row>
    <row r="1094">
      <c r="A1094" s="64"/>
      <c r="B1094" s="64"/>
      <c r="C1094" s="64"/>
      <c r="D1094" s="72" t="s">
        <v>2208</v>
      </c>
      <c r="E1094" s="64"/>
      <c r="F1094" s="64"/>
      <c r="G1094" s="64"/>
      <c r="H1094" s="64"/>
      <c r="I1094" s="64"/>
      <c r="J1094" s="64"/>
      <c r="K1094" s="64"/>
      <c r="L1094" s="64"/>
      <c r="M1094" s="64"/>
      <c r="N1094" s="64"/>
      <c r="O1094" s="64"/>
      <c r="P1094" s="64"/>
      <c r="Q1094" s="64"/>
      <c r="R1094" s="64"/>
      <c r="S1094" s="64"/>
      <c r="T1094" s="64"/>
      <c r="U1094" s="64"/>
      <c r="V1094" s="64"/>
      <c r="W1094" s="64"/>
      <c r="X1094" s="64"/>
      <c r="Y1094" s="64"/>
      <c r="Z1094" s="64"/>
    </row>
    <row r="1095">
      <c r="A1095" s="64"/>
      <c r="B1095" s="64"/>
      <c r="C1095" s="64"/>
      <c r="D1095" s="72" t="s">
        <v>1256</v>
      </c>
      <c r="E1095" s="64"/>
      <c r="F1095" s="64"/>
      <c r="G1095" s="64"/>
      <c r="H1095" s="64"/>
      <c r="I1095" s="64"/>
      <c r="J1095" s="64"/>
      <c r="K1095" s="64"/>
      <c r="L1095" s="64"/>
      <c r="M1095" s="64"/>
      <c r="N1095" s="64"/>
      <c r="O1095" s="64"/>
      <c r="P1095" s="64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</row>
    <row r="1096">
      <c r="A1096" s="64"/>
      <c r="B1096" s="64"/>
      <c r="C1096" s="64"/>
      <c r="D1096" s="72" t="s">
        <v>2209</v>
      </c>
      <c r="E1096" s="64"/>
      <c r="F1096" s="64"/>
      <c r="G1096" s="64"/>
      <c r="H1096" s="64"/>
      <c r="I1096" s="64"/>
      <c r="J1096" s="64"/>
      <c r="K1096" s="64"/>
      <c r="L1096" s="64"/>
      <c r="M1096" s="64"/>
      <c r="N1096" s="64"/>
      <c r="O1096" s="64"/>
      <c r="P1096" s="64"/>
      <c r="Q1096" s="64"/>
      <c r="R1096" s="64"/>
      <c r="S1096" s="64"/>
      <c r="T1096" s="64"/>
      <c r="U1096" s="64"/>
      <c r="V1096" s="64"/>
      <c r="W1096" s="64"/>
      <c r="X1096" s="64"/>
      <c r="Y1096" s="64"/>
      <c r="Z1096" s="64"/>
    </row>
    <row r="1097">
      <c r="A1097" s="64"/>
      <c r="B1097" s="64"/>
      <c r="C1097" s="64"/>
      <c r="D1097" s="72" t="s">
        <v>2210</v>
      </c>
      <c r="E1097" s="64"/>
      <c r="F1097" s="64"/>
      <c r="G1097" s="64"/>
      <c r="H1097" s="64"/>
      <c r="I1097" s="64"/>
      <c r="J1097" s="64"/>
      <c r="K1097" s="64"/>
      <c r="L1097" s="64"/>
      <c r="M1097" s="64"/>
      <c r="N1097" s="64"/>
      <c r="O1097" s="64"/>
      <c r="P1097" s="64"/>
      <c r="Q1097" s="64"/>
      <c r="R1097" s="64"/>
      <c r="S1097" s="64"/>
      <c r="T1097" s="64"/>
      <c r="U1097" s="64"/>
      <c r="V1097" s="64"/>
      <c r="W1097" s="64"/>
      <c r="X1097" s="64"/>
      <c r="Y1097" s="64"/>
      <c r="Z1097" s="64"/>
    </row>
    <row r="1098">
      <c r="A1098" s="64"/>
      <c r="B1098" s="64"/>
      <c r="C1098" s="64"/>
      <c r="D1098" s="72" t="s">
        <v>2211</v>
      </c>
      <c r="E1098" s="64"/>
      <c r="F1098" s="64"/>
      <c r="G1098" s="64"/>
      <c r="H1098" s="64"/>
      <c r="I1098" s="64"/>
      <c r="J1098" s="64"/>
      <c r="K1098" s="64"/>
      <c r="L1098" s="64"/>
      <c r="M1098" s="64"/>
      <c r="N1098" s="64"/>
      <c r="O1098" s="64"/>
      <c r="P1098" s="64"/>
      <c r="Q1098" s="64"/>
      <c r="R1098" s="64"/>
      <c r="S1098" s="64"/>
      <c r="T1098" s="64"/>
      <c r="U1098" s="64"/>
      <c r="V1098" s="64"/>
      <c r="W1098" s="64"/>
      <c r="X1098" s="64"/>
      <c r="Y1098" s="64"/>
      <c r="Z1098" s="64"/>
    </row>
    <row r="1099">
      <c r="A1099" s="64"/>
      <c r="B1099" s="64"/>
      <c r="C1099" s="64"/>
      <c r="D1099" s="72" t="s">
        <v>2212</v>
      </c>
      <c r="E1099" s="64"/>
      <c r="F1099" s="64"/>
      <c r="G1099" s="64"/>
      <c r="H1099" s="64"/>
      <c r="I1099" s="64"/>
      <c r="J1099" s="64"/>
      <c r="K1099" s="64"/>
      <c r="L1099" s="64"/>
      <c r="M1099" s="64"/>
      <c r="N1099" s="64"/>
      <c r="O1099" s="64"/>
      <c r="P1099" s="64"/>
      <c r="Q1099" s="64"/>
      <c r="R1099" s="64"/>
      <c r="S1099" s="64"/>
      <c r="T1099" s="64"/>
      <c r="U1099" s="64"/>
      <c r="V1099" s="64"/>
      <c r="W1099" s="64"/>
      <c r="X1099" s="64"/>
      <c r="Y1099" s="64"/>
      <c r="Z1099" s="64"/>
    </row>
    <row r="1100">
      <c r="A1100" s="64"/>
      <c r="B1100" s="64"/>
      <c r="C1100" s="64"/>
      <c r="D1100" s="72" t="s">
        <v>2213</v>
      </c>
      <c r="E1100" s="64"/>
      <c r="F1100" s="64"/>
      <c r="G1100" s="64"/>
      <c r="H1100" s="64"/>
      <c r="I1100" s="64"/>
      <c r="J1100" s="64"/>
      <c r="K1100" s="64"/>
      <c r="L1100" s="64"/>
      <c r="M1100" s="64"/>
      <c r="N1100" s="64"/>
      <c r="O1100" s="64"/>
      <c r="P1100" s="64"/>
      <c r="Q1100" s="64"/>
      <c r="R1100" s="64"/>
      <c r="S1100" s="64"/>
      <c r="T1100" s="64"/>
      <c r="U1100" s="64"/>
      <c r="V1100" s="64"/>
      <c r="W1100" s="64"/>
      <c r="X1100" s="64"/>
      <c r="Y1100" s="64"/>
      <c r="Z1100" s="64"/>
    </row>
    <row r="1101">
      <c r="A1101" s="64"/>
      <c r="B1101" s="64"/>
      <c r="C1101" s="64"/>
      <c r="D1101" s="72" t="s">
        <v>2214</v>
      </c>
      <c r="E1101" s="64"/>
      <c r="F1101" s="64"/>
      <c r="G1101" s="64"/>
      <c r="H1101" s="64"/>
      <c r="I1101" s="64"/>
      <c r="J1101" s="64"/>
      <c r="K1101" s="64"/>
      <c r="L1101" s="64"/>
      <c r="M1101" s="64"/>
      <c r="N1101" s="64"/>
      <c r="O1101" s="64"/>
      <c r="P1101" s="64"/>
      <c r="Q1101" s="64"/>
      <c r="R1101" s="64"/>
      <c r="S1101" s="64"/>
      <c r="T1101" s="64"/>
      <c r="U1101" s="64"/>
      <c r="V1101" s="64"/>
      <c r="W1101" s="64"/>
      <c r="X1101" s="64"/>
      <c r="Y1101" s="64"/>
      <c r="Z1101" s="64"/>
    </row>
    <row r="1102">
      <c r="A1102" s="64"/>
      <c r="B1102" s="64"/>
      <c r="C1102" s="64"/>
      <c r="D1102" s="72" t="s">
        <v>2215</v>
      </c>
      <c r="E1102" s="64"/>
      <c r="F1102" s="64"/>
      <c r="G1102" s="64"/>
      <c r="H1102" s="64"/>
      <c r="I1102" s="64"/>
      <c r="J1102" s="64"/>
      <c r="K1102" s="64"/>
      <c r="L1102" s="64"/>
      <c r="M1102" s="64"/>
      <c r="N1102" s="64"/>
      <c r="O1102" s="64"/>
      <c r="P1102" s="64"/>
      <c r="Q1102" s="64"/>
      <c r="R1102" s="64"/>
      <c r="S1102" s="64"/>
      <c r="T1102" s="64"/>
      <c r="U1102" s="64"/>
      <c r="V1102" s="64"/>
      <c r="W1102" s="64"/>
      <c r="X1102" s="64"/>
      <c r="Y1102" s="64"/>
      <c r="Z1102" s="64"/>
    </row>
    <row r="1103">
      <c r="A1103" s="64"/>
      <c r="B1103" s="64"/>
      <c r="C1103" s="64"/>
      <c r="D1103" s="72" t="s">
        <v>2216</v>
      </c>
      <c r="E1103" s="64"/>
      <c r="F1103" s="64"/>
      <c r="G1103" s="64"/>
      <c r="H1103" s="64"/>
      <c r="I1103" s="64"/>
      <c r="J1103" s="64"/>
      <c r="K1103" s="64"/>
      <c r="L1103" s="64"/>
      <c r="M1103" s="64"/>
      <c r="N1103" s="64"/>
      <c r="O1103" s="64"/>
      <c r="P1103" s="64"/>
      <c r="Q1103" s="64"/>
      <c r="R1103" s="64"/>
      <c r="S1103" s="64"/>
      <c r="T1103" s="64"/>
      <c r="U1103" s="64"/>
      <c r="V1103" s="64"/>
      <c r="W1103" s="64"/>
      <c r="X1103" s="64"/>
      <c r="Y1103" s="64"/>
      <c r="Z1103" s="64"/>
    </row>
    <row r="1104">
      <c r="A1104" s="64"/>
      <c r="B1104" s="64"/>
      <c r="C1104" s="64"/>
      <c r="D1104" s="72" t="s">
        <v>2217</v>
      </c>
      <c r="E1104" s="64"/>
      <c r="F1104" s="64"/>
      <c r="G1104" s="64"/>
      <c r="H1104" s="64"/>
      <c r="I1104" s="64"/>
      <c r="J1104" s="64"/>
      <c r="K1104" s="64"/>
      <c r="L1104" s="64"/>
      <c r="M1104" s="64"/>
      <c r="N1104" s="64"/>
      <c r="O1104" s="64"/>
      <c r="P1104" s="64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</row>
    <row r="1105">
      <c r="A1105" s="64"/>
      <c r="B1105" s="64"/>
      <c r="C1105" s="64"/>
      <c r="D1105" s="72" t="s">
        <v>2218</v>
      </c>
      <c r="E1105" s="64"/>
      <c r="F1105" s="64"/>
      <c r="G1105" s="64"/>
      <c r="H1105" s="64"/>
      <c r="I1105" s="64"/>
      <c r="J1105" s="64"/>
      <c r="K1105" s="64"/>
      <c r="L1105" s="64"/>
      <c r="M1105" s="64"/>
      <c r="N1105" s="64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64"/>
    </row>
    <row r="1106">
      <c r="A1106" s="64"/>
      <c r="B1106" s="64"/>
      <c r="C1106" s="64"/>
      <c r="D1106" s="72" t="s">
        <v>2219</v>
      </c>
      <c r="E1106" s="64"/>
      <c r="F1106" s="64"/>
      <c r="G1106" s="64"/>
      <c r="H1106" s="64"/>
      <c r="I1106" s="64"/>
      <c r="J1106" s="64"/>
      <c r="K1106" s="64"/>
      <c r="L1106" s="64"/>
      <c r="M1106" s="64"/>
      <c r="N1106" s="64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64"/>
    </row>
    <row r="1107">
      <c r="A1107" s="64"/>
      <c r="B1107" s="64"/>
      <c r="C1107" s="64"/>
      <c r="D1107" s="72" t="s">
        <v>2220</v>
      </c>
      <c r="E1107" s="64"/>
      <c r="F1107" s="64"/>
      <c r="G1107" s="64"/>
      <c r="H1107" s="64"/>
      <c r="I1107" s="64"/>
      <c r="J1107" s="64"/>
      <c r="K1107" s="64"/>
      <c r="L1107" s="64"/>
      <c r="M1107" s="64"/>
      <c r="N1107" s="64"/>
      <c r="O1107" s="64"/>
      <c r="P1107" s="64"/>
      <c r="Q1107" s="64"/>
      <c r="R1107" s="64"/>
      <c r="S1107" s="64"/>
      <c r="T1107" s="64"/>
      <c r="U1107" s="64"/>
      <c r="V1107" s="64"/>
      <c r="W1107" s="64"/>
      <c r="X1107" s="64"/>
      <c r="Y1107" s="64"/>
      <c r="Z1107" s="64"/>
    </row>
    <row r="1108">
      <c r="A1108" s="64"/>
      <c r="B1108" s="64"/>
      <c r="C1108" s="64"/>
      <c r="D1108" s="72" t="s">
        <v>2221</v>
      </c>
      <c r="E1108" s="64"/>
      <c r="F1108" s="64"/>
      <c r="G1108" s="64"/>
      <c r="H1108" s="64"/>
      <c r="I1108" s="64"/>
      <c r="J1108" s="64"/>
      <c r="K1108" s="64"/>
      <c r="L1108" s="64"/>
      <c r="M1108" s="64"/>
      <c r="N1108" s="64"/>
      <c r="O1108" s="64"/>
      <c r="P1108" s="64"/>
      <c r="Q1108" s="64"/>
      <c r="R1108" s="64"/>
      <c r="S1108" s="64"/>
      <c r="T1108" s="64"/>
      <c r="U1108" s="64"/>
      <c r="V1108" s="64"/>
      <c r="W1108" s="64"/>
      <c r="X1108" s="64"/>
      <c r="Y1108" s="64"/>
      <c r="Z1108" s="64"/>
    </row>
    <row r="1109">
      <c r="A1109" s="64"/>
      <c r="B1109" s="64"/>
      <c r="C1109" s="64"/>
      <c r="D1109" s="72" t="s">
        <v>2222</v>
      </c>
      <c r="E1109" s="64"/>
      <c r="F1109" s="64"/>
      <c r="G1109" s="64"/>
      <c r="H1109" s="64"/>
      <c r="I1109" s="64"/>
      <c r="J1109" s="64"/>
      <c r="K1109" s="64"/>
      <c r="L1109" s="64"/>
      <c r="M1109" s="64"/>
      <c r="N1109" s="64"/>
      <c r="O1109" s="64"/>
      <c r="P1109" s="64"/>
      <c r="Q1109" s="64"/>
      <c r="R1109" s="64"/>
      <c r="S1109" s="64"/>
      <c r="T1109" s="64"/>
      <c r="U1109" s="64"/>
      <c r="V1109" s="64"/>
      <c r="W1109" s="64"/>
      <c r="X1109" s="64"/>
      <c r="Y1109" s="64"/>
      <c r="Z1109" s="64"/>
    </row>
    <row r="1110">
      <c r="A1110" s="64"/>
      <c r="B1110" s="64"/>
      <c r="C1110" s="64"/>
      <c r="D1110" s="72" t="s">
        <v>2223</v>
      </c>
      <c r="E1110" s="64"/>
      <c r="F1110" s="64"/>
      <c r="G1110" s="64"/>
      <c r="H1110" s="64"/>
      <c r="I1110" s="64"/>
      <c r="J1110" s="64"/>
      <c r="K1110" s="64"/>
      <c r="L1110" s="64"/>
      <c r="M1110" s="64"/>
      <c r="N1110" s="64"/>
      <c r="O1110" s="64"/>
      <c r="P1110" s="64"/>
      <c r="Q1110" s="64"/>
      <c r="R1110" s="64"/>
      <c r="S1110" s="64"/>
      <c r="T1110" s="64"/>
      <c r="U1110" s="64"/>
      <c r="V1110" s="64"/>
      <c r="W1110" s="64"/>
      <c r="X1110" s="64"/>
      <c r="Y1110" s="64"/>
      <c r="Z1110" s="64"/>
    </row>
    <row r="1111">
      <c r="A1111" s="64"/>
      <c r="B1111" s="64"/>
      <c r="C1111" s="64"/>
      <c r="D1111" s="72" t="s">
        <v>2224</v>
      </c>
      <c r="E1111" s="64"/>
      <c r="F1111" s="64"/>
      <c r="G1111" s="64"/>
      <c r="H1111" s="64"/>
      <c r="I1111" s="64"/>
      <c r="J1111" s="64"/>
      <c r="K1111" s="64"/>
      <c r="L1111" s="64"/>
      <c r="M1111" s="64"/>
      <c r="N1111" s="64"/>
      <c r="O1111" s="64"/>
      <c r="P1111" s="64"/>
      <c r="Q1111" s="64"/>
      <c r="R1111" s="64"/>
      <c r="S1111" s="64"/>
      <c r="T1111" s="64"/>
      <c r="U1111" s="64"/>
      <c r="V1111" s="64"/>
      <c r="W1111" s="64"/>
      <c r="X1111" s="64"/>
      <c r="Y1111" s="64"/>
      <c r="Z1111" s="64"/>
    </row>
    <row r="1112">
      <c r="A1112" s="64"/>
      <c r="B1112" s="64"/>
      <c r="C1112" s="64"/>
      <c r="D1112" s="72" t="s">
        <v>2225</v>
      </c>
      <c r="E1112" s="64"/>
      <c r="F1112" s="64"/>
      <c r="G1112" s="64"/>
      <c r="H1112" s="64"/>
      <c r="I1112" s="64"/>
      <c r="J1112" s="64"/>
      <c r="K1112" s="64"/>
      <c r="L1112" s="64"/>
      <c r="M1112" s="64"/>
      <c r="N1112" s="64"/>
      <c r="O1112" s="64"/>
      <c r="P1112" s="64"/>
      <c r="Q1112" s="64"/>
      <c r="R1112" s="64"/>
      <c r="S1112" s="64"/>
      <c r="T1112" s="64"/>
      <c r="U1112" s="64"/>
      <c r="V1112" s="64"/>
      <c r="W1112" s="64"/>
      <c r="X1112" s="64"/>
      <c r="Y1112" s="64"/>
      <c r="Z1112" s="64"/>
    </row>
    <row r="1113">
      <c r="A1113" s="64"/>
      <c r="B1113" s="64"/>
      <c r="C1113" s="64"/>
      <c r="D1113" s="72" t="s">
        <v>2226</v>
      </c>
      <c r="E1113" s="64"/>
      <c r="F1113" s="64"/>
      <c r="G1113" s="64"/>
      <c r="H1113" s="64"/>
      <c r="I1113" s="64"/>
      <c r="J1113" s="64"/>
      <c r="K1113" s="64"/>
      <c r="L1113" s="64"/>
      <c r="M1113" s="64"/>
      <c r="N1113" s="64"/>
      <c r="O1113" s="64"/>
      <c r="P1113" s="64"/>
      <c r="Q1113" s="64"/>
      <c r="R1113" s="64"/>
      <c r="S1113" s="64"/>
      <c r="T1113" s="64"/>
      <c r="U1113" s="64"/>
      <c r="V1113" s="64"/>
      <c r="W1113" s="64"/>
      <c r="X1113" s="64"/>
      <c r="Y1113" s="64"/>
      <c r="Z1113" s="64"/>
    </row>
    <row r="1114">
      <c r="A1114" s="64"/>
      <c r="B1114" s="64"/>
      <c r="C1114" s="64"/>
      <c r="D1114" s="72" t="s">
        <v>2227</v>
      </c>
      <c r="E1114" s="64"/>
      <c r="F1114" s="64"/>
      <c r="G1114" s="64"/>
      <c r="H1114" s="64"/>
      <c r="I1114" s="64"/>
      <c r="J1114" s="64"/>
      <c r="K1114" s="64"/>
      <c r="L1114" s="64"/>
      <c r="M1114" s="64"/>
      <c r="N1114" s="64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</row>
    <row r="1115">
      <c r="A1115" s="64"/>
      <c r="B1115" s="64"/>
      <c r="C1115" s="64"/>
      <c r="D1115" s="72" t="s">
        <v>2228</v>
      </c>
      <c r="E1115" s="64"/>
      <c r="F1115" s="64"/>
      <c r="G1115" s="64"/>
      <c r="H1115" s="64"/>
      <c r="I1115" s="64"/>
      <c r="J1115" s="64"/>
      <c r="K1115" s="64"/>
      <c r="L1115" s="64"/>
      <c r="M1115" s="64"/>
      <c r="N1115" s="64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</row>
    <row r="1116">
      <c r="A1116" s="64"/>
      <c r="B1116" s="64"/>
      <c r="C1116" s="64"/>
      <c r="D1116" s="72" t="s">
        <v>2229</v>
      </c>
      <c r="E1116" s="64"/>
      <c r="F1116" s="64"/>
      <c r="G1116" s="64"/>
      <c r="H1116" s="64"/>
      <c r="I1116" s="64"/>
      <c r="J1116" s="64"/>
      <c r="K1116" s="64"/>
      <c r="L1116" s="64"/>
      <c r="M1116" s="64"/>
      <c r="N1116" s="64"/>
      <c r="O1116" s="64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</row>
    <row r="1117">
      <c r="A1117" s="64"/>
      <c r="B1117" s="64"/>
      <c r="C1117" s="64"/>
      <c r="D1117" s="72" t="s">
        <v>2230</v>
      </c>
      <c r="E1117" s="64"/>
      <c r="F1117" s="64"/>
      <c r="G1117" s="64"/>
      <c r="H1117" s="64"/>
      <c r="I1117" s="64"/>
      <c r="J1117" s="64"/>
      <c r="K1117" s="64"/>
      <c r="L1117" s="64"/>
      <c r="M1117" s="64"/>
      <c r="N1117" s="64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</row>
    <row r="1118">
      <c r="A1118" s="64"/>
      <c r="B1118" s="64"/>
      <c r="C1118" s="64"/>
      <c r="D1118" s="72" t="s">
        <v>2231</v>
      </c>
      <c r="E1118" s="64"/>
      <c r="F1118" s="64"/>
      <c r="G1118" s="64"/>
      <c r="H1118" s="64"/>
      <c r="I1118" s="64"/>
      <c r="J1118" s="64"/>
      <c r="K1118" s="64"/>
      <c r="L1118" s="64"/>
      <c r="M1118" s="64"/>
      <c r="N1118" s="64"/>
      <c r="O1118" s="64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</row>
    <row r="1119">
      <c r="A1119" s="64"/>
      <c r="B1119" s="64"/>
      <c r="C1119" s="64"/>
      <c r="D1119" s="72" t="s">
        <v>2232</v>
      </c>
      <c r="E1119" s="64"/>
      <c r="F1119" s="64"/>
      <c r="G1119" s="64"/>
      <c r="H1119" s="64"/>
      <c r="I1119" s="64"/>
      <c r="J1119" s="64"/>
      <c r="K1119" s="64"/>
      <c r="L1119" s="64"/>
      <c r="M1119" s="64"/>
      <c r="N1119" s="64"/>
      <c r="O1119" s="64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</row>
    <row r="1120">
      <c r="A1120" s="64"/>
      <c r="B1120" s="64"/>
      <c r="C1120" s="64"/>
      <c r="D1120" s="72" t="s">
        <v>2233</v>
      </c>
      <c r="E1120" s="64"/>
      <c r="F1120" s="64"/>
      <c r="G1120" s="64"/>
      <c r="H1120" s="64"/>
      <c r="I1120" s="64"/>
      <c r="J1120" s="64"/>
      <c r="K1120" s="64"/>
      <c r="L1120" s="64"/>
      <c r="M1120" s="64"/>
      <c r="N1120" s="64"/>
      <c r="O1120" s="64"/>
      <c r="P1120" s="64"/>
      <c r="Q1120" s="64"/>
      <c r="R1120" s="64"/>
      <c r="S1120" s="64"/>
      <c r="T1120" s="64"/>
      <c r="U1120" s="64"/>
      <c r="V1120" s="64"/>
      <c r="W1120" s="64"/>
      <c r="X1120" s="64"/>
      <c r="Y1120" s="64"/>
      <c r="Z1120" s="64"/>
    </row>
    <row r="1121">
      <c r="A1121" s="64"/>
      <c r="B1121" s="64"/>
      <c r="C1121" s="64"/>
      <c r="D1121" s="72" t="s">
        <v>2234</v>
      </c>
      <c r="E1121" s="64"/>
      <c r="F1121" s="64"/>
      <c r="G1121" s="64"/>
      <c r="H1121" s="64"/>
      <c r="I1121" s="64"/>
      <c r="J1121" s="64"/>
      <c r="K1121" s="64"/>
      <c r="L1121" s="64"/>
      <c r="M1121" s="64"/>
      <c r="N1121" s="64"/>
      <c r="O1121" s="64"/>
      <c r="P1121" s="64"/>
      <c r="Q1121" s="64"/>
      <c r="R1121" s="64"/>
      <c r="S1121" s="64"/>
      <c r="T1121" s="64"/>
      <c r="U1121" s="64"/>
      <c r="V1121" s="64"/>
      <c r="W1121" s="64"/>
      <c r="X1121" s="64"/>
      <c r="Y1121" s="64"/>
      <c r="Z1121" s="64"/>
    </row>
    <row r="1122">
      <c r="A1122" s="64"/>
      <c r="B1122" s="64"/>
      <c r="C1122" s="64"/>
      <c r="D1122" s="72" t="s">
        <v>2235</v>
      </c>
      <c r="E1122" s="64"/>
      <c r="F1122" s="64"/>
      <c r="G1122" s="64"/>
      <c r="H1122" s="64"/>
      <c r="I1122" s="64"/>
      <c r="J1122" s="64"/>
      <c r="K1122" s="64"/>
      <c r="L1122" s="64"/>
      <c r="M1122" s="64"/>
      <c r="N1122" s="64"/>
      <c r="O1122" s="64"/>
      <c r="P1122" s="64"/>
      <c r="Q1122" s="64"/>
      <c r="R1122" s="64"/>
      <c r="S1122" s="64"/>
      <c r="T1122" s="64"/>
      <c r="U1122" s="64"/>
      <c r="V1122" s="64"/>
      <c r="W1122" s="64"/>
      <c r="X1122" s="64"/>
      <c r="Y1122" s="64"/>
      <c r="Z1122" s="64"/>
    </row>
    <row r="1123">
      <c r="A1123" s="64"/>
      <c r="B1123" s="64"/>
      <c r="C1123" s="64"/>
      <c r="D1123" s="72" t="s">
        <v>2236</v>
      </c>
      <c r="E1123" s="64"/>
      <c r="F1123" s="64"/>
      <c r="G1123" s="64"/>
      <c r="H1123" s="64"/>
      <c r="I1123" s="64"/>
      <c r="J1123" s="64"/>
      <c r="K1123" s="64"/>
      <c r="L1123" s="64"/>
      <c r="M1123" s="64"/>
      <c r="N1123" s="64"/>
      <c r="O1123" s="64"/>
      <c r="P1123" s="64"/>
      <c r="Q1123" s="64"/>
      <c r="R1123" s="64"/>
      <c r="S1123" s="64"/>
      <c r="T1123" s="64"/>
      <c r="U1123" s="64"/>
      <c r="V1123" s="64"/>
      <c r="W1123" s="64"/>
      <c r="X1123" s="64"/>
      <c r="Y1123" s="64"/>
      <c r="Z1123" s="64"/>
    </row>
    <row r="1124">
      <c r="A1124" s="64"/>
      <c r="B1124" s="64"/>
      <c r="C1124" s="64"/>
      <c r="D1124" s="72" t="s">
        <v>2237</v>
      </c>
      <c r="E1124" s="64"/>
      <c r="F1124" s="64"/>
      <c r="G1124" s="64"/>
      <c r="H1124" s="64"/>
      <c r="I1124" s="64"/>
      <c r="J1124" s="64"/>
      <c r="K1124" s="64"/>
      <c r="L1124" s="64"/>
      <c r="M1124" s="64"/>
      <c r="N1124" s="64"/>
      <c r="O1124" s="64"/>
      <c r="P1124" s="64"/>
      <c r="Q1124" s="64"/>
      <c r="R1124" s="64"/>
      <c r="S1124" s="64"/>
      <c r="T1124" s="64"/>
      <c r="U1124" s="64"/>
      <c r="V1124" s="64"/>
      <c r="W1124" s="64"/>
      <c r="X1124" s="64"/>
      <c r="Y1124" s="64"/>
      <c r="Z1124" s="64"/>
    </row>
    <row r="1125">
      <c r="A1125" s="64"/>
      <c r="B1125" s="64"/>
      <c r="C1125" s="64"/>
      <c r="D1125" s="72" t="s">
        <v>2238</v>
      </c>
      <c r="E1125" s="64"/>
      <c r="F1125" s="64"/>
      <c r="G1125" s="64"/>
      <c r="H1125" s="64"/>
      <c r="I1125" s="64"/>
      <c r="J1125" s="64"/>
      <c r="K1125" s="64"/>
      <c r="L1125" s="64"/>
      <c r="M1125" s="64"/>
      <c r="N1125" s="64"/>
      <c r="O1125" s="64"/>
      <c r="P1125" s="64"/>
      <c r="Q1125" s="64"/>
      <c r="R1125" s="64"/>
      <c r="S1125" s="64"/>
      <c r="T1125" s="64"/>
      <c r="U1125" s="64"/>
      <c r="V1125" s="64"/>
      <c r="W1125" s="64"/>
      <c r="X1125" s="64"/>
      <c r="Y1125" s="64"/>
      <c r="Z1125" s="64"/>
    </row>
    <row r="1126">
      <c r="A1126" s="64"/>
      <c r="B1126" s="64"/>
      <c r="C1126" s="64"/>
      <c r="D1126" s="72" t="s">
        <v>2239</v>
      </c>
      <c r="E1126" s="64"/>
      <c r="F1126" s="64"/>
      <c r="G1126" s="64"/>
      <c r="H1126" s="64"/>
      <c r="I1126" s="64"/>
      <c r="J1126" s="64"/>
      <c r="K1126" s="64"/>
      <c r="L1126" s="64"/>
      <c r="M1126" s="64"/>
      <c r="N1126" s="64"/>
      <c r="O1126" s="64"/>
      <c r="P1126" s="64"/>
      <c r="Q1126" s="64"/>
      <c r="R1126" s="64"/>
      <c r="S1126" s="64"/>
      <c r="T1126" s="64"/>
      <c r="U1126" s="64"/>
      <c r="V1126" s="64"/>
      <c r="W1126" s="64"/>
      <c r="X1126" s="64"/>
      <c r="Y1126" s="64"/>
      <c r="Z1126" s="64"/>
    </row>
    <row r="1127">
      <c r="A1127" s="64"/>
      <c r="B1127" s="64"/>
      <c r="C1127" s="64"/>
      <c r="D1127" s="72" t="s">
        <v>2240</v>
      </c>
      <c r="E1127" s="64"/>
      <c r="F1127" s="64"/>
      <c r="G1127" s="64"/>
      <c r="H1127" s="64"/>
      <c r="I1127" s="64"/>
      <c r="J1127" s="64"/>
      <c r="K1127" s="64"/>
      <c r="L1127" s="64"/>
      <c r="M1127" s="64"/>
      <c r="N1127" s="64"/>
      <c r="O1127" s="64"/>
      <c r="P1127" s="64"/>
      <c r="Q1127" s="64"/>
      <c r="R1127" s="64"/>
      <c r="S1127" s="64"/>
      <c r="T1127" s="64"/>
      <c r="U1127" s="64"/>
      <c r="V1127" s="64"/>
      <c r="W1127" s="64"/>
      <c r="X1127" s="64"/>
      <c r="Y1127" s="64"/>
      <c r="Z1127" s="64"/>
    </row>
    <row r="1128">
      <c r="A1128" s="64"/>
      <c r="B1128" s="64"/>
      <c r="C1128" s="64"/>
      <c r="D1128" s="72" t="s">
        <v>2241</v>
      </c>
      <c r="E1128" s="64"/>
      <c r="F1128" s="64"/>
      <c r="G1128" s="64"/>
      <c r="H1128" s="64"/>
      <c r="I1128" s="64"/>
      <c r="J1128" s="64"/>
      <c r="K1128" s="64"/>
      <c r="L1128" s="64"/>
      <c r="M1128" s="64"/>
      <c r="N1128" s="64"/>
      <c r="O1128" s="64"/>
      <c r="P1128" s="64"/>
      <c r="Q1128" s="64"/>
      <c r="R1128" s="64"/>
      <c r="S1128" s="64"/>
      <c r="T1128" s="64"/>
      <c r="U1128" s="64"/>
      <c r="V1128" s="64"/>
      <c r="W1128" s="64"/>
      <c r="X1128" s="64"/>
      <c r="Y1128" s="64"/>
      <c r="Z1128" s="64"/>
    </row>
    <row r="1129">
      <c r="A1129" s="64"/>
      <c r="B1129" s="64"/>
      <c r="C1129" s="64"/>
      <c r="D1129" s="72" t="s">
        <v>2241</v>
      </c>
      <c r="E1129" s="64"/>
      <c r="F1129" s="64"/>
      <c r="G1129" s="64"/>
      <c r="H1129" s="64"/>
      <c r="I1129" s="64"/>
      <c r="J1129" s="64"/>
      <c r="K1129" s="64"/>
      <c r="L1129" s="64"/>
      <c r="M1129" s="64"/>
      <c r="N1129" s="64"/>
      <c r="O1129" s="64"/>
      <c r="P1129" s="64"/>
      <c r="Q1129" s="64"/>
      <c r="R1129" s="64"/>
      <c r="S1129" s="64"/>
      <c r="T1129" s="64"/>
      <c r="U1129" s="64"/>
      <c r="V1129" s="64"/>
      <c r="W1129" s="64"/>
      <c r="X1129" s="64"/>
      <c r="Y1129" s="64"/>
      <c r="Z1129" s="64"/>
    </row>
    <row r="1130">
      <c r="A1130" s="64"/>
      <c r="B1130" s="64"/>
      <c r="C1130" s="64"/>
      <c r="D1130" s="72" t="s">
        <v>2242</v>
      </c>
      <c r="E1130" s="64"/>
      <c r="F1130" s="64"/>
      <c r="G1130" s="64"/>
      <c r="H1130" s="64"/>
      <c r="I1130" s="64"/>
      <c r="J1130" s="64"/>
      <c r="K1130" s="64"/>
      <c r="L1130" s="64"/>
      <c r="M1130" s="64"/>
      <c r="N1130" s="64"/>
      <c r="O1130" s="64"/>
      <c r="P1130" s="64"/>
      <c r="Q1130" s="64"/>
      <c r="R1130" s="64"/>
      <c r="S1130" s="64"/>
      <c r="T1130" s="64"/>
      <c r="U1130" s="64"/>
      <c r="V1130" s="64"/>
      <c r="W1130" s="64"/>
      <c r="X1130" s="64"/>
      <c r="Y1130" s="64"/>
      <c r="Z1130" s="64"/>
    </row>
    <row r="1131">
      <c r="A1131" s="64"/>
      <c r="B1131" s="64"/>
      <c r="C1131" s="64"/>
      <c r="D1131" s="72" t="s">
        <v>2243</v>
      </c>
      <c r="E1131" s="64"/>
      <c r="F1131" s="64"/>
      <c r="G1131" s="64"/>
      <c r="H1131" s="64"/>
      <c r="I1131" s="64"/>
      <c r="J1131" s="64"/>
      <c r="K1131" s="64"/>
      <c r="L1131" s="64"/>
      <c r="M1131" s="64"/>
      <c r="N1131" s="64"/>
      <c r="O1131" s="64"/>
      <c r="P1131" s="64"/>
      <c r="Q1131" s="64"/>
      <c r="R1131" s="64"/>
      <c r="S1131" s="64"/>
      <c r="T1131" s="64"/>
      <c r="U1131" s="64"/>
      <c r="V1131" s="64"/>
      <c r="W1131" s="64"/>
      <c r="X1131" s="64"/>
      <c r="Y1131" s="64"/>
      <c r="Z1131" s="64"/>
    </row>
    <row r="1132">
      <c r="A1132" s="64"/>
      <c r="B1132" s="64"/>
      <c r="C1132" s="64"/>
      <c r="D1132" s="72" t="s">
        <v>2244</v>
      </c>
      <c r="E1132" s="64"/>
      <c r="F1132" s="64"/>
      <c r="G1132" s="64"/>
      <c r="H1132" s="64"/>
      <c r="I1132" s="64"/>
      <c r="J1132" s="64"/>
      <c r="K1132" s="64"/>
      <c r="L1132" s="64"/>
      <c r="M1132" s="64"/>
      <c r="N1132" s="64"/>
      <c r="O1132" s="64"/>
      <c r="P1132" s="64"/>
      <c r="Q1132" s="64"/>
      <c r="R1132" s="64"/>
      <c r="S1132" s="64"/>
      <c r="T1132" s="64"/>
      <c r="U1132" s="64"/>
      <c r="V1132" s="64"/>
      <c r="W1132" s="64"/>
      <c r="X1132" s="64"/>
      <c r="Y1132" s="64"/>
      <c r="Z1132" s="64"/>
    </row>
    <row r="1133">
      <c r="A1133" s="64"/>
      <c r="B1133" s="64"/>
      <c r="C1133" s="64"/>
      <c r="D1133" s="72" t="s">
        <v>2245</v>
      </c>
      <c r="E1133" s="64"/>
      <c r="F1133" s="64"/>
      <c r="G1133" s="64"/>
      <c r="H1133" s="64"/>
      <c r="I1133" s="64"/>
      <c r="J1133" s="64"/>
      <c r="K1133" s="64"/>
      <c r="L1133" s="64"/>
      <c r="M1133" s="64"/>
      <c r="N1133" s="64"/>
      <c r="O1133" s="64"/>
      <c r="P1133" s="64"/>
      <c r="Q1133" s="64"/>
      <c r="R1133" s="64"/>
      <c r="S1133" s="64"/>
      <c r="T1133" s="64"/>
      <c r="U1133" s="64"/>
      <c r="V1133" s="64"/>
      <c r="W1133" s="64"/>
      <c r="X1133" s="64"/>
      <c r="Y1133" s="64"/>
      <c r="Z1133" s="64"/>
    </row>
    <row r="1134">
      <c r="A1134" s="64"/>
      <c r="B1134" s="64"/>
      <c r="C1134" s="64"/>
      <c r="D1134" s="72" t="s">
        <v>2246</v>
      </c>
      <c r="E1134" s="64"/>
      <c r="F1134" s="64"/>
      <c r="G1134" s="64"/>
      <c r="H1134" s="64"/>
      <c r="I1134" s="64"/>
      <c r="J1134" s="64"/>
      <c r="K1134" s="64"/>
      <c r="L1134" s="64"/>
      <c r="M1134" s="64"/>
      <c r="N1134" s="64"/>
      <c r="O1134" s="64"/>
      <c r="P1134" s="64"/>
      <c r="Q1134" s="64"/>
      <c r="R1134" s="64"/>
      <c r="S1134" s="64"/>
      <c r="T1134" s="64"/>
      <c r="U1134" s="64"/>
      <c r="V1134" s="64"/>
      <c r="W1134" s="64"/>
      <c r="X1134" s="64"/>
      <c r="Y1134" s="64"/>
      <c r="Z1134" s="64"/>
    </row>
    <row r="1135">
      <c r="A1135" s="64"/>
      <c r="B1135" s="64"/>
      <c r="C1135" s="64"/>
      <c r="D1135" s="72" t="s">
        <v>2247</v>
      </c>
      <c r="E1135" s="64"/>
      <c r="F1135" s="64"/>
      <c r="G1135" s="64"/>
      <c r="H1135" s="64"/>
      <c r="I1135" s="64"/>
      <c r="J1135" s="64"/>
      <c r="K1135" s="64"/>
      <c r="L1135" s="64"/>
      <c r="M1135" s="64"/>
      <c r="N1135" s="64"/>
      <c r="O1135" s="64"/>
      <c r="P1135" s="64"/>
      <c r="Q1135" s="64"/>
      <c r="R1135" s="64"/>
      <c r="S1135" s="64"/>
      <c r="T1135" s="64"/>
      <c r="U1135" s="64"/>
      <c r="V1135" s="64"/>
      <c r="W1135" s="64"/>
      <c r="X1135" s="64"/>
      <c r="Y1135" s="64"/>
      <c r="Z1135" s="64"/>
    </row>
    <row r="1136">
      <c r="A1136" s="64"/>
      <c r="B1136" s="64"/>
      <c r="C1136" s="64"/>
      <c r="D1136" s="72" t="s">
        <v>2248</v>
      </c>
      <c r="E1136" s="64"/>
      <c r="F1136" s="64"/>
      <c r="G1136" s="64"/>
      <c r="H1136" s="64"/>
      <c r="I1136" s="64"/>
      <c r="J1136" s="64"/>
      <c r="K1136" s="64"/>
      <c r="L1136" s="64"/>
      <c r="M1136" s="64"/>
      <c r="N1136" s="64"/>
      <c r="O1136" s="64"/>
      <c r="P1136" s="64"/>
      <c r="Q1136" s="64"/>
      <c r="R1136" s="64"/>
      <c r="S1136" s="64"/>
      <c r="T1136" s="64"/>
      <c r="U1136" s="64"/>
      <c r="V1136" s="64"/>
      <c r="W1136" s="64"/>
      <c r="X1136" s="64"/>
      <c r="Y1136" s="64"/>
      <c r="Z1136" s="64"/>
    </row>
    <row r="1137">
      <c r="A1137" s="64"/>
      <c r="B1137" s="64"/>
      <c r="C1137" s="64"/>
      <c r="D1137" s="72" t="s">
        <v>2249</v>
      </c>
      <c r="E1137" s="64"/>
      <c r="F1137" s="64"/>
      <c r="G1137" s="64"/>
      <c r="H1137" s="64"/>
      <c r="I1137" s="64"/>
      <c r="J1137" s="64"/>
      <c r="K1137" s="64"/>
      <c r="L1137" s="64"/>
      <c r="M1137" s="64"/>
      <c r="N1137" s="64"/>
      <c r="O1137" s="64"/>
      <c r="P1137" s="64"/>
      <c r="Q1137" s="64"/>
      <c r="R1137" s="64"/>
      <c r="S1137" s="64"/>
      <c r="T1137" s="64"/>
      <c r="U1137" s="64"/>
      <c r="V1137" s="64"/>
      <c r="W1137" s="64"/>
      <c r="X1137" s="64"/>
      <c r="Y1137" s="64"/>
      <c r="Z1137" s="64"/>
    </row>
    <row r="1138">
      <c r="A1138" s="64"/>
      <c r="B1138" s="64"/>
      <c r="C1138" s="64"/>
      <c r="D1138" s="72" t="s">
        <v>94</v>
      </c>
      <c r="E1138" s="64"/>
      <c r="F1138" s="64"/>
      <c r="G1138" s="64"/>
      <c r="H1138" s="64"/>
      <c r="I1138" s="64"/>
      <c r="J1138" s="64"/>
      <c r="K1138" s="64"/>
      <c r="L1138" s="64"/>
      <c r="M1138" s="64"/>
      <c r="N1138" s="64"/>
      <c r="O1138" s="64"/>
      <c r="P1138" s="64"/>
      <c r="Q1138" s="64"/>
      <c r="R1138" s="64"/>
      <c r="S1138" s="64"/>
      <c r="T1138" s="64"/>
      <c r="U1138" s="64"/>
      <c r="V1138" s="64"/>
      <c r="W1138" s="64"/>
      <c r="X1138" s="64"/>
      <c r="Y1138" s="64"/>
      <c r="Z1138" s="64"/>
    </row>
    <row r="1139">
      <c r="A1139" s="64"/>
      <c r="B1139" s="64"/>
      <c r="C1139" s="64"/>
      <c r="D1139" s="72" t="s">
        <v>2250</v>
      </c>
      <c r="E1139" s="64"/>
      <c r="F1139" s="64"/>
      <c r="G1139" s="64"/>
      <c r="H1139" s="64"/>
      <c r="I1139" s="64"/>
      <c r="J1139" s="64"/>
      <c r="K1139" s="64"/>
      <c r="L1139" s="64"/>
      <c r="M1139" s="64"/>
      <c r="N1139" s="64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</row>
    <row r="1140">
      <c r="A1140" s="64"/>
      <c r="B1140" s="64"/>
      <c r="C1140" s="64"/>
      <c r="D1140" s="72" t="s">
        <v>2251</v>
      </c>
      <c r="E1140" s="64"/>
      <c r="F1140" s="64"/>
      <c r="G1140" s="64"/>
      <c r="H1140" s="64"/>
      <c r="I1140" s="64"/>
      <c r="J1140" s="64"/>
      <c r="K1140" s="64"/>
      <c r="L1140" s="64"/>
      <c r="M1140" s="64"/>
      <c r="N1140" s="64"/>
      <c r="O1140" s="64"/>
      <c r="P1140" s="64"/>
      <c r="Q1140" s="64"/>
      <c r="R1140" s="64"/>
      <c r="S1140" s="64"/>
      <c r="T1140" s="64"/>
      <c r="U1140" s="64"/>
      <c r="V1140" s="64"/>
      <c r="W1140" s="64"/>
      <c r="X1140" s="64"/>
      <c r="Y1140" s="64"/>
      <c r="Z1140" s="64"/>
    </row>
    <row r="1141">
      <c r="A1141" s="64"/>
      <c r="B1141" s="64"/>
      <c r="C1141" s="64"/>
      <c r="D1141" s="72" t="s">
        <v>2252</v>
      </c>
      <c r="E1141" s="64"/>
      <c r="F1141" s="64"/>
      <c r="G1141" s="64"/>
      <c r="H1141" s="64"/>
      <c r="I1141" s="64"/>
      <c r="J1141" s="64"/>
      <c r="K1141" s="64"/>
      <c r="L1141" s="64"/>
      <c r="M1141" s="64"/>
      <c r="N1141" s="64"/>
      <c r="O1141" s="64"/>
      <c r="P1141" s="64"/>
      <c r="Q1141" s="64"/>
      <c r="R1141" s="64"/>
      <c r="S1141" s="64"/>
      <c r="T1141" s="64"/>
      <c r="U1141" s="64"/>
      <c r="V1141" s="64"/>
      <c r="W1141" s="64"/>
      <c r="X1141" s="64"/>
      <c r="Y1141" s="64"/>
      <c r="Z1141" s="64"/>
    </row>
    <row r="1142">
      <c r="A1142" s="64"/>
      <c r="B1142" s="64"/>
      <c r="C1142" s="64"/>
      <c r="D1142" s="72" t="s">
        <v>2253</v>
      </c>
      <c r="E1142" s="64"/>
      <c r="F1142" s="64"/>
      <c r="G1142" s="64"/>
      <c r="H1142" s="64"/>
      <c r="I1142" s="64"/>
      <c r="J1142" s="64"/>
      <c r="K1142" s="64"/>
      <c r="L1142" s="64"/>
      <c r="M1142" s="64"/>
      <c r="N1142" s="64"/>
      <c r="O1142" s="64"/>
      <c r="P1142" s="64"/>
      <c r="Q1142" s="64"/>
      <c r="R1142" s="64"/>
      <c r="S1142" s="64"/>
      <c r="T1142" s="64"/>
      <c r="U1142" s="64"/>
      <c r="V1142" s="64"/>
      <c r="W1142" s="64"/>
      <c r="X1142" s="64"/>
      <c r="Y1142" s="64"/>
      <c r="Z1142" s="64"/>
    </row>
    <row r="1143">
      <c r="A1143" s="64"/>
      <c r="B1143" s="64"/>
      <c r="C1143" s="64"/>
      <c r="D1143" s="72" t="s">
        <v>218</v>
      </c>
      <c r="E1143" s="64"/>
      <c r="F1143" s="64"/>
      <c r="G1143" s="64"/>
      <c r="H1143" s="64"/>
      <c r="I1143" s="64"/>
      <c r="J1143" s="64"/>
      <c r="K1143" s="64"/>
      <c r="L1143" s="64"/>
      <c r="M1143" s="64"/>
      <c r="N1143" s="64"/>
      <c r="O1143" s="64"/>
      <c r="P1143" s="64"/>
      <c r="Q1143" s="64"/>
      <c r="R1143" s="64"/>
      <c r="S1143" s="64"/>
      <c r="T1143" s="64"/>
      <c r="U1143" s="64"/>
      <c r="V1143" s="64"/>
      <c r="W1143" s="64"/>
      <c r="X1143" s="64"/>
      <c r="Y1143" s="64"/>
      <c r="Z1143" s="64"/>
    </row>
    <row r="1144">
      <c r="A1144" s="64"/>
      <c r="B1144" s="64"/>
      <c r="C1144" s="64"/>
      <c r="D1144" s="72" t="s">
        <v>2254</v>
      </c>
      <c r="E1144" s="64"/>
      <c r="F1144" s="64"/>
      <c r="G1144" s="64"/>
      <c r="H1144" s="64"/>
      <c r="I1144" s="64"/>
      <c r="J1144" s="64"/>
      <c r="K1144" s="64"/>
      <c r="L1144" s="64"/>
      <c r="M1144" s="64"/>
      <c r="N1144" s="64"/>
      <c r="O1144" s="64"/>
      <c r="P1144" s="64"/>
      <c r="Q1144" s="64"/>
      <c r="R1144" s="64"/>
      <c r="S1144" s="64"/>
      <c r="T1144" s="64"/>
      <c r="U1144" s="64"/>
      <c r="V1144" s="64"/>
      <c r="W1144" s="64"/>
      <c r="X1144" s="64"/>
      <c r="Y1144" s="64"/>
      <c r="Z1144" s="64"/>
    </row>
    <row r="1145">
      <c r="A1145" s="64"/>
      <c r="B1145" s="64"/>
      <c r="C1145" s="64"/>
      <c r="D1145" s="72" t="s">
        <v>2255</v>
      </c>
      <c r="E1145" s="64"/>
      <c r="F1145" s="64"/>
      <c r="G1145" s="64"/>
      <c r="H1145" s="64"/>
      <c r="I1145" s="64"/>
      <c r="J1145" s="64"/>
      <c r="K1145" s="64"/>
      <c r="L1145" s="64"/>
      <c r="M1145" s="64"/>
      <c r="N1145" s="64"/>
      <c r="O1145" s="64"/>
      <c r="P1145" s="64"/>
      <c r="Q1145" s="64"/>
      <c r="R1145" s="64"/>
      <c r="S1145" s="64"/>
      <c r="T1145" s="64"/>
      <c r="U1145" s="64"/>
      <c r="V1145" s="64"/>
      <c r="W1145" s="64"/>
      <c r="X1145" s="64"/>
      <c r="Y1145" s="64"/>
      <c r="Z1145" s="64"/>
    </row>
    <row r="1146">
      <c r="A1146" s="64"/>
      <c r="B1146" s="64"/>
      <c r="C1146" s="64"/>
      <c r="D1146" s="72" t="s">
        <v>2256</v>
      </c>
      <c r="E1146" s="64"/>
      <c r="F1146" s="64"/>
      <c r="G1146" s="64"/>
      <c r="H1146" s="64"/>
      <c r="I1146" s="64"/>
      <c r="J1146" s="64"/>
      <c r="K1146" s="64"/>
      <c r="L1146" s="64"/>
      <c r="M1146" s="64"/>
      <c r="N1146" s="64"/>
      <c r="O1146" s="64"/>
      <c r="P1146" s="64"/>
      <c r="Q1146" s="64"/>
      <c r="R1146" s="64"/>
      <c r="S1146" s="64"/>
      <c r="T1146" s="64"/>
      <c r="U1146" s="64"/>
      <c r="V1146" s="64"/>
      <c r="W1146" s="64"/>
      <c r="X1146" s="64"/>
      <c r="Y1146" s="64"/>
      <c r="Z1146" s="64"/>
    </row>
    <row r="1147">
      <c r="A1147" s="64"/>
      <c r="B1147" s="64"/>
      <c r="C1147" s="64"/>
      <c r="D1147" s="72" t="s">
        <v>2257</v>
      </c>
      <c r="E1147" s="64"/>
      <c r="F1147" s="64"/>
      <c r="G1147" s="64"/>
      <c r="H1147" s="64"/>
      <c r="I1147" s="64"/>
      <c r="J1147" s="64"/>
      <c r="K1147" s="64"/>
      <c r="L1147" s="64"/>
      <c r="M1147" s="64"/>
      <c r="N1147" s="64"/>
      <c r="O1147" s="64"/>
      <c r="P1147" s="64"/>
      <c r="Q1147" s="64"/>
      <c r="R1147" s="64"/>
      <c r="S1147" s="64"/>
      <c r="T1147" s="64"/>
      <c r="U1147" s="64"/>
      <c r="V1147" s="64"/>
      <c r="W1147" s="64"/>
      <c r="X1147" s="64"/>
      <c r="Y1147" s="64"/>
      <c r="Z1147" s="64"/>
    </row>
    <row r="1148">
      <c r="A1148" s="64"/>
      <c r="B1148" s="64"/>
      <c r="C1148" s="64"/>
      <c r="D1148" s="72" t="s">
        <v>2258</v>
      </c>
      <c r="E1148" s="64"/>
      <c r="F1148" s="64"/>
      <c r="G1148" s="64"/>
      <c r="H1148" s="64"/>
      <c r="I1148" s="64"/>
      <c r="J1148" s="64"/>
      <c r="K1148" s="64"/>
      <c r="L1148" s="64"/>
      <c r="M1148" s="64"/>
      <c r="N1148" s="64"/>
      <c r="O1148" s="64"/>
      <c r="P1148" s="64"/>
      <c r="Q1148" s="64"/>
      <c r="R1148" s="64"/>
      <c r="S1148" s="64"/>
      <c r="T1148" s="64"/>
      <c r="U1148" s="64"/>
      <c r="V1148" s="64"/>
      <c r="W1148" s="64"/>
      <c r="X1148" s="64"/>
      <c r="Y1148" s="64"/>
      <c r="Z1148" s="64"/>
    </row>
    <row r="1149">
      <c r="A1149" s="64"/>
      <c r="B1149" s="64"/>
      <c r="C1149" s="64"/>
      <c r="D1149" s="72" t="s">
        <v>328</v>
      </c>
      <c r="E1149" s="64"/>
      <c r="F1149" s="64"/>
      <c r="G1149" s="64"/>
      <c r="H1149" s="64"/>
      <c r="I1149" s="64"/>
      <c r="J1149" s="64"/>
      <c r="K1149" s="64"/>
      <c r="L1149" s="64"/>
      <c r="M1149" s="64"/>
      <c r="N1149" s="64"/>
      <c r="O1149" s="64"/>
      <c r="P1149" s="64"/>
      <c r="Q1149" s="64"/>
      <c r="R1149" s="64"/>
      <c r="S1149" s="64"/>
      <c r="T1149" s="64"/>
      <c r="U1149" s="64"/>
      <c r="V1149" s="64"/>
      <c r="W1149" s="64"/>
      <c r="X1149" s="64"/>
      <c r="Y1149" s="64"/>
      <c r="Z1149" s="64"/>
    </row>
    <row r="1150">
      <c r="A1150" s="64"/>
      <c r="B1150" s="64"/>
      <c r="C1150" s="64"/>
      <c r="D1150" s="72" t="s">
        <v>2259</v>
      </c>
      <c r="E1150" s="64"/>
      <c r="F1150" s="64"/>
      <c r="G1150" s="64"/>
      <c r="H1150" s="64"/>
      <c r="I1150" s="64"/>
      <c r="J1150" s="64"/>
      <c r="K1150" s="64"/>
      <c r="L1150" s="64"/>
      <c r="M1150" s="64"/>
      <c r="N1150" s="64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</row>
    <row r="1151">
      <c r="A1151" s="64"/>
      <c r="B1151" s="64"/>
      <c r="C1151" s="64"/>
      <c r="D1151" s="72" t="s">
        <v>185</v>
      </c>
      <c r="E1151" s="64"/>
      <c r="F1151" s="64"/>
      <c r="G1151" s="64"/>
      <c r="H1151" s="64"/>
      <c r="I1151" s="64"/>
      <c r="J1151" s="64"/>
      <c r="K1151" s="64"/>
      <c r="L1151" s="64"/>
      <c r="M1151" s="64"/>
      <c r="N1151" s="64"/>
      <c r="O1151" s="64"/>
      <c r="P1151" s="64"/>
      <c r="Q1151" s="64"/>
      <c r="R1151" s="64"/>
      <c r="S1151" s="64"/>
      <c r="T1151" s="64"/>
      <c r="U1151" s="64"/>
      <c r="V1151" s="64"/>
      <c r="W1151" s="64"/>
      <c r="X1151" s="64"/>
      <c r="Y1151" s="64"/>
      <c r="Z1151" s="64"/>
    </row>
    <row r="1152">
      <c r="A1152" s="64"/>
      <c r="B1152" s="64"/>
      <c r="C1152" s="64"/>
      <c r="D1152" s="72" t="s">
        <v>2260</v>
      </c>
      <c r="E1152" s="64"/>
      <c r="F1152" s="64"/>
      <c r="G1152" s="64"/>
      <c r="H1152" s="64"/>
      <c r="I1152" s="64"/>
      <c r="J1152" s="64"/>
      <c r="K1152" s="64"/>
      <c r="L1152" s="64"/>
      <c r="M1152" s="64"/>
      <c r="N1152" s="64"/>
      <c r="O1152" s="64"/>
      <c r="P1152" s="64"/>
      <c r="Q1152" s="64"/>
      <c r="R1152" s="64"/>
      <c r="S1152" s="64"/>
      <c r="T1152" s="64"/>
      <c r="U1152" s="64"/>
      <c r="V1152" s="64"/>
      <c r="W1152" s="64"/>
      <c r="X1152" s="64"/>
      <c r="Y1152" s="64"/>
      <c r="Z1152" s="64"/>
    </row>
    <row r="1153">
      <c r="A1153" s="64"/>
      <c r="B1153" s="64"/>
      <c r="C1153" s="64"/>
      <c r="D1153" s="72" t="s">
        <v>86</v>
      </c>
      <c r="E1153" s="64"/>
      <c r="F1153" s="64"/>
      <c r="G1153" s="64"/>
      <c r="H1153" s="64"/>
      <c r="I1153" s="64"/>
      <c r="J1153" s="64"/>
      <c r="K1153" s="64"/>
      <c r="L1153" s="64"/>
      <c r="M1153" s="64"/>
      <c r="N1153" s="64"/>
      <c r="O1153" s="64"/>
      <c r="P1153" s="64"/>
      <c r="Q1153" s="64"/>
      <c r="R1153" s="64"/>
      <c r="S1153" s="64"/>
      <c r="T1153" s="64"/>
      <c r="U1153" s="64"/>
      <c r="V1153" s="64"/>
      <c r="W1153" s="64"/>
      <c r="X1153" s="64"/>
      <c r="Y1153" s="64"/>
      <c r="Z1153" s="64"/>
    </row>
    <row r="1154">
      <c r="A1154" s="64"/>
      <c r="B1154" s="64"/>
      <c r="C1154" s="64"/>
      <c r="D1154" s="72" t="s">
        <v>2261</v>
      </c>
      <c r="E1154" s="64"/>
      <c r="F1154" s="64"/>
      <c r="G1154" s="64"/>
      <c r="H1154" s="64"/>
      <c r="I1154" s="64"/>
      <c r="J1154" s="64"/>
      <c r="K1154" s="64"/>
      <c r="L1154" s="64"/>
      <c r="M1154" s="64"/>
      <c r="N1154" s="64"/>
      <c r="O1154" s="64"/>
      <c r="P1154" s="64"/>
      <c r="Q1154" s="64"/>
      <c r="R1154" s="64"/>
      <c r="S1154" s="64"/>
      <c r="T1154" s="64"/>
      <c r="U1154" s="64"/>
      <c r="V1154" s="64"/>
      <c r="W1154" s="64"/>
      <c r="X1154" s="64"/>
      <c r="Y1154" s="64"/>
      <c r="Z1154" s="64"/>
    </row>
    <row r="1155">
      <c r="A1155" s="64"/>
      <c r="B1155" s="64"/>
      <c r="C1155" s="64"/>
      <c r="D1155" s="72" t="s">
        <v>2262</v>
      </c>
      <c r="E1155" s="64"/>
      <c r="F1155" s="64"/>
      <c r="G1155" s="64"/>
      <c r="H1155" s="64"/>
      <c r="I1155" s="64"/>
      <c r="J1155" s="64"/>
      <c r="K1155" s="64"/>
      <c r="L1155" s="64"/>
      <c r="M1155" s="64"/>
      <c r="N1155" s="64"/>
      <c r="O1155" s="64"/>
      <c r="P1155" s="64"/>
      <c r="Q1155" s="64"/>
      <c r="R1155" s="64"/>
      <c r="S1155" s="64"/>
      <c r="T1155" s="64"/>
      <c r="U1155" s="64"/>
      <c r="V1155" s="64"/>
      <c r="W1155" s="64"/>
      <c r="X1155" s="64"/>
      <c r="Y1155" s="64"/>
      <c r="Z1155" s="64"/>
    </row>
    <row r="1156">
      <c r="A1156" s="64"/>
      <c r="B1156" s="64"/>
      <c r="C1156" s="64"/>
      <c r="D1156" s="72" t="s">
        <v>2263</v>
      </c>
      <c r="E1156" s="64"/>
      <c r="F1156" s="64"/>
      <c r="G1156" s="64"/>
      <c r="H1156" s="64"/>
      <c r="I1156" s="64"/>
      <c r="J1156" s="64"/>
      <c r="K1156" s="64"/>
      <c r="L1156" s="64"/>
      <c r="M1156" s="64"/>
      <c r="N1156" s="64"/>
      <c r="O1156" s="64"/>
      <c r="P1156" s="64"/>
      <c r="Q1156" s="64"/>
      <c r="R1156" s="64"/>
      <c r="S1156" s="64"/>
      <c r="T1156" s="64"/>
      <c r="U1156" s="64"/>
      <c r="V1156" s="64"/>
      <c r="W1156" s="64"/>
      <c r="X1156" s="64"/>
      <c r="Y1156" s="64"/>
      <c r="Z1156" s="64"/>
    </row>
    <row r="1157">
      <c r="A1157" s="64"/>
      <c r="B1157" s="64"/>
      <c r="C1157" s="64"/>
      <c r="D1157" s="72" t="s">
        <v>2264</v>
      </c>
      <c r="E1157" s="64"/>
      <c r="F1157" s="64"/>
      <c r="G1157" s="64"/>
      <c r="H1157" s="64"/>
      <c r="I1157" s="64"/>
      <c r="J1157" s="64"/>
      <c r="K1157" s="64"/>
      <c r="L1157" s="64"/>
      <c r="M1157" s="64"/>
      <c r="N1157" s="64"/>
      <c r="O1157" s="64"/>
      <c r="P1157" s="64"/>
      <c r="Q1157" s="64"/>
      <c r="R1157" s="64"/>
      <c r="S1157" s="64"/>
      <c r="T1157" s="64"/>
      <c r="U1157" s="64"/>
      <c r="V1157" s="64"/>
      <c r="W1157" s="64"/>
      <c r="X1157" s="64"/>
      <c r="Y1157" s="64"/>
      <c r="Z1157" s="64"/>
    </row>
    <row r="1158">
      <c r="A1158" s="64"/>
      <c r="B1158" s="64"/>
      <c r="C1158" s="64"/>
      <c r="D1158" s="72" t="s">
        <v>2265</v>
      </c>
      <c r="E1158" s="64"/>
      <c r="F1158" s="64"/>
      <c r="G1158" s="64"/>
      <c r="H1158" s="64"/>
      <c r="I1158" s="64"/>
      <c r="J1158" s="64"/>
      <c r="K1158" s="64"/>
      <c r="L1158" s="64"/>
      <c r="M1158" s="64"/>
      <c r="N1158" s="64"/>
      <c r="O1158" s="64"/>
      <c r="P1158" s="64"/>
      <c r="Q1158" s="64"/>
      <c r="R1158" s="64"/>
      <c r="S1158" s="64"/>
      <c r="T1158" s="64"/>
      <c r="U1158" s="64"/>
      <c r="V1158" s="64"/>
      <c r="W1158" s="64"/>
      <c r="X1158" s="64"/>
      <c r="Y1158" s="64"/>
      <c r="Z1158" s="64"/>
    </row>
    <row r="1159">
      <c r="A1159" s="64"/>
      <c r="B1159" s="64"/>
      <c r="C1159" s="64"/>
      <c r="D1159" s="72" t="s">
        <v>2266</v>
      </c>
      <c r="E1159" s="64"/>
      <c r="F1159" s="64"/>
      <c r="G1159" s="64"/>
      <c r="H1159" s="64"/>
      <c r="I1159" s="64"/>
      <c r="J1159" s="64"/>
      <c r="K1159" s="64"/>
      <c r="L1159" s="64"/>
      <c r="M1159" s="64"/>
      <c r="N1159" s="64"/>
      <c r="O1159" s="64"/>
      <c r="P1159" s="64"/>
      <c r="Q1159" s="64"/>
      <c r="R1159" s="64"/>
      <c r="S1159" s="64"/>
      <c r="T1159" s="64"/>
      <c r="U1159" s="64"/>
      <c r="V1159" s="64"/>
      <c r="W1159" s="64"/>
      <c r="X1159" s="64"/>
      <c r="Y1159" s="64"/>
      <c r="Z1159" s="64"/>
    </row>
    <row r="1160">
      <c r="A1160" s="64"/>
      <c r="B1160" s="64"/>
      <c r="C1160" s="64"/>
      <c r="D1160" s="72" t="s">
        <v>2267</v>
      </c>
      <c r="E1160" s="64"/>
      <c r="F1160" s="64"/>
      <c r="G1160" s="64"/>
      <c r="H1160" s="64"/>
      <c r="I1160" s="64"/>
      <c r="J1160" s="64"/>
      <c r="K1160" s="64"/>
      <c r="L1160" s="64"/>
      <c r="M1160" s="64"/>
      <c r="N1160" s="64"/>
      <c r="O1160" s="64"/>
      <c r="P1160" s="64"/>
      <c r="Q1160" s="64"/>
      <c r="R1160" s="64"/>
      <c r="S1160" s="64"/>
      <c r="T1160" s="64"/>
      <c r="U1160" s="64"/>
      <c r="V1160" s="64"/>
      <c r="W1160" s="64"/>
      <c r="X1160" s="64"/>
      <c r="Y1160" s="64"/>
      <c r="Z1160" s="64"/>
    </row>
    <row r="1161">
      <c r="A1161" s="64"/>
      <c r="B1161" s="64"/>
      <c r="C1161" s="64"/>
      <c r="D1161" s="72" t="s">
        <v>2268</v>
      </c>
      <c r="E1161" s="64"/>
      <c r="F1161" s="64"/>
      <c r="G1161" s="64"/>
      <c r="H1161" s="64"/>
      <c r="I1161" s="64"/>
      <c r="J1161" s="64"/>
      <c r="K1161" s="64"/>
      <c r="L1161" s="64"/>
      <c r="M1161" s="64"/>
      <c r="N1161" s="64"/>
      <c r="O1161" s="64"/>
      <c r="P1161" s="64"/>
      <c r="Q1161" s="64"/>
      <c r="R1161" s="64"/>
      <c r="S1161" s="64"/>
      <c r="T1161" s="64"/>
      <c r="U1161" s="64"/>
      <c r="V1161" s="64"/>
      <c r="W1161" s="64"/>
      <c r="X1161" s="64"/>
      <c r="Y1161" s="64"/>
      <c r="Z1161" s="64"/>
    </row>
    <row r="1162">
      <c r="A1162" s="64"/>
      <c r="B1162" s="64"/>
      <c r="C1162" s="64"/>
      <c r="D1162" s="72" t="s">
        <v>2269</v>
      </c>
      <c r="E1162" s="64"/>
      <c r="F1162" s="64"/>
      <c r="G1162" s="64"/>
      <c r="H1162" s="64"/>
      <c r="I1162" s="64"/>
      <c r="J1162" s="64"/>
      <c r="K1162" s="64"/>
      <c r="L1162" s="64"/>
      <c r="M1162" s="64"/>
      <c r="N1162" s="64"/>
      <c r="O1162" s="64"/>
      <c r="P1162" s="64"/>
      <c r="Q1162" s="64"/>
      <c r="R1162" s="64"/>
      <c r="S1162" s="64"/>
      <c r="T1162" s="64"/>
      <c r="U1162" s="64"/>
      <c r="V1162" s="64"/>
      <c r="W1162" s="64"/>
      <c r="X1162" s="64"/>
      <c r="Y1162" s="64"/>
      <c r="Z1162" s="64"/>
    </row>
    <row r="1163">
      <c r="A1163" s="64"/>
      <c r="B1163" s="64"/>
      <c r="C1163" s="64"/>
      <c r="D1163" s="72" t="s">
        <v>2270</v>
      </c>
      <c r="E1163" s="64"/>
      <c r="F1163" s="64"/>
      <c r="G1163" s="64"/>
      <c r="H1163" s="64"/>
      <c r="I1163" s="64"/>
      <c r="J1163" s="64"/>
      <c r="K1163" s="64"/>
      <c r="L1163" s="64"/>
      <c r="M1163" s="64"/>
      <c r="N1163" s="64"/>
      <c r="O1163" s="64"/>
      <c r="P1163" s="64"/>
      <c r="Q1163" s="64"/>
      <c r="R1163" s="64"/>
      <c r="S1163" s="64"/>
      <c r="T1163" s="64"/>
      <c r="U1163" s="64"/>
      <c r="V1163" s="64"/>
      <c r="W1163" s="64"/>
      <c r="X1163" s="64"/>
      <c r="Y1163" s="64"/>
      <c r="Z1163" s="64"/>
    </row>
    <row r="1164">
      <c r="A1164" s="64"/>
      <c r="B1164" s="64"/>
      <c r="C1164" s="64"/>
      <c r="D1164" s="72" t="s">
        <v>2271</v>
      </c>
      <c r="E1164" s="64"/>
      <c r="F1164" s="64"/>
      <c r="G1164" s="64"/>
      <c r="H1164" s="64"/>
      <c r="I1164" s="64"/>
      <c r="J1164" s="64"/>
      <c r="K1164" s="64"/>
      <c r="L1164" s="64"/>
      <c r="M1164" s="64"/>
      <c r="N1164" s="64"/>
      <c r="O1164" s="64"/>
      <c r="P1164" s="64"/>
      <c r="Q1164" s="64"/>
      <c r="R1164" s="64"/>
      <c r="S1164" s="64"/>
      <c r="T1164" s="64"/>
      <c r="U1164" s="64"/>
      <c r="V1164" s="64"/>
      <c r="W1164" s="64"/>
      <c r="X1164" s="64"/>
      <c r="Y1164" s="64"/>
      <c r="Z1164" s="64"/>
    </row>
    <row r="1165">
      <c r="A1165" s="64"/>
      <c r="B1165" s="64"/>
      <c r="C1165" s="64"/>
      <c r="D1165" s="72" t="s">
        <v>2272</v>
      </c>
      <c r="E1165" s="64"/>
      <c r="F1165" s="64"/>
      <c r="G1165" s="64"/>
      <c r="H1165" s="64"/>
      <c r="I1165" s="64"/>
      <c r="J1165" s="64"/>
      <c r="K1165" s="64"/>
      <c r="L1165" s="64"/>
      <c r="M1165" s="64"/>
      <c r="N1165" s="64"/>
      <c r="O1165" s="64"/>
      <c r="P1165" s="64"/>
      <c r="Q1165" s="64"/>
      <c r="R1165" s="64"/>
      <c r="S1165" s="64"/>
      <c r="T1165" s="64"/>
      <c r="U1165" s="64"/>
      <c r="V1165" s="64"/>
      <c r="W1165" s="64"/>
      <c r="X1165" s="64"/>
      <c r="Y1165" s="64"/>
      <c r="Z1165" s="64"/>
    </row>
    <row r="1166">
      <c r="A1166" s="64"/>
      <c r="B1166" s="64"/>
      <c r="C1166" s="64"/>
      <c r="D1166" s="72" t="s">
        <v>2273</v>
      </c>
      <c r="E1166" s="64"/>
      <c r="F1166" s="64"/>
      <c r="G1166" s="64"/>
      <c r="H1166" s="64"/>
      <c r="I1166" s="64"/>
      <c r="J1166" s="64"/>
      <c r="K1166" s="64"/>
      <c r="L1166" s="64"/>
      <c r="M1166" s="64"/>
      <c r="N1166" s="64"/>
      <c r="O1166" s="64"/>
      <c r="P1166" s="64"/>
      <c r="Q1166" s="64"/>
      <c r="R1166" s="64"/>
      <c r="S1166" s="64"/>
      <c r="T1166" s="64"/>
      <c r="U1166" s="64"/>
      <c r="V1166" s="64"/>
      <c r="W1166" s="64"/>
      <c r="X1166" s="64"/>
      <c r="Y1166" s="64"/>
      <c r="Z1166" s="64"/>
    </row>
    <row r="1167">
      <c r="A1167" s="64"/>
      <c r="B1167" s="64"/>
      <c r="C1167" s="64"/>
      <c r="D1167" s="72" t="s">
        <v>2274</v>
      </c>
      <c r="E1167" s="64"/>
      <c r="F1167" s="64"/>
      <c r="G1167" s="64"/>
      <c r="H1167" s="64"/>
      <c r="I1167" s="64"/>
      <c r="J1167" s="64"/>
      <c r="K1167" s="64"/>
      <c r="L1167" s="64"/>
      <c r="M1167" s="64"/>
      <c r="N1167" s="64"/>
      <c r="O1167" s="64"/>
      <c r="P1167" s="64"/>
      <c r="Q1167" s="64"/>
      <c r="R1167" s="64"/>
      <c r="S1167" s="64"/>
      <c r="T1167" s="64"/>
      <c r="U1167" s="64"/>
      <c r="V1167" s="64"/>
      <c r="W1167" s="64"/>
      <c r="X1167" s="64"/>
      <c r="Y1167" s="64"/>
      <c r="Z1167" s="64"/>
    </row>
    <row r="1168">
      <c r="A1168" s="64"/>
      <c r="B1168" s="64"/>
      <c r="C1168" s="64"/>
      <c r="D1168" s="72" t="s">
        <v>135</v>
      </c>
      <c r="E1168" s="64"/>
      <c r="F1168" s="64"/>
      <c r="G1168" s="64"/>
      <c r="H1168" s="64"/>
      <c r="I1168" s="64"/>
      <c r="J1168" s="64"/>
      <c r="K1168" s="64"/>
      <c r="L1168" s="64"/>
      <c r="M1168" s="64"/>
      <c r="N1168" s="64"/>
      <c r="O1168" s="64"/>
      <c r="P1168" s="64"/>
      <c r="Q1168" s="64"/>
      <c r="R1168" s="64"/>
      <c r="S1168" s="64"/>
      <c r="T1168" s="64"/>
      <c r="U1168" s="64"/>
      <c r="V1168" s="64"/>
      <c r="W1168" s="64"/>
      <c r="X1168" s="64"/>
      <c r="Y1168" s="64"/>
      <c r="Z1168" s="64"/>
    </row>
    <row r="1169">
      <c r="A1169" s="64"/>
      <c r="B1169" s="64"/>
      <c r="C1169" s="64"/>
      <c r="D1169" s="72" t="s">
        <v>2275</v>
      </c>
      <c r="E1169" s="64"/>
      <c r="F1169" s="64"/>
      <c r="G1169" s="64"/>
      <c r="H1169" s="64"/>
      <c r="I1169" s="64"/>
      <c r="J1169" s="64"/>
      <c r="K1169" s="64"/>
      <c r="L1169" s="64"/>
      <c r="M1169" s="64"/>
      <c r="N1169" s="64"/>
      <c r="O1169" s="64"/>
      <c r="P1169" s="64"/>
      <c r="Q1169" s="64"/>
      <c r="R1169" s="64"/>
      <c r="S1169" s="64"/>
      <c r="T1169" s="64"/>
      <c r="U1169" s="64"/>
      <c r="V1169" s="64"/>
      <c r="W1169" s="64"/>
      <c r="X1169" s="64"/>
      <c r="Y1169" s="64"/>
      <c r="Z1169" s="64"/>
    </row>
    <row r="1170">
      <c r="A1170" s="64"/>
      <c r="B1170" s="64"/>
      <c r="C1170" s="64"/>
      <c r="D1170" s="72" t="s">
        <v>2276</v>
      </c>
      <c r="E1170" s="64"/>
      <c r="F1170" s="64"/>
      <c r="G1170" s="64"/>
      <c r="H1170" s="64"/>
      <c r="I1170" s="64"/>
      <c r="J1170" s="64"/>
      <c r="K1170" s="64"/>
      <c r="L1170" s="64"/>
      <c r="M1170" s="64"/>
      <c r="N1170" s="64"/>
      <c r="O1170" s="64"/>
      <c r="P1170" s="64"/>
      <c r="Q1170" s="64"/>
      <c r="R1170" s="64"/>
      <c r="S1170" s="64"/>
      <c r="T1170" s="64"/>
      <c r="U1170" s="64"/>
      <c r="V1170" s="64"/>
      <c r="W1170" s="64"/>
      <c r="X1170" s="64"/>
      <c r="Y1170" s="64"/>
      <c r="Z1170" s="64"/>
    </row>
    <row r="1171">
      <c r="A1171" s="64"/>
      <c r="B1171" s="64"/>
      <c r="C1171" s="64"/>
      <c r="D1171" s="72" t="s">
        <v>2277</v>
      </c>
      <c r="E1171" s="64"/>
      <c r="F1171" s="64"/>
      <c r="G1171" s="64"/>
      <c r="H1171" s="64"/>
      <c r="I1171" s="64"/>
      <c r="J1171" s="64"/>
      <c r="K1171" s="64"/>
      <c r="L1171" s="64"/>
      <c r="M1171" s="64"/>
      <c r="N1171" s="64"/>
      <c r="O1171" s="64"/>
      <c r="P1171" s="64"/>
      <c r="Q1171" s="64"/>
      <c r="R1171" s="64"/>
      <c r="S1171" s="64"/>
      <c r="T1171" s="64"/>
      <c r="U1171" s="64"/>
      <c r="V1171" s="64"/>
      <c r="W1171" s="64"/>
      <c r="X1171" s="64"/>
      <c r="Y1171" s="64"/>
      <c r="Z1171" s="64"/>
    </row>
    <row r="1172">
      <c r="A1172" s="64"/>
      <c r="B1172" s="64"/>
      <c r="C1172" s="64"/>
      <c r="D1172" s="72" t="s">
        <v>2278</v>
      </c>
      <c r="E1172" s="64"/>
      <c r="F1172" s="64"/>
      <c r="G1172" s="64"/>
      <c r="H1172" s="64"/>
      <c r="I1172" s="64"/>
      <c r="J1172" s="64"/>
      <c r="K1172" s="64"/>
      <c r="L1172" s="64"/>
      <c r="M1172" s="64"/>
      <c r="N1172" s="64"/>
      <c r="O1172" s="64"/>
      <c r="P1172" s="64"/>
      <c r="Q1172" s="64"/>
      <c r="R1172" s="64"/>
      <c r="S1172" s="64"/>
      <c r="T1172" s="64"/>
      <c r="U1172" s="64"/>
      <c r="V1172" s="64"/>
      <c r="W1172" s="64"/>
      <c r="X1172" s="64"/>
      <c r="Y1172" s="64"/>
      <c r="Z1172" s="64"/>
    </row>
    <row r="1173">
      <c r="A1173" s="64"/>
      <c r="B1173" s="64"/>
      <c r="C1173" s="64"/>
      <c r="D1173" s="72" t="s">
        <v>2279</v>
      </c>
      <c r="E1173" s="64"/>
      <c r="F1173" s="64"/>
      <c r="G1173" s="64"/>
      <c r="H1173" s="64"/>
      <c r="I1173" s="64"/>
      <c r="J1173" s="64"/>
      <c r="K1173" s="64"/>
      <c r="L1173" s="64"/>
      <c r="M1173" s="64"/>
      <c r="N1173" s="64"/>
      <c r="O1173" s="64"/>
      <c r="P1173" s="64"/>
      <c r="Q1173" s="64"/>
      <c r="R1173" s="64"/>
      <c r="S1173" s="64"/>
      <c r="T1173" s="64"/>
      <c r="U1173" s="64"/>
      <c r="V1173" s="64"/>
      <c r="W1173" s="64"/>
      <c r="X1173" s="64"/>
      <c r="Y1173" s="64"/>
      <c r="Z1173" s="64"/>
    </row>
    <row r="1174">
      <c r="A1174" s="64"/>
      <c r="B1174" s="64"/>
      <c r="C1174" s="64"/>
      <c r="D1174" s="72" t="s">
        <v>2280</v>
      </c>
      <c r="E1174" s="64"/>
      <c r="F1174" s="64"/>
      <c r="G1174" s="64"/>
      <c r="H1174" s="64"/>
      <c r="I1174" s="64"/>
      <c r="J1174" s="64"/>
      <c r="K1174" s="64"/>
      <c r="L1174" s="64"/>
      <c r="M1174" s="64"/>
      <c r="N1174" s="64"/>
      <c r="O1174" s="64"/>
      <c r="P1174" s="64"/>
      <c r="Q1174" s="64"/>
      <c r="R1174" s="64"/>
      <c r="S1174" s="64"/>
      <c r="T1174" s="64"/>
      <c r="U1174" s="64"/>
      <c r="V1174" s="64"/>
      <c r="W1174" s="64"/>
      <c r="X1174" s="64"/>
      <c r="Y1174" s="64"/>
      <c r="Z1174" s="64"/>
    </row>
    <row r="1175">
      <c r="A1175" s="64"/>
      <c r="B1175" s="64"/>
      <c r="C1175" s="64"/>
      <c r="D1175" s="72" t="s">
        <v>2281</v>
      </c>
      <c r="E1175" s="64"/>
      <c r="F1175" s="64"/>
      <c r="G1175" s="64"/>
      <c r="H1175" s="64"/>
      <c r="I1175" s="64"/>
      <c r="J1175" s="64"/>
      <c r="K1175" s="64"/>
      <c r="L1175" s="64"/>
      <c r="M1175" s="64"/>
      <c r="N1175" s="64"/>
      <c r="O1175" s="64"/>
      <c r="P1175" s="64"/>
      <c r="Q1175" s="64"/>
      <c r="R1175" s="64"/>
      <c r="S1175" s="64"/>
      <c r="T1175" s="64"/>
      <c r="U1175" s="64"/>
      <c r="V1175" s="64"/>
      <c r="W1175" s="64"/>
      <c r="X1175" s="64"/>
      <c r="Y1175" s="64"/>
      <c r="Z1175" s="64"/>
    </row>
    <row r="1176">
      <c r="A1176" s="64"/>
      <c r="B1176" s="64"/>
      <c r="C1176" s="64"/>
      <c r="D1176" s="72" t="s">
        <v>2282</v>
      </c>
      <c r="E1176" s="64"/>
      <c r="F1176" s="64"/>
      <c r="G1176" s="64"/>
      <c r="H1176" s="64"/>
      <c r="I1176" s="64"/>
      <c r="J1176" s="64"/>
      <c r="K1176" s="64"/>
      <c r="L1176" s="64"/>
      <c r="M1176" s="64"/>
      <c r="N1176" s="64"/>
      <c r="O1176" s="64"/>
      <c r="P1176" s="64"/>
      <c r="Q1176" s="64"/>
      <c r="R1176" s="64"/>
      <c r="S1176" s="64"/>
      <c r="T1176" s="64"/>
      <c r="U1176" s="64"/>
      <c r="V1176" s="64"/>
      <c r="W1176" s="64"/>
      <c r="X1176" s="64"/>
      <c r="Y1176" s="64"/>
      <c r="Z1176" s="64"/>
    </row>
    <row r="1177">
      <c r="A1177" s="64"/>
      <c r="B1177" s="64"/>
      <c r="C1177" s="64"/>
      <c r="D1177" s="72" t="s">
        <v>2283</v>
      </c>
      <c r="E1177" s="64"/>
      <c r="F1177" s="64"/>
      <c r="G1177" s="64"/>
      <c r="H1177" s="64"/>
      <c r="I1177" s="64"/>
      <c r="J1177" s="64"/>
      <c r="K1177" s="64"/>
      <c r="L1177" s="64"/>
      <c r="M1177" s="64"/>
      <c r="N1177" s="64"/>
      <c r="O1177" s="64"/>
      <c r="P1177" s="64"/>
      <c r="Q1177" s="64"/>
      <c r="R1177" s="64"/>
      <c r="S1177" s="64"/>
      <c r="T1177" s="64"/>
      <c r="U1177" s="64"/>
      <c r="V1177" s="64"/>
      <c r="W1177" s="64"/>
      <c r="X1177" s="64"/>
      <c r="Y1177" s="64"/>
      <c r="Z1177" s="64"/>
    </row>
    <row r="1178">
      <c r="A1178" s="64"/>
      <c r="B1178" s="64"/>
      <c r="C1178" s="64"/>
      <c r="D1178" s="72" t="s">
        <v>2284</v>
      </c>
      <c r="E1178" s="64"/>
      <c r="F1178" s="64"/>
      <c r="G1178" s="64"/>
      <c r="H1178" s="64"/>
      <c r="I1178" s="64"/>
      <c r="J1178" s="64"/>
      <c r="K1178" s="64"/>
      <c r="L1178" s="64"/>
      <c r="M1178" s="64"/>
      <c r="N1178" s="64"/>
      <c r="O1178" s="64"/>
      <c r="P1178" s="64"/>
      <c r="Q1178" s="64"/>
      <c r="R1178" s="64"/>
      <c r="S1178" s="64"/>
      <c r="T1178" s="64"/>
      <c r="U1178" s="64"/>
      <c r="V1178" s="64"/>
      <c r="W1178" s="64"/>
      <c r="X1178" s="64"/>
      <c r="Y1178" s="64"/>
      <c r="Z1178" s="64"/>
    </row>
    <row r="1179">
      <c r="A1179" s="64"/>
      <c r="B1179" s="64"/>
      <c r="C1179" s="64"/>
      <c r="D1179" s="72" t="s">
        <v>2285</v>
      </c>
      <c r="E1179" s="64"/>
      <c r="F1179" s="64"/>
      <c r="G1179" s="64"/>
      <c r="H1179" s="64"/>
      <c r="I1179" s="64"/>
      <c r="J1179" s="64"/>
      <c r="K1179" s="64"/>
      <c r="L1179" s="64"/>
      <c r="M1179" s="64"/>
      <c r="N1179" s="64"/>
      <c r="O1179" s="64"/>
      <c r="P1179" s="64"/>
      <c r="Q1179" s="64"/>
      <c r="R1179" s="64"/>
      <c r="S1179" s="64"/>
      <c r="T1179" s="64"/>
      <c r="U1179" s="64"/>
      <c r="V1179" s="64"/>
      <c r="W1179" s="64"/>
      <c r="X1179" s="64"/>
      <c r="Y1179" s="64"/>
      <c r="Z1179" s="64"/>
    </row>
    <row r="1180">
      <c r="A1180" s="64"/>
      <c r="B1180" s="64"/>
      <c r="C1180" s="64"/>
      <c r="D1180" s="72" t="s">
        <v>2286</v>
      </c>
      <c r="E1180" s="64"/>
      <c r="F1180" s="64"/>
      <c r="G1180" s="64"/>
      <c r="H1180" s="64"/>
      <c r="I1180" s="64"/>
      <c r="J1180" s="64"/>
      <c r="K1180" s="64"/>
      <c r="L1180" s="64"/>
      <c r="M1180" s="64"/>
      <c r="N1180" s="64"/>
      <c r="O1180" s="64"/>
      <c r="P1180" s="64"/>
      <c r="Q1180" s="64"/>
      <c r="R1180" s="64"/>
      <c r="S1180" s="64"/>
      <c r="T1180" s="64"/>
      <c r="U1180" s="64"/>
      <c r="V1180" s="64"/>
      <c r="W1180" s="64"/>
      <c r="X1180" s="64"/>
      <c r="Y1180" s="64"/>
      <c r="Z1180" s="64"/>
    </row>
    <row r="1181">
      <c r="A1181" s="64"/>
      <c r="B1181" s="64"/>
      <c r="C1181" s="64"/>
      <c r="D1181" s="72" t="s">
        <v>2287</v>
      </c>
      <c r="E1181" s="64"/>
      <c r="F1181" s="64"/>
      <c r="G1181" s="64"/>
      <c r="H1181" s="64"/>
      <c r="I1181" s="64"/>
      <c r="J1181" s="64"/>
      <c r="K1181" s="64"/>
      <c r="L1181" s="64"/>
      <c r="M1181" s="64"/>
      <c r="N1181" s="64"/>
      <c r="O1181" s="64"/>
      <c r="P1181" s="64"/>
      <c r="Q1181" s="64"/>
      <c r="R1181" s="64"/>
      <c r="S1181" s="64"/>
      <c r="T1181" s="64"/>
      <c r="U1181" s="64"/>
      <c r="V1181" s="64"/>
      <c r="W1181" s="64"/>
      <c r="X1181" s="64"/>
      <c r="Y1181" s="64"/>
      <c r="Z1181" s="64"/>
    </row>
    <row r="1182">
      <c r="A1182" s="64"/>
      <c r="B1182" s="64"/>
      <c r="C1182" s="64"/>
      <c r="D1182" s="72" t="s">
        <v>2288</v>
      </c>
      <c r="E1182" s="64"/>
      <c r="F1182" s="64"/>
      <c r="G1182" s="64"/>
      <c r="H1182" s="64"/>
      <c r="I1182" s="64"/>
      <c r="J1182" s="64"/>
      <c r="K1182" s="64"/>
      <c r="L1182" s="64"/>
      <c r="M1182" s="64"/>
      <c r="N1182" s="64"/>
      <c r="O1182" s="64"/>
      <c r="P1182" s="64"/>
      <c r="Q1182" s="64"/>
      <c r="R1182" s="64"/>
      <c r="S1182" s="64"/>
      <c r="T1182" s="64"/>
      <c r="U1182" s="64"/>
      <c r="V1182" s="64"/>
      <c r="W1182" s="64"/>
      <c r="X1182" s="64"/>
      <c r="Y1182" s="64"/>
      <c r="Z1182" s="64"/>
    </row>
    <row r="1183">
      <c r="A1183" s="64"/>
      <c r="B1183" s="64"/>
      <c r="C1183" s="64"/>
      <c r="D1183" s="72" t="s">
        <v>2289</v>
      </c>
      <c r="E1183" s="64"/>
      <c r="F1183" s="64"/>
      <c r="G1183" s="64"/>
      <c r="H1183" s="64"/>
      <c r="I1183" s="64"/>
      <c r="J1183" s="64"/>
      <c r="K1183" s="64"/>
      <c r="L1183" s="64"/>
      <c r="M1183" s="64"/>
      <c r="N1183" s="64"/>
      <c r="O1183" s="64"/>
      <c r="P1183" s="64"/>
      <c r="Q1183" s="64"/>
      <c r="R1183" s="64"/>
      <c r="S1183" s="64"/>
      <c r="T1183" s="64"/>
      <c r="U1183" s="64"/>
      <c r="V1183" s="64"/>
      <c r="W1183" s="64"/>
      <c r="X1183" s="64"/>
      <c r="Y1183" s="64"/>
      <c r="Z1183" s="64"/>
    </row>
    <row r="1184">
      <c r="A1184" s="64"/>
      <c r="B1184" s="64"/>
      <c r="C1184" s="64"/>
      <c r="D1184" s="72" t="s">
        <v>2290</v>
      </c>
      <c r="E1184" s="64"/>
      <c r="F1184" s="64"/>
      <c r="G1184" s="64"/>
      <c r="H1184" s="64"/>
      <c r="I1184" s="64"/>
      <c r="J1184" s="64"/>
      <c r="K1184" s="64"/>
      <c r="L1184" s="64"/>
      <c r="M1184" s="64"/>
      <c r="N1184" s="64"/>
      <c r="O1184" s="64"/>
      <c r="P1184" s="64"/>
      <c r="Q1184" s="64"/>
      <c r="R1184" s="64"/>
      <c r="S1184" s="64"/>
      <c r="T1184" s="64"/>
      <c r="U1184" s="64"/>
      <c r="V1184" s="64"/>
      <c r="W1184" s="64"/>
      <c r="X1184" s="64"/>
      <c r="Y1184" s="64"/>
      <c r="Z1184" s="64"/>
    </row>
    <row r="1185">
      <c r="A1185" s="64"/>
      <c r="B1185" s="64"/>
      <c r="C1185" s="64"/>
      <c r="D1185" s="72" t="s">
        <v>2291</v>
      </c>
      <c r="E1185" s="64"/>
      <c r="F1185" s="64"/>
      <c r="G1185" s="64"/>
      <c r="H1185" s="64"/>
      <c r="I1185" s="64"/>
      <c r="J1185" s="64"/>
      <c r="K1185" s="64"/>
      <c r="L1185" s="64"/>
      <c r="M1185" s="64"/>
      <c r="N1185" s="64"/>
      <c r="O1185" s="64"/>
      <c r="P1185" s="64"/>
      <c r="Q1185" s="64"/>
      <c r="R1185" s="64"/>
      <c r="S1185" s="64"/>
      <c r="T1185" s="64"/>
      <c r="U1185" s="64"/>
      <c r="V1185" s="64"/>
      <c r="W1185" s="64"/>
      <c r="X1185" s="64"/>
      <c r="Y1185" s="64"/>
      <c r="Z1185" s="64"/>
    </row>
    <row r="1186">
      <c r="A1186" s="64"/>
      <c r="B1186" s="64"/>
      <c r="C1186" s="64"/>
      <c r="D1186" s="72" t="s">
        <v>2292</v>
      </c>
      <c r="E1186" s="64"/>
      <c r="F1186" s="64"/>
      <c r="G1186" s="64"/>
      <c r="H1186" s="64"/>
      <c r="I1186" s="64"/>
      <c r="J1186" s="64"/>
      <c r="K1186" s="64"/>
      <c r="L1186" s="64"/>
      <c r="M1186" s="64"/>
      <c r="N1186" s="64"/>
      <c r="O1186" s="64"/>
      <c r="P1186" s="64"/>
      <c r="Q1186" s="64"/>
      <c r="R1186" s="64"/>
      <c r="S1186" s="64"/>
      <c r="T1186" s="64"/>
      <c r="U1186" s="64"/>
      <c r="V1186" s="64"/>
      <c r="W1186" s="64"/>
      <c r="X1186" s="64"/>
      <c r="Y1186" s="64"/>
      <c r="Z1186" s="64"/>
    </row>
    <row r="1187">
      <c r="A1187" s="64"/>
      <c r="B1187" s="64"/>
      <c r="C1187" s="64"/>
      <c r="D1187" s="72" t="s">
        <v>2293</v>
      </c>
      <c r="E1187" s="64"/>
      <c r="F1187" s="64"/>
      <c r="G1187" s="64"/>
      <c r="H1187" s="64"/>
      <c r="I1187" s="64"/>
      <c r="J1187" s="64"/>
      <c r="K1187" s="64"/>
      <c r="L1187" s="64"/>
      <c r="M1187" s="64"/>
      <c r="N1187" s="64"/>
      <c r="O1187" s="64"/>
      <c r="P1187" s="64"/>
      <c r="Q1187" s="64"/>
      <c r="R1187" s="64"/>
      <c r="S1187" s="64"/>
      <c r="T1187" s="64"/>
      <c r="U1187" s="64"/>
      <c r="V1187" s="64"/>
      <c r="W1187" s="64"/>
      <c r="X1187" s="64"/>
      <c r="Y1187" s="64"/>
      <c r="Z1187" s="64"/>
    </row>
    <row r="1188">
      <c r="A1188" s="64"/>
      <c r="B1188" s="64"/>
      <c r="C1188" s="64"/>
      <c r="D1188" s="72" t="s">
        <v>2294</v>
      </c>
      <c r="E1188" s="64"/>
      <c r="F1188" s="64"/>
      <c r="G1188" s="64"/>
      <c r="H1188" s="64"/>
      <c r="I1188" s="64"/>
      <c r="J1188" s="64"/>
      <c r="K1188" s="64"/>
      <c r="L1188" s="64"/>
      <c r="M1188" s="64"/>
      <c r="N1188" s="64"/>
      <c r="O1188" s="64"/>
      <c r="P1188" s="64"/>
      <c r="Q1188" s="64"/>
      <c r="R1188" s="64"/>
      <c r="S1188" s="64"/>
      <c r="T1188" s="64"/>
      <c r="U1188" s="64"/>
      <c r="V1188" s="64"/>
      <c r="W1188" s="64"/>
      <c r="X1188" s="64"/>
      <c r="Y1188" s="64"/>
      <c r="Z1188" s="64"/>
    </row>
    <row r="1189">
      <c r="A1189" s="64"/>
      <c r="B1189" s="64"/>
      <c r="C1189" s="64"/>
      <c r="D1189" s="72" t="s">
        <v>2295</v>
      </c>
      <c r="E1189" s="64"/>
      <c r="F1189" s="64"/>
      <c r="G1189" s="64"/>
      <c r="H1189" s="64"/>
      <c r="I1189" s="64"/>
      <c r="J1189" s="64"/>
      <c r="K1189" s="64"/>
      <c r="L1189" s="64"/>
      <c r="M1189" s="64"/>
      <c r="N1189" s="64"/>
      <c r="O1189" s="64"/>
      <c r="P1189" s="64"/>
      <c r="Q1189" s="64"/>
      <c r="R1189" s="64"/>
      <c r="S1189" s="64"/>
      <c r="T1189" s="64"/>
      <c r="U1189" s="64"/>
      <c r="V1189" s="64"/>
      <c r="W1189" s="64"/>
      <c r="X1189" s="64"/>
      <c r="Y1189" s="64"/>
      <c r="Z1189" s="64"/>
    </row>
    <row r="1190">
      <c r="A1190" s="64"/>
      <c r="B1190" s="64"/>
      <c r="C1190" s="64"/>
      <c r="D1190" s="72" t="s">
        <v>2296</v>
      </c>
      <c r="E1190" s="64"/>
      <c r="F1190" s="64"/>
      <c r="G1190" s="64"/>
      <c r="H1190" s="64"/>
      <c r="I1190" s="64"/>
      <c r="J1190" s="64"/>
      <c r="K1190" s="64"/>
      <c r="L1190" s="64"/>
      <c r="M1190" s="64"/>
      <c r="N1190" s="64"/>
      <c r="O1190" s="64"/>
      <c r="P1190" s="64"/>
      <c r="Q1190" s="64"/>
      <c r="R1190" s="64"/>
      <c r="S1190" s="64"/>
      <c r="T1190" s="64"/>
      <c r="U1190" s="64"/>
      <c r="V1190" s="64"/>
      <c r="W1190" s="64"/>
      <c r="X1190" s="64"/>
      <c r="Y1190" s="64"/>
      <c r="Z1190" s="64"/>
    </row>
    <row r="1191">
      <c r="A1191" s="64"/>
      <c r="B1191" s="64"/>
      <c r="C1191" s="64"/>
      <c r="D1191" s="72" t="s">
        <v>2297</v>
      </c>
      <c r="E1191" s="64"/>
      <c r="F1191" s="64"/>
      <c r="G1191" s="64"/>
      <c r="H1191" s="64"/>
      <c r="I1191" s="64"/>
      <c r="J1191" s="64"/>
      <c r="K1191" s="64"/>
      <c r="L1191" s="64"/>
      <c r="M1191" s="64"/>
      <c r="N1191" s="64"/>
      <c r="O1191" s="64"/>
      <c r="P1191" s="64"/>
      <c r="Q1191" s="64"/>
      <c r="R1191" s="64"/>
      <c r="S1191" s="64"/>
      <c r="T1191" s="64"/>
      <c r="U1191" s="64"/>
      <c r="V1191" s="64"/>
      <c r="W1191" s="64"/>
      <c r="X1191" s="64"/>
      <c r="Y1191" s="64"/>
      <c r="Z1191" s="64"/>
    </row>
    <row r="1192">
      <c r="A1192" s="64"/>
      <c r="B1192" s="64"/>
      <c r="C1192" s="64"/>
      <c r="D1192" s="72" t="s">
        <v>2298</v>
      </c>
      <c r="E1192" s="64"/>
      <c r="F1192" s="64"/>
      <c r="G1192" s="64"/>
      <c r="H1192" s="64"/>
      <c r="I1192" s="64"/>
      <c r="J1192" s="64"/>
      <c r="K1192" s="64"/>
      <c r="L1192" s="64"/>
      <c r="M1192" s="64"/>
      <c r="N1192" s="64"/>
      <c r="O1192" s="64"/>
      <c r="P1192" s="64"/>
      <c r="Q1192" s="64"/>
      <c r="R1192" s="64"/>
      <c r="S1192" s="64"/>
      <c r="T1192" s="64"/>
      <c r="U1192" s="64"/>
      <c r="V1192" s="64"/>
      <c r="W1192" s="64"/>
      <c r="X1192" s="64"/>
      <c r="Y1192" s="64"/>
      <c r="Z1192" s="64"/>
    </row>
    <row r="1193">
      <c r="A1193" s="64"/>
      <c r="B1193" s="64"/>
      <c r="C1193" s="64"/>
      <c r="D1193" s="72" t="s">
        <v>335</v>
      </c>
      <c r="E1193" s="64"/>
      <c r="F1193" s="64"/>
      <c r="G1193" s="64"/>
      <c r="H1193" s="64"/>
      <c r="I1193" s="64"/>
      <c r="J1193" s="64"/>
      <c r="K1193" s="64"/>
      <c r="L1193" s="64"/>
      <c r="M1193" s="64"/>
      <c r="N1193" s="64"/>
      <c r="O1193" s="64"/>
      <c r="P1193" s="64"/>
      <c r="Q1193" s="64"/>
      <c r="R1193" s="64"/>
      <c r="S1193" s="64"/>
      <c r="T1193" s="64"/>
      <c r="U1193" s="64"/>
      <c r="V1193" s="64"/>
      <c r="W1193" s="64"/>
      <c r="X1193" s="64"/>
      <c r="Y1193" s="64"/>
      <c r="Z1193" s="64"/>
    </row>
    <row r="1194">
      <c r="A1194" s="64"/>
      <c r="B1194" s="64"/>
      <c r="C1194" s="64"/>
      <c r="D1194" s="72" t="s">
        <v>2299</v>
      </c>
      <c r="E1194" s="64"/>
      <c r="F1194" s="64"/>
      <c r="G1194" s="64"/>
      <c r="H1194" s="64"/>
      <c r="I1194" s="64"/>
      <c r="J1194" s="64"/>
      <c r="K1194" s="64"/>
      <c r="L1194" s="64"/>
      <c r="M1194" s="64"/>
      <c r="N1194" s="64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4"/>
    </row>
    <row r="1195">
      <c r="A1195" s="64"/>
      <c r="B1195" s="64"/>
      <c r="C1195" s="64"/>
      <c r="D1195" s="72" t="s">
        <v>2300</v>
      </c>
      <c r="E1195" s="64"/>
      <c r="F1195" s="64"/>
      <c r="G1195" s="64"/>
      <c r="H1195" s="64"/>
      <c r="I1195" s="64"/>
      <c r="J1195" s="64"/>
      <c r="K1195" s="64"/>
      <c r="L1195" s="64"/>
      <c r="M1195" s="64"/>
      <c r="N1195" s="64"/>
      <c r="O1195" s="64"/>
      <c r="P1195" s="64"/>
      <c r="Q1195" s="64"/>
      <c r="R1195" s="64"/>
      <c r="S1195" s="64"/>
      <c r="T1195" s="64"/>
      <c r="U1195" s="64"/>
      <c r="V1195" s="64"/>
      <c r="W1195" s="64"/>
      <c r="X1195" s="64"/>
      <c r="Y1195" s="64"/>
      <c r="Z1195" s="64"/>
    </row>
    <row r="1196">
      <c r="A1196" s="64"/>
      <c r="B1196" s="64"/>
      <c r="C1196" s="64"/>
      <c r="D1196" s="72" t="s">
        <v>2301</v>
      </c>
      <c r="E1196" s="64"/>
      <c r="F1196" s="64"/>
      <c r="G1196" s="64"/>
      <c r="H1196" s="64"/>
      <c r="I1196" s="64"/>
      <c r="J1196" s="64"/>
      <c r="K1196" s="64"/>
      <c r="L1196" s="64"/>
      <c r="M1196" s="64"/>
      <c r="N1196" s="64"/>
      <c r="O1196" s="64"/>
      <c r="P1196" s="64"/>
      <c r="Q1196" s="64"/>
      <c r="R1196" s="64"/>
      <c r="S1196" s="64"/>
      <c r="T1196" s="64"/>
      <c r="U1196" s="64"/>
      <c r="V1196" s="64"/>
      <c r="W1196" s="64"/>
      <c r="X1196" s="64"/>
      <c r="Y1196" s="64"/>
      <c r="Z1196" s="64"/>
    </row>
    <row r="1197">
      <c r="A1197" s="64"/>
      <c r="B1197" s="64"/>
      <c r="C1197" s="64"/>
      <c r="D1197" s="72" t="s">
        <v>2302</v>
      </c>
      <c r="E1197" s="64"/>
      <c r="F1197" s="64"/>
      <c r="G1197" s="64"/>
      <c r="H1197" s="64"/>
      <c r="I1197" s="64"/>
      <c r="J1197" s="64"/>
      <c r="K1197" s="64"/>
      <c r="L1197" s="64"/>
      <c r="M1197" s="64"/>
      <c r="N1197" s="64"/>
      <c r="O1197" s="64"/>
      <c r="P1197" s="64"/>
      <c r="Q1197" s="64"/>
      <c r="R1197" s="64"/>
      <c r="S1197" s="64"/>
      <c r="T1197" s="64"/>
      <c r="U1197" s="64"/>
      <c r="V1197" s="64"/>
      <c r="W1197" s="64"/>
      <c r="X1197" s="64"/>
      <c r="Y1197" s="64"/>
      <c r="Z1197" s="64"/>
    </row>
    <row r="1198">
      <c r="A1198" s="64"/>
      <c r="B1198" s="64"/>
      <c r="C1198" s="64"/>
      <c r="D1198" s="72" t="s">
        <v>2303</v>
      </c>
      <c r="E1198" s="64"/>
      <c r="F1198" s="64"/>
      <c r="G1198" s="64"/>
      <c r="H1198" s="64"/>
      <c r="I1198" s="64"/>
      <c r="J1198" s="64"/>
      <c r="K1198" s="64"/>
      <c r="L1198" s="64"/>
      <c r="M1198" s="64"/>
      <c r="N1198" s="64"/>
      <c r="O1198" s="64"/>
      <c r="P1198" s="64"/>
      <c r="Q1198" s="64"/>
      <c r="R1198" s="64"/>
      <c r="S1198" s="64"/>
      <c r="T1198" s="64"/>
      <c r="U1198" s="64"/>
      <c r="V1198" s="64"/>
      <c r="W1198" s="64"/>
      <c r="X1198" s="64"/>
      <c r="Y1198" s="64"/>
      <c r="Z1198" s="64"/>
    </row>
    <row r="1199">
      <c r="A1199" s="64"/>
      <c r="B1199" s="64"/>
      <c r="C1199" s="64"/>
      <c r="D1199" s="72" t="s">
        <v>2304</v>
      </c>
      <c r="E1199" s="64"/>
      <c r="F1199" s="64"/>
      <c r="G1199" s="64"/>
      <c r="H1199" s="64"/>
      <c r="I1199" s="64"/>
      <c r="J1199" s="64"/>
      <c r="K1199" s="64"/>
      <c r="L1199" s="64"/>
      <c r="M1199" s="64"/>
      <c r="N1199" s="64"/>
      <c r="O1199" s="64"/>
      <c r="P1199" s="64"/>
      <c r="Q1199" s="64"/>
      <c r="R1199" s="64"/>
      <c r="S1199" s="64"/>
      <c r="T1199" s="64"/>
      <c r="U1199" s="64"/>
      <c r="V1199" s="64"/>
      <c r="W1199" s="64"/>
      <c r="X1199" s="64"/>
      <c r="Y1199" s="64"/>
      <c r="Z1199" s="64"/>
    </row>
    <row r="1200">
      <c r="A1200" s="64"/>
      <c r="B1200" s="64"/>
      <c r="C1200" s="64"/>
      <c r="D1200" s="72" t="s">
        <v>2305</v>
      </c>
      <c r="E1200" s="64"/>
      <c r="F1200" s="64"/>
      <c r="G1200" s="64"/>
      <c r="H1200" s="64"/>
      <c r="I1200" s="64"/>
      <c r="J1200" s="64"/>
      <c r="K1200" s="64"/>
      <c r="L1200" s="64"/>
      <c r="M1200" s="64"/>
      <c r="N1200" s="64"/>
      <c r="O1200" s="64"/>
      <c r="P1200" s="64"/>
      <c r="Q1200" s="64"/>
      <c r="R1200" s="64"/>
      <c r="S1200" s="64"/>
      <c r="T1200" s="64"/>
      <c r="U1200" s="64"/>
      <c r="V1200" s="64"/>
      <c r="W1200" s="64"/>
      <c r="X1200" s="64"/>
      <c r="Y1200" s="64"/>
      <c r="Z1200" s="64"/>
    </row>
    <row r="1201">
      <c r="A1201" s="64"/>
      <c r="B1201" s="64"/>
      <c r="C1201" s="64"/>
      <c r="D1201" s="72" t="s">
        <v>2306</v>
      </c>
      <c r="E1201" s="64"/>
      <c r="F1201" s="64"/>
      <c r="G1201" s="64"/>
      <c r="H1201" s="64"/>
      <c r="I1201" s="64"/>
      <c r="J1201" s="64"/>
      <c r="K1201" s="64"/>
      <c r="L1201" s="64"/>
      <c r="M1201" s="64"/>
      <c r="N1201" s="64"/>
      <c r="O1201" s="64"/>
      <c r="P1201" s="64"/>
      <c r="Q1201" s="64"/>
      <c r="R1201" s="64"/>
      <c r="S1201" s="64"/>
      <c r="T1201" s="64"/>
      <c r="U1201" s="64"/>
      <c r="V1201" s="64"/>
      <c r="W1201" s="64"/>
      <c r="X1201" s="64"/>
      <c r="Y1201" s="64"/>
      <c r="Z1201" s="64"/>
    </row>
    <row r="1202">
      <c r="A1202" s="64"/>
      <c r="B1202" s="64"/>
      <c r="C1202" s="64"/>
      <c r="D1202" s="72" t="s">
        <v>2307</v>
      </c>
      <c r="E1202" s="64"/>
      <c r="F1202" s="64"/>
      <c r="G1202" s="64"/>
      <c r="H1202" s="64"/>
      <c r="I1202" s="64"/>
      <c r="J1202" s="64"/>
      <c r="K1202" s="64"/>
      <c r="L1202" s="64"/>
      <c r="M1202" s="64"/>
      <c r="N1202" s="64"/>
      <c r="O1202" s="64"/>
      <c r="P1202" s="64"/>
      <c r="Q1202" s="64"/>
      <c r="R1202" s="64"/>
      <c r="S1202" s="64"/>
      <c r="T1202" s="64"/>
      <c r="U1202" s="64"/>
      <c r="V1202" s="64"/>
      <c r="W1202" s="64"/>
      <c r="X1202" s="64"/>
      <c r="Y1202" s="64"/>
      <c r="Z1202" s="64"/>
    </row>
    <row r="1203">
      <c r="A1203" s="64"/>
      <c r="B1203" s="64"/>
      <c r="C1203" s="64"/>
      <c r="D1203" s="72" t="s">
        <v>2308</v>
      </c>
      <c r="E1203" s="64"/>
      <c r="F1203" s="64"/>
      <c r="G1203" s="64"/>
      <c r="H1203" s="64"/>
      <c r="I1203" s="64"/>
      <c r="J1203" s="64"/>
      <c r="K1203" s="64"/>
      <c r="L1203" s="64"/>
      <c r="M1203" s="64"/>
      <c r="N1203" s="64"/>
      <c r="O1203" s="64"/>
      <c r="P1203" s="64"/>
      <c r="Q1203" s="64"/>
      <c r="R1203" s="64"/>
      <c r="S1203" s="64"/>
      <c r="T1203" s="64"/>
      <c r="U1203" s="64"/>
      <c r="V1203" s="64"/>
      <c r="W1203" s="64"/>
      <c r="X1203" s="64"/>
      <c r="Y1203" s="64"/>
      <c r="Z1203" s="64"/>
    </row>
    <row r="1204">
      <c r="A1204" s="64"/>
      <c r="B1204" s="64"/>
      <c r="C1204" s="64"/>
      <c r="D1204" s="72" t="s">
        <v>2309</v>
      </c>
      <c r="E1204" s="64"/>
      <c r="F1204" s="64"/>
      <c r="G1204" s="64"/>
      <c r="H1204" s="64"/>
      <c r="I1204" s="64"/>
      <c r="J1204" s="64"/>
      <c r="K1204" s="64"/>
      <c r="L1204" s="64"/>
      <c r="M1204" s="64"/>
      <c r="N1204" s="64"/>
      <c r="O1204" s="64"/>
      <c r="P1204" s="64"/>
      <c r="Q1204" s="64"/>
      <c r="R1204" s="64"/>
      <c r="S1204" s="64"/>
      <c r="T1204" s="64"/>
      <c r="U1204" s="64"/>
      <c r="V1204" s="64"/>
      <c r="W1204" s="64"/>
      <c r="X1204" s="64"/>
      <c r="Y1204" s="64"/>
      <c r="Z1204" s="64"/>
    </row>
    <row r="1205">
      <c r="A1205" s="64"/>
      <c r="B1205" s="64"/>
      <c r="C1205" s="64"/>
      <c r="D1205" s="72" t="s">
        <v>2310</v>
      </c>
      <c r="E1205" s="64"/>
      <c r="F1205" s="64"/>
      <c r="G1205" s="64"/>
      <c r="H1205" s="64"/>
      <c r="I1205" s="64"/>
      <c r="J1205" s="64"/>
      <c r="K1205" s="64"/>
      <c r="L1205" s="64"/>
      <c r="M1205" s="64"/>
      <c r="N1205" s="64"/>
      <c r="O1205" s="64"/>
      <c r="P1205" s="64"/>
      <c r="Q1205" s="64"/>
      <c r="R1205" s="64"/>
      <c r="S1205" s="64"/>
      <c r="T1205" s="64"/>
      <c r="U1205" s="64"/>
      <c r="V1205" s="64"/>
      <c r="W1205" s="64"/>
      <c r="X1205" s="64"/>
      <c r="Y1205" s="64"/>
      <c r="Z1205" s="64"/>
    </row>
    <row r="1206">
      <c r="A1206" s="64"/>
      <c r="B1206" s="64"/>
      <c r="C1206" s="64"/>
      <c r="D1206" s="72" t="s">
        <v>2311</v>
      </c>
      <c r="E1206" s="64"/>
      <c r="F1206" s="64"/>
      <c r="G1206" s="64"/>
      <c r="H1206" s="64"/>
      <c r="I1206" s="64"/>
      <c r="J1206" s="64"/>
      <c r="K1206" s="64"/>
      <c r="L1206" s="64"/>
      <c r="M1206" s="64"/>
      <c r="N1206" s="64"/>
      <c r="O1206" s="64"/>
      <c r="P1206" s="64"/>
      <c r="Q1206" s="64"/>
      <c r="R1206" s="64"/>
      <c r="S1206" s="64"/>
      <c r="T1206" s="64"/>
      <c r="U1206" s="64"/>
      <c r="V1206" s="64"/>
      <c r="W1206" s="64"/>
      <c r="X1206" s="64"/>
      <c r="Y1206" s="64"/>
      <c r="Z1206" s="64"/>
    </row>
    <row r="1207">
      <c r="A1207" s="64"/>
      <c r="B1207" s="64"/>
      <c r="C1207" s="64"/>
      <c r="D1207" s="72" t="s">
        <v>2312</v>
      </c>
      <c r="E1207" s="64"/>
      <c r="F1207" s="64"/>
      <c r="G1207" s="64"/>
      <c r="H1207" s="64"/>
      <c r="I1207" s="64"/>
      <c r="J1207" s="64"/>
      <c r="K1207" s="64"/>
      <c r="L1207" s="64"/>
      <c r="M1207" s="64"/>
      <c r="N1207" s="64"/>
      <c r="O1207" s="64"/>
      <c r="P1207" s="64"/>
      <c r="Q1207" s="64"/>
      <c r="R1207" s="64"/>
      <c r="S1207" s="64"/>
      <c r="T1207" s="64"/>
      <c r="U1207" s="64"/>
      <c r="V1207" s="64"/>
      <c r="W1207" s="64"/>
      <c r="X1207" s="64"/>
      <c r="Y1207" s="64"/>
      <c r="Z1207" s="64"/>
    </row>
    <row r="1208">
      <c r="A1208" s="64"/>
      <c r="B1208" s="64"/>
      <c r="C1208" s="64"/>
      <c r="D1208" s="72" t="s">
        <v>1258</v>
      </c>
      <c r="E1208" s="64"/>
      <c r="F1208" s="64"/>
      <c r="G1208" s="64"/>
      <c r="H1208" s="64"/>
      <c r="I1208" s="64"/>
      <c r="J1208" s="64"/>
      <c r="K1208" s="64"/>
      <c r="L1208" s="64"/>
      <c r="M1208" s="64"/>
      <c r="N1208" s="64"/>
      <c r="O1208" s="64"/>
      <c r="P1208" s="64"/>
      <c r="Q1208" s="64"/>
      <c r="R1208" s="64"/>
      <c r="S1208" s="64"/>
      <c r="T1208" s="64"/>
      <c r="U1208" s="64"/>
      <c r="V1208" s="64"/>
      <c r="W1208" s="64"/>
      <c r="X1208" s="64"/>
      <c r="Y1208" s="64"/>
      <c r="Z1208" s="64"/>
    </row>
    <row r="1209">
      <c r="A1209" s="64"/>
      <c r="B1209" s="64"/>
      <c r="C1209" s="64"/>
      <c r="D1209" s="72" t="s">
        <v>2313</v>
      </c>
      <c r="E1209" s="64"/>
      <c r="F1209" s="64"/>
      <c r="G1209" s="64"/>
      <c r="H1209" s="64"/>
      <c r="I1209" s="64"/>
      <c r="J1209" s="64"/>
      <c r="K1209" s="64"/>
      <c r="L1209" s="64"/>
      <c r="M1209" s="64"/>
      <c r="N1209" s="64"/>
      <c r="O1209" s="64"/>
      <c r="P1209" s="64"/>
      <c r="Q1209" s="64"/>
      <c r="R1209" s="64"/>
      <c r="S1209" s="64"/>
      <c r="T1209" s="64"/>
      <c r="U1209" s="64"/>
      <c r="V1209" s="64"/>
      <c r="W1209" s="64"/>
      <c r="X1209" s="64"/>
      <c r="Y1209" s="64"/>
      <c r="Z1209" s="64"/>
    </row>
    <row r="1210">
      <c r="A1210" s="64"/>
      <c r="B1210" s="64"/>
      <c r="C1210" s="64"/>
      <c r="D1210" s="72" t="s">
        <v>2314</v>
      </c>
      <c r="E1210" s="64"/>
      <c r="F1210" s="64"/>
      <c r="G1210" s="64"/>
      <c r="H1210" s="64"/>
      <c r="I1210" s="64"/>
      <c r="J1210" s="64"/>
      <c r="K1210" s="64"/>
      <c r="L1210" s="64"/>
      <c r="M1210" s="64"/>
      <c r="N1210" s="64"/>
      <c r="O1210" s="64"/>
      <c r="P1210" s="64"/>
      <c r="Q1210" s="64"/>
      <c r="R1210" s="64"/>
      <c r="S1210" s="64"/>
      <c r="T1210" s="64"/>
      <c r="U1210" s="64"/>
      <c r="V1210" s="64"/>
      <c r="W1210" s="64"/>
      <c r="X1210" s="64"/>
      <c r="Y1210" s="64"/>
      <c r="Z1210" s="64"/>
    </row>
    <row r="1211">
      <c r="A1211" s="64"/>
      <c r="B1211" s="64"/>
      <c r="C1211" s="64"/>
      <c r="D1211" s="72" t="s">
        <v>2315</v>
      </c>
      <c r="E1211" s="64"/>
      <c r="F1211" s="64"/>
      <c r="G1211" s="64"/>
      <c r="H1211" s="64"/>
      <c r="I1211" s="64"/>
      <c r="J1211" s="64"/>
      <c r="K1211" s="64"/>
      <c r="L1211" s="64"/>
      <c r="M1211" s="64"/>
      <c r="N1211" s="64"/>
      <c r="O1211" s="64"/>
      <c r="P1211" s="64"/>
      <c r="Q1211" s="64"/>
      <c r="R1211" s="64"/>
      <c r="S1211" s="64"/>
      <c r="T1211" s="64"/>
      <c r="U1211" s="64"/>
      <c r="V1211" s="64"/>
      <c r="W1211" s="64"/>
      <c r="X1211" s="64"/>
      <c r="Y1211" s="64"/>
      <c r="Z1211" s="64"/>
    </row>
    <row r="1212">
      <c r="A1212" s="64"/>
      <c r="B1212" s="64"/>
      <c r="C1212" s="64"/>
      <c r="D1212" s="72" t="s">
        <v>2316</v>
      </c>
      <c r="E1212" s="64"/>
      <c r="F1212" s="64"/>
      <c r="G1212" s="64"/>
      <c r="H1212" s="64"/>
      <c r="I1212" s="64"/>
      <c r="J1212" s="64"/>
      <c r="K1212" s="64"/>
      <c r="L1212" s="64"/>
      <c r="M1212" s="64"/>
      <c r="N1212" s="64"/>
      <c r="O1212" s="64"/>
      <c r="P1212" s="64"/>
      <c r="Q1212" s="64"/>
      <c r="R1212" s="64"/>
      <c r="S1212" s="64"/>
      <c r="T1212" s="64"/>
      <c r="U1212" s="64"/>
      <c r="V1212" s="64"/>
      <c r="W1212" s="64"/>
      <c r="X1212" s="64"/>
      <c r="Y1212" s="64"/>
      <c r="Z1212" s="64"/>
    </row>
    <row r="1213">
      <c r="A1213" s="64"/>
      <c r="B1213" s="64"/>
      <c r="C1213" s="64"/>
      <c r="D1213" s="72" t="s">
        <v>2317</v>
      </c>
      <c r="E1213" s="64"/>
      <c r="F1213" s="64"/>
      <c r="G1213" s="64"/>
      <c r="H1213" s="64"/>
      <c r="I1213" s="64"/>
      <c r="J1213" s="64"/>
      <c r="K1213" s="64"/>
      <c r="L1213" s="64"/>
      <c r="M1213" s="64"/>
      <c r="N1213" s="64"/>
      <c r="O1213" s="64"/>
      <c r="P1213" s="64"/>
      <c r="Q1213" s="64"/>
      <c r="R1213" s="64"/>
      <c r="S1213" s="64"/>
      <c r="T1213" s="64"/>
      <c r="U1213" s="64"/>
      <c r="V1213" s="64"/>
      <c r="W1213" s="64"/>
      <c r="X1213" s="64"/>
      <c r="Y1213" s="64"/>
      <c r="Z1213" s="64"/>
    </row>
    <row r="1214">
      <c r="A1214" s="64"/>
      <c r="B1214" s="64"/>
      <c r="C1214" s="64"/>
      <c r="D1214" s="72" t="s">
        <v>2318</v>
      </c>
      <c r="E1214" s="64"/>
      <c r="F1214" s="64"/>
      <c r="G1214" s="64"/>
      <c r="H1214" s="64"/>
      <c r="I1214" s="64"/>
      <c r="J1214" s="64"/>
      <c r="K1214" s="64"/>
      <c r="L1214" s="64"/>
      <c r="M1214" s="64"/>
      <c r="N1214" s="64"/>
      <c r="O1214" s="64"/>
      <c r="P1214" s="64"/>
      <c r="Q1214" s="64"/>
      <c r="R1214" s="64"/>
      <c r="S1214" s="64"/>
      <c r="T1214" s="64"/>
      <c r="U1214" s="64"/>
      <c r="V1214" s="64"/>
      <c r="W1214" s="64"/>
      <c r="X1214" s="64"/>
      <c r="Y1214" s="64"/>
      <c r="Z1214" s="64"/>
    </row>
    <row r="1215">
      <c r="A1215" s="64"/>
      <c r="B1215" s="64"/>
      <c r="C1215" s="64"/>
      <c r="D1215" s="72" t="s">
        <v>2319</v>
      </c>
      <c r="E1215" s="64"/>
      <c r="F1215" s="64"/>
      <c r="G1215" s="64"/>
      <c r="H1215" s="64"/>
      <c r="I1215" s="64"/>
      <c r="J1215" s="64"/>
      <c r="K1215" s="64"/>
      <c r="L1215" s="64"/>
      <c r="M1215" s="64"/>
      <c r="N1215" s="64"/>
      <c r="O1215" s="64"/>
      <c r="P1215" s="64"/>
      <c r="Q1215" s="64"/>
      <c r="R1215" s="64"/>
      <c r="S1215" s="64"/>
      <c r="T1215" s="64"/>
      <c r="U1215" s="64"/>
      <c r="V1215" s="64"/>
      <c r="W1215" s="64"/>
      <c r="X1215" s="64"/>
      <c r="Y1215" s="64"/>
      <c r="Z1215" s="64"/>
    </row>
    <row r="1216">
      <c r="A1216" s="64"/>
      <c r="B1216" s="64"/>
      <c r="C1216" s="64"/>
      <c r="D1216" s="72" t="s">
        <v>2320</v>
      </c>
      <c r="E1216" s="64"/>
      <c r="F1216" s="64"/>
      <c r="G1216" s="64"/>
      <c r="H1216" s="64"/>
      <c r="I1216" s="64"/>
      <c r="J1216" s="64"/>
      <c r="K1216" s="64"/>
      <c r="L1216" s="64"/>
      <c r="M1216" s="64"/>
      <c r="N1216" s="64"/>
      <c r="O1216" s="64"/>
      <c r="P1216" s="64"/>
      <c r="Q1216" s="64"/>
      <c r="R1216" s="64"/>
      <c r="S1216" s="64"/>
      <c r="T1216" s="64"/>
      <c r="U1216" s="64"/>
      <c r="V1216" s="64"/>
      <c r="W1216" s="64"/>
      <c r="X1216" s="64"/>
      <c r="Y1216" s="64"/>
      <c r="Z1216" s="64"/>
    </row>
    <row r="1217">
      <c r="A1217" s="64"/>
      <c r="B1217" s="64"/>
      <c r="C1217" s="64"/>
      <c r="D1217" s="72" t="s">
        <v>320</v>
      </c>
      <c r="E1217" s="64"/>
      <c r="F1217" s="64"/>
      <c r="G1217" s="64"/>
      <c r="H1217" s="64"/>
      <c r="I1217" s="64"/>
      <c r="J1217" s="64"/>
      <c r="K1217" s="64"/>
      <c r="L1217" s="64"/>
      <c r="M1217" s="64"/>
      <c r="N1217" s="64"/>
      <c r="O1217" s="64"/>
      <c r="P1217" s="64"/>
      <c r="Q1217" s="64"/>
      <c r="R1217" s="64"/>
      <c r="S1217" s="64"/>
      <c r="T1217" s="64"/>
      <c r="U1217" s="64"/>
      <c r="V1217" s="64"/>
      <c r="W1217" s="64"/>
      <c r="X1217" s="64"/>
      <c r="Y1217" s="64"/>
      <c r="Z1217" s="64"/>
    </row>
    <row r="1218">
      <c r="A1218" s="64"/>
      <c r="B1218" s="64"/>
      <c r="C1218" s="64"/>
      <c r="D1218" s="72" t="s">
        <v>2321</v>
      </c>
      <c r="E1218" s="64"/>
      <c r="F1218" s="64"/>
      <c r="G1218" s="64"/>
      <c r="H1218" s="64"/>
      <c r="I1218" s="64"/>
      <c r="J1218" s="64"/>
      <c r="K1218" s="64"/>
      <c r="L1218" s="64"/>
      <c r="M1218" s="64"/>
      <c r="N1218" s="64"/>
      <c r="O1218" s="64"/>
      <c r="P1218" s="64"/>
      <c r="Q1218" s="64"/>
      <c r="R1218" s="64"/>
      <c r="S1218" s="64"/>
      <c r="T1218" s="64"/>
      <c r="U1218" s="64"/>
      <c r="V1218" s="64"/>
      <c r="W1218" s="64"/>
      <c r="X1218" s="64"/>
      <c r="Y1218" s="64"/>
      <c r="Z1218" s="64"/>
    </row>
    <row r="1219">
      <c r="A1219" s="64"/>
      <c r="B1219" s="64"/>
      <c r="C1219" s="64"/>
      <c r="D1219" s="72" t="s">
        <v>2322</v>
      </c>
      <c r="E1219" s="64"/>
      <c r="F1219" s="64"/>
      <c r="G1219" s="64"/>
      <c r="H1219" s="64"/>
      <c r="I1219" s="64"/>
      <c r="J1219" s="64"/>
      <c r="K1219" s="64"/>
      <c r="L1219" s="64"/>
      <c r="M1219" s="64"/>
      <c r="N1219" s="64"/>
      <c r="O1219" s="64"/>
      <c r="P1219" s="64"/>
      <c r="Q1219" s="64"/>
      <c r="R1219" s="64"/>
      <c r="S1219" s="64"/>
      <c r="T1219" s="64"/>
      <c r="U1219" s="64"/>
      <c r="V1219" s="64"/>
      <c r="W1219" s="64"/>
      <c r="X1219" s="64"/>
      <c r="Y1219" s="64"/>
      <c r="Z1219" s="64"/>
    </row>
    <row r="1220">
      <c r="A1220" s="64"/>
      <c r="B1220" s="64"/>
      <c r="C1220" s="64"/>
      <c r="D1220" s="72" t="s">
        <v>2323</v>
      </c>
      <c r="E1220" s="64"/>
      <c r="F1220" s="64"/>
      <c r="G1220" s="64"/>
      <c r="H1220" s="64"/>
      <c r="I1220" s="64"/>
      <c r="J1220" s="64"/>
      <c r="K1220" s="64"/>
      <c r="L1220" s="64"/>
      <c r="M1220" s="64"/>
      <c r="N1220" s="64"/>
      <c r="O1220" s="64"/>
      <c r="P1220" s="64"/>
      <c r="Q1220" s="64"/>
      <c r="R1220" s="64"/>
      <c r="S1220" s="64"/>
      <c r="T1220" s="64"/>
      <c r="U1220" s="64"/>
      <c r="V1220" s="64"/>
      <c r="W1220" s="64"/>
      <c r="X1220" s="64"/>
      <c r="Y1220" s="64"/>
      <c r="Z1220" s="64"/>
    </row>
    <row r="1221">
      <c r="A1221" s="64"/>
      <c r="B1221" s="64"/>
      <c r="C1221" s="64"/>
      <c r="D1221" s="72" t="s">
        <v>605</v>
      </c>
      <c r="E1221" s="64"/>
      <c r="F1221" s="64"/>
      <c r="G1221" s="64"/>
      <c r="H1221" s="64"/>
      <c r="I1221" s="64"/>
      <c r="J1221" s="64"/>
      <c r="K1221" s="64"/>
      <c r="L1221" s="64"/>
      <c r="M1221" s="64"/>
      <c r="N1221" s="64"/>
      <c r="O1221" s="64"/>
      <c r="P1221" s="64"/>
      <c r="Q1221" s="64"/>
      <c r="R1221" s="64"/>
      <c r="S1221" s="64"/>
      <c r="T1221" s="64"/>
      <c r="U1221" s="64"/>
      <c r="V1221" s="64"/>
      <c r="W1221" s="64"/>
      <c r="X1221" s="64"/>
      <c r="Y1221" s="64"/>
      <c r="Z1221" s="64"/>
    </row>
    <row r="1222">
      <c r="A1222" s="64"/>
      <c r="B1222" s="64"/>
      <c r="C1222" s="64"/>
      <c r="D1222" s="72" t="s">
        <v>2324</v>
      </c>
      <c r="E1222" s="64"/>
      <c r="F1222" s="64"/>
      <c r="G1222" s="64"/>
      <c r="H1222" s="64"/>
      <c r="I1222" s="64"/>
      <c r="J1222" s="64"/>
      <c r="K1222" s="64"/>
      <c r="L1222" s="64"/>
      <c r="M1222" s="64"/>
      <c r="N1222" s="64"/>
      <c r="O1222" s="64"/>
      <c r="P1222" s="64"/>
      <c r="Q1222" s="64"/>
      <c r="R1222" s="64"/>
      <c r="S1222" s="64"/>
      <c r="T1222" s="64"/>
      <c r="U1222" s="64"/>
      <c r="V1222" s="64"/>
      <c r="W1222" s="64"/>
      <c r="X1222" s="64"/>
      <c r="Y1222" s="64"/>
      <c r="Z1222" s="64"/>
    </row>
    <row r="1223">
      <c r="A1223" s="64"/>
      <c r="B1223" s="64"/>
      <c r="C1223" s="64"/>
      <c r="D1223" s="72" t="s">
        <v>2325</v>
      </c>
      <c r="E1223" s="64"/>
      <c r="F1223" s="64"/>
      <c r="G1223" s="64"/>
      <c r="H1223" s="64"/>
      <c r="I1223" s="64"/>
      <c r="J1223" s="64"/>
      <c r="K1223" s="64"/>
      <c r="L1223" s="64"/>
      <c r="M1223" s="64"/>
      <c r="N1223" s="64"/>
      <c r="O1223" s="64"/>
      <c r="P1223" s="64"/>
      <c r="Q1223" s="64"/>
      <c r="R1223" s="64"/>
      <c r="S1223" s="64"/>
      <c r="T1223" s="64"/>
      <c r="U1223" s="64"/>
      <c r="V1223" s="64"/>
      <c r="W1223" s="64"/>
      <c r="X1223" s="64"/>
      <c r="Y1223" s="64"/>
      <c r="Z1223" s="64"/>
    </row>
    <row r="1224">
      <c r="A1224" s="64"/>
      <c r="B1224" s="64"/>
      <c r="C1224" s="64"/>
      <c r="D1224" s="72" t="s">
        <v>2326</v>
      </c>
      <c r="E1224" s="64"/>
      <c r="F1224" s="64"/>
      <c r="G1224" s="64"/>
      <c r="H1224" s="64"/>
      <c r="I1224" s="64"/>
      <c r="J1224" s="64"/>
      <c r="K1224" s="64"/>
      <c r="L1224" s="64"/>
      <c r="M1224" s="64"/>
      <c r="N1224" s="64"/>
      <c r="O1224" s="64"/>
      <c r="P1224" s="64"/>
      <c r="Q1224" s="64"/>
      <c r="R1224" s="64"/>
      <c r="S1224" s="64"/>
      <c r="T1224" s="64"/>
      <c r="U1224" s="64"/>
      <c r="V1224" s="64"/>
      <c r="W1224" s="64"/>
      <c r="X1224" s="64"/>
      <c r="Y1224" s="64"/>
      <c r="Z1224" s="64"/>
    </row>
    <row r="1225">
      <c r="A1225" s="64"/>
      <c r="B1225" s="64"/>
      <c r="C1225" s="64"/>
      <c r="D1225" s="72" t="s">
        <v>623</v>
      </c>
      <c r="E1225" s="64"/>
      <c r="F1225" s="64"/>
      <c r="G1225" s="64"/>
      <c r="H1225" s="64"/>
      <c r="I1225" s="64"/>
      <c r="J1225" s="64"/>
      <c r="K1225" s="64"/>
      <c r="L1225" s="64"/>
      <c r="M1225" s="64"/>
      <c r="N1225" s="64"/>
      <c r="O1225" s="64"/>
      <c r="P1225" s="64"/>
      <c r="Q1225" s="64"/>
      <c r="R1225" s="64"/>
      <c r="S1225" s="64"/>
      <c r="T1225" s="64"/>
      <c r="U1225" s="64"/>
      <c r="V1225" s="64"/>
      <c r="W1225" s="64"/>
      <c r="X1225" s="64"/>
      <c r="Y1225" s="64"/>
      <c r="Z1225" s="64"/>
    </row>
    <row r="1226">
      <c r="A1226" s="64"/>
      <c r="B1226" s="64"/>
      <c r="C1226" s="64"/>
      <c r="D1226" s="72" t="s">
        <v>2327</v>
      </c>
      <c r="E1226" s="64"/>
      <c r="F1226" s="64"/>
      <c r="G1226" s="64"/>
      <c r="H1226" s="64"/>
      <c r="I1226" s="64"/>
      <c r="J1226" s="64"/>
      <c r="K1226" s="64"/>
      <c r="L1226" s="64"/>
      <c r="M1226" s="64"/>
      <c r="N1226" s="64"/>
      <c r="O1226" s="64"/>
      <c r="P1226" s="64"/>
      <c r="Q1226" s="64"/>
      <c r="R1226" s="64"/>
      <c r="S1226" s="64"/>
      <c r="T1226" s="64"/>
      <c r="U1226" s="64"/>
      <c r="V1226" s="64"/>
      <c r="W1226" s="64"/>
      <c r="X1226" s="64"/>
      <c r="Y1226" s="64"/>
      <c r="Z1226" s="64"/>
    </row>
    <row r="1227">
      <c r="A1227" s="64"/>
      <c r="B1227" s="64"/>
      <c r="C1227" s="64"/>
      <c r="D1227" s="72" t="s">
        <v>2328</v>
      </c>
      <c r="E1227" s="64"/>
      <c r="F1227" s="64"/>
      <c r="G1227" s="64"/>
      <c r="H1227" s="64"/>
      <c r="I1227" s="64"/>
      <c r="J1227" s="64"/>
      <c r="K1227" s="64"/>
      <c r="L1227" s="64"/>
      <c r="M1227" s="64"/>
      <c r="N1227" s="64"/>
      <c r="O1227" s="64"/>
      <c r="P1227" s="64"/>
      <c r="Q1227" s="64"/>
      <c r="R1227" s="64"/>
      <c r="S1227" s="64"/>
      <c r="T1227" s="64"/>
      <c r="U1227" s="64"/>
      <c r="V1227" s="64"/>
      <c r="W1227" s="64"/>
      <c r="X1227" s="64"/>
      <c r="Y1227" s="64"/>
      <c r="Z1227" s="64"/>
    </row>
    <row r="1228">
      <c r="A1228" s="64"/>
      <c r="B1228" s="64"/>
      <c r="C1228" s="64"/>
      <c r="D1228" s="72" t="s">
        <v>2329</v>
      </c>
      <c r="E1228" s="64"/>
      <c r="F1228" s="64"/>
      <c r="G1228" s="64"/>
      <c r="H1228" s="64"/>
      <c r="I1228" s="64"/>
      <c r="J1228" s="64"/>
      <c r="K1228" s="64"/>
      <c r="L1228" s="64"/>
      <c r="M1228" s="64"/>
      <c r="N1228" s="64"/>
      <c r="O1228" s="64"/>
      <c r="P1228" s="64"/>
      <c r="Q1228" s="64"/>
      <c r="R1228" s="64"/>
      <c r="S1228" s="64"/>
      <c r="T1228" s="64"/>
      <c r="U1228" s="64"/>
      <c r="V1228" s="64"/>
      <c r="W1228" s="64"/>
      <c r="X1228" s="64"/>
      <c r="Y1228" s="64"/>
      <c r="Z1228" s="64"/>
    </row>
    <row r="1229">
      <c r="A1229" s="64"/>
      <c r="B1229" s="64"/>
      <c r="C1229" s="64"/>
      <c r="D1229" s="72" t="s">
        <v>2330</v>
      </c>
      <c r="E1229" s="64"/>
      <c r="F1229" s="64"/>
      <c r="G1229" s="64"/>
      <c r="H1229" s="64"/>
      <c r="I1229" s="64"/>
      <c r="J1229" s="64"/>
      <c r="K1229" s="64"/>
      <c r="L1229" s="64"/>
      <c r="M1229" s="64"/>
      <c r="N1229" s="64"/>
      <c r="O1229" s="64"/>
      <c r="P1229" s="64"/>
      <c r="Q1229" s="64"/>
      <c r="R1229" s="64"/>
      <c r="S1229" s="64"/>
      <c r="T1229" s="64"/>
      <c r="U1229" s="64"/>
      <c r="V1229" s="64"/>
      <c r="W1229" s="64"/>
      <c r="X1229" s="64"/>
      <c r="Y1229" s="64"/>
      <c r="Z1229" s="64"/>
    </row>
    <row r="1230">
      <c r="A1230" s="64"/>
      <c r="B1230" s="64"/>
      <c r="C1230" s="64"/>
      <c r="D1230" s="72" t="s">
        <v>2331</v>
      </c>
      <c r="E1230" s="64"/>
      <c r="F1230" s="64"/>
      <c r="G1230" s="64"/>
      <c r="H1230" s="64"/>
      <c r="I1230" s="64"/>
      <c r="J1230" s="64"/>
      <c r="K1230" s="64"/>
      <c r="L1230" s="64"/>
      <c r="M1230" s="64"/>
      <c r="N1230" s="64"/>
      <c r="O1230" s="64"/>
      <c r="P1230" s="64"/>
      <c r="Q1230" s="64"/>
      <c r="R1230" s="64"/>
      <c r="S1230" s="64"/>
      <c r="T1230" s="64"/>
      <c r="U1230" s="64"/>
      <c r="V1230" s="64"/>
      <c r="W1230" s="64"/>
      <c r="X1230" s="64"/>
      <c r="Y1230" s="64"/>
      <c r="Z1230" s="64"/>
    </row>
    <row r="1231">
      <c r="A1231" s="64"/>
      <c r="B1231" s="64"/>
      <c r="C1231" s="64"/>
      <c r="D1231" s="72" t="s">
        <v>257</v>
      </c>
      <c r="E1231" s="64"/>
      <c r="F1231" s="64"/>
      <c r="G1231" s="64"/>
      <c r="H1231" s="64"/>
      <c r="I1231" s="64"/>
      <c r="J1231" s="64"/>
      <c r="K1231" s="64"/>
      <c r="L1231" s="64"/>
      <c r="M1231" s="64"/>
      <c r="N1231" s="64"/>
      <c r="O1231" s="64"/>
      <c r="P1231" s="64"/>
      <c r="Q1231" s="64"/>
      <c r="R1231" s="64"/>
      <c r="S1231" s="64"/>
      <c r="T1231" s="64"/>
      <c r="U1231" s="64"/>
      <c r="V1231" s="64"/>
      <c r="W1231" s="64"/>
      <c r="X1231" s="64"/>
      <c r="Y1231" s="64"/>
      <c r="Z1231" s="64"/>
    </row>
    <row r="1232">
      <c r="A1232" s="64"/>
      <c r="B1232" s="64"/>
      <c r="C1232" s="64"/>
      <c r="D1232" s="72" t="s">
        <v>2332</v>
      </c>
      <c r="E1232" s="64"/>
      <c r="F1232" s="64"/>
      <c r="G1232" s="64"/>
      <c r="H1232" s="64"/>
      <c r="I1232" s="64"/>
      <c r="J1232" s="64"/>
      <c r="K1232" s="64"/>
      <c r="L1232" s="64"/>
      <c r="M1232" s="64"/>
      <c r="N1232" s="64"/>
      <c r="O1232" s="64"/>
      <c r="P1232" s="64"/>
      <c r="Q1232" s="64"/>
      <c r="R1232" s="64"/>
      <c r="S1232" s="64"/>
      <c r="T1232" s="64"/>
      <c r="U1232" s="64"/>
      <c r="V1232" s="64"/>
      <c r="W1232" s="64"/>
      <c r="X1232" s="64"/>
      <c r="Y1232" s="64"/>
      <c r="Z1232" s="64"/>
    </row>
    <row r="1233">
      <c r="A1233" s="64"/>
      <c r="B1233" s="64"/>
      <c r="C1233" s="64"/>
      <c r="D1233" s="72" t="s">
        <v>2333</v>
      </c>
      <c r="E1233" s="64"/>
      <c r="F1233" s="64"/>
      <c r="G1233" s="64"/>
      <c r="H1233" s="64"/>
      <c r="I1233" s="64"/>
      <c r="J1233" s="64"/>
      <c r="K1233" s="64"/>
      <c r="L1233" s="64"/>
      <c r="M1233" s="64"/>
      <c r="N1233" s="64"/>
      <c r="O1233" s="64"/>
      <c r="P1233" s="64"/>
      <c r="Q1233" s="64"/>
      <c r="R1233" s="64"/>
      <c r="S1233" s="64"/>
      <c r="T1233" s="64"/>
      <c r="U1233" s="64"/>
      <c r="V1233" s="64"/>
      <c r="W1233" s="64"/>
      <c r="X1233" s="64"/>
      <c r="Y1233" s="64"/>
      <c r="Z1233" s="64"/>
    </row>
    <row r="1234">
      <c r="A1234" s="64"/>
      <c r="B1234" s="64"/>
      <c r="C1234" s="64"/>
      <c r="D1234" s="72" t="s">
        <v>2334</v>
      </c>
      <c r="E1234" s="64"/>
      <c r="F1234" s="64"/>
      <c r="G1234" s="64"/>
      <c r="H1234" s="64"/>
      <c r="I1234" s="64"/>
      <c r="J1234" s="64"/>
      <c r="K1234" s="64"/>
      <c r="L1234" s="64"/>
      <c r="M1234" s="64"/>
      <c r="N1234" s="64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4"/>
      <c r="Z1234" s="64"/>
    </row>
    <row r="1235">
      <c r="A1235" s="64"/>
      <c r="B1235" s="64"/>
      <c r="C1235" s="64"/>
      <c r="D1235" s="72" t="s">
        <v>2335</v>
      </c>
      <c r="E1235" s="64"/>
      <c r="F1235" s="64"/>
      <c r="G1235" s="64"/>
      <c r="H1235" s="64"/>
      <c r="I1235" s="64"/>
      <c r="J1235" s="64"/>
      <c r="K1235" s="64"/>
      <c r="L1235" s="64"/>
      <c r="M1235" s="64"/>
      <c r="N1235" s="64"/>
      <c r="O1235" s="64"/>
      <c r="P1235" s="64"/>
      <c r="Q1235" s="64"/>
      <c r="R1235" s="64"/>
      <c r="S1235" s="64"/>
      <c r="T1235" s="64"/>
      <c r="U1235" s="64"/>
      <c r="V1235" s="64"/>
      <c r="W1235" s="64"/>
      <c r="X1235" s="64"/>
      <c r="Y1235" s="64"/>
      <c r="Z1235" s="64"/>
    </row>
    <row r="1236">
      <c r="A1236" s="64"/>
      <c r="B1236" s="64"/>
      <c r="C1236" s="64"/>
      <c r="D1236" s="72" t="s">
        <v>2336</v>
      </c>
      <c r="E1236" s="64"/>
      <c r="F1236" s="64"/>
      <c r="G1236" s="64"/>
      <c r="H1236" s="64"/>
      <c r="I1236" s="64"/>
      <c r="J1236" s="64"/>
      <c r="K1236" s="64"/>
      <c r="L1236" s="64"/>
      <c r="M1236" s="64"/>
      <c r="N1236" s="64"/>
      <c r="O1236" s="64"/>
      <c r="P1236" s="64"/>
      <c r="Q1236" s="64"/>
      <c r="R1236" s="64"/>
      <c r="S1236" s="64"/>
      <c r="T1236" s="64"/>
      <c r="U1236" s="64"/>
      <c r="V1236" s="64"/>
      <c r="W1236" s="64"/>
      <c r="X1236" s="64"/>
      <c r="Y1236" s="64"/>
      <c r="Z1236" s="64"/>
    </row>
    <row r="1237">
      <c r="A1237" s="64"/>
      <c r="B1237" s="64"/>
      <c r="C1237" s="64"/>
      <c r="D1237" s="72" t="s">
        <v>2337</v>
      </c>
      <c r="E1237" s="64"/>
      <c r="F1237" s="64"/>
      <c r="G1237" s="64"/>
      <c r="H1237" s="64"/>
      <c r="I1237" s="64"/>
      <c r="J1237" s="64"/>
      <c r="K1237" s="64"/>
      <c r="L1237" s="64"/>
      <c r="M1237" s="64"/>
      <c r="N1237" s="64"/>
      <c r="O1237" s="64"/>
      <c r="P1237" s="64"/>
      <c r="Q1237" s="64"/>
      <c r="R1237" s="64"/>
      <c r="S1237" s="64"/>
      <c r="T1237" s="64"/>
      <c r="U1237" s="64"/>
      <c r="V1237" s="64"/>
      <c r="W1237" s="64"/>
      <c r="X1237" s="64"/>
      <c r="Y1237" s="64"/>
      <c r="Z1237" s="64"/>
    </row>
    <row r="1238">
      <c r="A1238" s="64"/>
      <c r="B1238" s="64"/>
      <c r="C1238" s="64"/>
      <c r="D1238" s="72" t="s">
        <v>2338</v>
      </c>
      <c r="E1238" s="64"/>
      <c r="F1238" s="64"/>
      <c r="G1238" s="64"/>
      <c r="H1238" s="64"/>
      <c r="I1238" s="64"/>
      <c r="J1238" s="64"/>
      <c r="K1238" s="64"/>
      <c r="L1238" s="64"/>
      <c r="M1238" s="64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</row>
    <row r="1239">
      <c r="A1239" s="64"/>
      <c r="B1239" s="64"/>
      <c r="C1239" s="64"/>
      <c r="D1239" s="72" t="s">
        <v>2339</v>
      </c>
      <c r="E1239" s="64"/>
      <c r="F1239" s="64"/>
      <c r="G1239" s="64"/>
      <c r="H1239" s="64"/>
      <c r="I1239" s="64"/>
      <c r="J1239" s="64"/>
      <c r="K1239" s="64"/>
      <c r="L1239" s="64"/>
      <c r="M1239" s="64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</row>
    <row r="1240">
      <c r="A1240" s="64"/>
      <c r="B1240" s="64"/>
      <c r="C1240" s="64"/>
      <c r="D1240" s="72" t="s">
        <v>1286</v>
      </c>
      <c r="E1240" s="64"/>
      <c r="F1240" s="64"/>
      <c r="G1240" s="64"/>
      <c r="H1240" s="64"/>
      <c r="I1240" s="64"/>
      <c r="J1240" s="64"/>
      <c r="K1240" s="64"/>
      <c r="L1240" s="64"/>
      <c r="M1240" s="64"/>
      <c r="N1240" s="64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</row>
    <row r="1241">
      <c r="A1241" s="64"/>
      <c r="B1241" s="64"/>
      <c r="C1241" s="64"/>
      <c r="D1241" s="72" t="s">
        <v>2340</v>
      </c>
      <c r="E1241" s="64"/>
      <c r="F1241" s="64"/>
      <c r="G1241" s="64"/>
      <c r="H1241" s="64"/>
      <c r="I1241" s="64"/>
      <c r="J1241" s="64"/>
      <c r="K1241" s="64"/>
      <c r="L1241" s="64"/>
      <c r="M1241" s="64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</row>
    <row r="1242">
      <c r="A1242" s="64"/>
      <c r="B1242" s="64"/>
      <c r="C1242" s="64"/>
      <c r="D1242" s="72" t="s">
        <v>2341</v>
      </c>
      <c r="E1242" s="64"/>
      <c r="F1242" s="64"/>
      <c r="G1242" s="64"/>
      <c r="H1242" s="64"/>
      <c r="I1242" s="64"/>
      <c r="J1242" s="64"/>
      <c r="K1242" s="64"/>
      <c r="L1242" s="64"/>
      <c r="M1242" s="64"/>
      <c r="N1242" s="64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</row>
    <row r="1243">
      <c r="A1243" s="64"/>
      <c r="B1243" s="64"/>
      <c r="C1243" s="64"/>
      <c r="D1243" s="72" t="s">
        <v>2342</v>
      </c>
      <c r="E1243" s="64"/>
      <c r="F1243" s="64"/>
      <c r="G1243" s="64"/>
      <c r="H1243" s="64"/>
      <c r="I1243" s="64"/>
      <c r="J1243" s="64"/>
      <c r="K1243" s="64"/>
      <c r="L1243" s="64"/>
      <c r="M1243" s="64"/>
      <c r="N1243" s="64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</row>
    <row r="1244">
      <c r="A1244" s="64"/>
      <c r="B1244" s="64"/>
      <c r="C1244" s="64"/>
      <c r="D1244" s="72" t="s">
        <v>614</v>
      </c>
      <c r="E1244" s="64"/>
      <c r="F1244" s="64"/>
      <c r="G1244" s="64"/>
      <c r="H1244" s="64"/>
      <c r="I1244" s="64"/>
      <c r="J1244" s="64"/>
      <c r="K1244" s="64"/>
      <c r="L1244" s="64"/>
      <c r="M1244" s="64"/>
      <c r="N1244" s="64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</row>
    <row r="1245">
      <c r="A1245" s="64"/>
      <c r="B1245" s="64"/>
      <c r="C1245" s="64"/>
      <c r="D1245" s="72" t="s">
        <v>2343</v>
      </c>
      <c r="E1245" s="64"/>
      <c r="F1245" s="64"/>
      <c r="G1245" s="64"/>
      <c r="H1245" s="64"/>
      <c r="I1245" s="64"/>
      <c r="J1245" s="64"/>
      <c r="K1245" s="64"/>
      <c r="L1245" s="64"/>
      <c r="M1245" s="64"/>
      <c r="N1245" s="64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</row>
    <row r="1246">
      <c r="A1246" s="64"/>
      <c r="B1246" s="64"/>
      <c r="C1246" s="64"/>
      <c r="D1246" s="72" t="s">
        <v>2344</v>
      </c>
      <c r="E1246" s="64"/>
      <c r="F1246" s="64"/>
      <c r="G1246" s="64"/>
      <c r="H1246" s="64"/>
      <c r="I1246" s="64"/>
      <c r="J1246" s="64"/>
      <c r="K1246" s="64"/>
      <c r="L1246" s="64"/>
      <c r="M1246" s="64"/>
      <c r="N1246" s="64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</row>
    <row r="1247">
      <c r="A1247" s="64"/>
      <c r="B1247" s="64"/>
      <c r="C1247" s="64"/>
      <c r="D1247" s="72" t="s">
        <v>2345</v>
      </c>
      <c r="E1247" s="64"/>
      <c r="F1247" s="64"/>
      <c r="G1247" s="64"/>
      <c r="H1247" s="64"/>
      <c r="I1247" s="64"/>
      <c r="J1247" s="64"/>
      <c r="K1247" s="64"/>
      <c r="L1247" s="64"/>
      <c r="M1247" s="64"/>
      <c r="N1247" s="64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</row>
    <row r="1248">
      <c r="A1248" s="64"/>
      <c r="B1248" s="64"/>
      <c r="C1248" s="64"/>
      <c r="D1248" s="72" t="s">
        <v>2346</v>
      </c>
      <c r="E1248" s="64"/>
      <c r="F1248" s="64"/>
      <c r="G1248" s="64"/>
      <c r="H1248" s="64"/>
      <c r="I1248" s="64"/>
      <c r="J1248" s="64"/>
      <c r="K1248" s="64"/>
      <c r="L1248" s="64"/>
      <c r="M1248" s="64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</row>
    <row r="1249">
      <c r="A1249" s="64"/>
      <c r="B1249" s="64"/>
      <c r="C1249" s="64"/>
      <c r="D1249" s="72" t="s">
        <v>402</v>
      </c>
      <c r="E1249" s="64"/>
      <c r="F1249" s="64"/>
      <c r="G1249" s="64"/>
      <c r="H1249" s="64"/>
      <c r="I1249" s="64"/>
      <c r="J1249" s="64"/>
      <c r="K1249" s="64"/>
      <c r="L1249" s="64"/>
      <c r="M1249" s="64"/>
      <c r="N1249" s="64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</row>
    <row r="1250">
      <c r="A1250" s="64"/>
      <c r="B1250" s="64"/>
      <c r="C1250" s="64"/>
      <c r="D1250" s="72" t="s">
        <v>2347</v>
      </c>
      <c r="E1250" s="64"/>
      <c r="F1250" s="64"/>
      <c r="G1250" s="64"/>
      <c r="H1250" s="64"/>
      <c r="I1250" s="64"/>
      <c r="J1250" s="64"/>
      <c r="K1250" s="64"/>
      <c r="L1250" s="64"/>
      <c r="M1250" s="64"/>
      <c r="N1250" s="64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</row>
    <row r="1251">
      <c r="A1251" s="64"/>
      <c r="B1251" s="64"/>
      <c r="C1251" s="64"/>
      <c r="D1251" s="72" t="s">
        <v>2348</v>
      </c>
      <c r="E1251" s="64"/>
      <c r="F1251" s="64"/>
      <c r="G1251" s="64"/>
      <c r="H1251" s="64"/>
      <c r="I1251" s="64"/>
      <c r="J1251" s="64"/>
      <c r="K1251" s="64"/>
      <c r="L1251" s="64"/>
      <c r="M1251" s="64"/>
      <c r="N1251" s="64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</row>
  </sheetData>
  <mergeCells count="4">
    <mergeCell ref="A1:A4"/>
    <mergeCell ref="B1:B4"/>
    <mergeCell ref="C1:C4"/>
    <mergeCell ref="D1:D4"/>
  </mergeCells>
  <drawing r:id="rId1"/>
</worksheet>
</file>