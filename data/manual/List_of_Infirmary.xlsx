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 COPY Summary" sheetId="1" r:id="rId5"/>
    <sheet state="hidden" name="Closed Facility" sheetId="2" r:id="rId6"/>
    <sheet state="hidden" name="Dialysis" sheetId="3" r:id="rId7"/>
    <sheet state="hidden" name="Blood Center" sheetId="4" r:id="rId8"/>
    <sheet state="visible" name="Summary" sheetId="5" r:id="rId9"/>
    <sheet state="visible" name="Government" sheetId="6" r:id="rId10"/>
    <sheet state="visible" name="Private" sheetId="7" r:id="rId11"/>
    <sheet state="hidden" name="Summary of renewed LTO" sheetId="8" r:id="rId12"/>
    <sheet state="hidden" name="Master Data" sheetId="9" r:id="rId13"/>
  </sheets>
  <definedNames>
    <definedName hidden="1" localSheetId="6" name="_xlnm._FilterDatabase">Private!$A$1:$Y$135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Please Type Facility Name in Caps
e.g. SAN LAZARO HOSPITAL</t>
      </text>
    </comment>
    <comment authorId="0" ref="G6">
      <text>
        <t xml:space="preserve">Please Type Facility Name in Caps
e.g. SAN LAZARO HOSPITAL</t>
      </text>
    </comment>
    <comment authorId="0" ref="G5">
      <text>
        <t xml:space="preserve">Please Type Facility Name in Caps
e.g. SAN LAZARO HOSPITAL</t>
      </text>
    </comment>
    <comment authorId="0" ref="G4">
      <text>
        <t xml:space="preserve">Please Type Facility Name in Caps
e.g. SAN LAZARO HOSPITAL</t>
      </text>
    </comment>
    <comment authorId="0" ref="G3">
      <text>
        <t xml:space="preserve">Please Type Facility Name in Caps
e.g. SAN LAZARO HOSPITAL</t>
      </text>
    </comment>
    <comment authorId="0" ref="G9">
      <text>
        <t xml:space="preserve">Please Type Facility Name in Caps
e.g. SAN LAZARO HOSPITAL</t>
      </text>
    </comment>
    <comment authorId="0" ref="G8">
      <text>
        <t xml:space="preserve">Please Type Facility Name in Caps
e.g. SAN LAZARO HOSPITAL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9">
      <text>
        <t xml:space="preserve">Please Type Facility Name in Caps
e.g. SAN LAZARO HOSPITAL</t>
      </text>
    </comment>
    <comment authorId="0" ref="G166">
      <text>
        <t xml:space="preserve">Please Type Facility Name in Caps
e.g. SAN LAZARO HOSPITAL</t>
      </text>
    </comment>
    <comment authorId="0" ref="G133">
      <text>
        <t xml:space="preserve">Please Type Facility Name in Caps
e.g. SAN LAZARO HOSPITAL</t>
      </text>
    </comment>
    <comment authorId="0" ref="K2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0">
      <text>
        <t xml:space="preserve">Please Type Facility Name in Caps
e.g. SAN LAZARO HOSPITAL</t>
      </text>
    </comment>
    <comment authorId="0" ref="K23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7">
      <text>
        <t xml:space="preserve">Please Type Facility Name in Caps
e.g. SAN LAZARO HOSPITAL</t>
      </text>
    </comment>
    <comment authorId="0" ref="K19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">
      <text>
        <t xml:space="preserve">Please Type Facility Name in Caps
e.g. SAN LAZARO HOSPITAL</t>
      </text>
    </comment>
    <comment authorId="0" ref="K16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5">
      <text>
        <t xml:space="preserve">Please Type Facility Name in Caps
e.g. SAN LAZARO HOSPITAL</t>
      </text>
    </comment>
    <comment authorId="0" ref="G266">
      <text>
        <t xml:space="preserve">Please Type Facility Name in Caps
e.g. SAN LAZARO HOSPITAL</t>
      </text>
    </comment>
    <comment authorId="0" ref="J3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3">
      <text>
        <t xml:space="preserve">Please Type Facility Name in Caps
e.g. SAN LAZARO HOSPITAL</t>
      </text>
    </comment>
    <comment authorId="0" ref="K3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0">
      <text>
        <t xml:space="preserve">Please Type Facility Name in Caps
e.g. SAN LAZARO HOSPITAL</t>
      </text>
    </comment>
    <comment authorId="0" ref="G167">
      <text>
        <t xml:space="preserve">Please Type Facility Name in Caps
e.g. SAN LAZARO HOSPITAL</t>
      </text>
    </comment>
    <comment authorId="0" ref="G134">
      <text>
        <t xml:space="preserve">Please Type Facility Name in Caps
e.g. SAN LAZARO HOSPITAL</t>
      </text>
    </comment>
    <comment authorId="0" ref="K26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1">
      <text>
        <t xml:space="preserve">Please Type Facility Name in Caps
e.g. SAN LAZARO HOSPITAL</t>
      </text>
    </comment>
    <comment authorId="0" ref="K23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0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">
      <text>
        <t xml:space="preserve">Please Type Facility Name in Caps
e.g. SAN LAZARO HOSPITAL</t>
      </text>
    </comment>
    <comment authorId="0" ref="K16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">
      <text>
        <t xml:space="preserve">Please Type Facility Name in Caps
e.g. SAN LAZARO HOSPITAL</t>
      </text>
    </comment>
    <comment authorId="0" ref="K1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00">
      <text>
        <t xml:space="preserve">Please Type Facility Name in Caps
e.g. SAN LAZARO HOSPITAL</t>
      </text>
    </comment>
    <comment authorId="0" ref="G267">
      <text>
        <t xml:space="preserve">Please Type Facility Name in Caps
e.g. SAN LAZARO HOSPITAL</t>
      </text>
    </comment>
    <comment authorId="0" ref="G234">
      <text>
        <t xml:space="preserve">Please Type Facility Name in Caps
e.g. SAN LAZARO HOSPITAL</t>
      </text>
    </comment>
    <comment authorId="0" ref="G201">
      <text>
        <t xml:space="preserve">Please Type Facility Name in Caps
e.g. SAN LAZARO HOSPITAL</t>
      </text>
    </comment>
    <comment authorId="0" ref="G168">
      <text>
        <t xml:space="preserve">Please Type Facility Name in Caps
e.g. SAN LAZARO HOSPITAL</t>
      </text>
    </comment>
    <comment authorId="0" ref="K30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5">
      <text>
        <t xml:space="preserve">Please Type Facility Name in Caps
e.g. SAN LAZARO HOSPITAL</t>
      </text>
    </comment>
    <comment authorId="0" ref="K26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2">
      <text>
        <t xml:space="preserve">Please Type Facility Name in Caps
e.g. SAN LAZARO HOSPITAL</t>
      </text>
    </comment>
    <comment authorId="0" ref="K2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9">
      <text>
        <t xml:space="preserve">Please Type Facility Name in Caps
e.g. SAN LAZARO HOSPITAL</t>
      </text>
    </comment>
    <comment authorId="0" ref="K20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">
      <text>
        <t xml:space="preserve">Please Type Facility Name in Caps
e.g. SAN LAZARO HOSPITAL</t>
      </text>
    </comment>
    <comment authorId="0" ref="K16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">
      <text>
        <t xml:space="preserve">Please Type Facility Name in Caps
e.g. SAN LAZARO HOSPITAL</t>
      </text>
    </comment>
    <comment authorId="0" ref="K1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4">
      <text>
        <t xml:space="preserve">Please Type Facility Name in Caps
e.g. SAN LAZARO HOSPITAL</t>
      </text>
    </comment>
    <comment authorId="0" ref="G301">
      <text>
        <t xml:space="preserve">Please Type Facility Name in Caps
e.g. SAN LAZARO HOSPITAL</t>
      </text>
    </comment>
    <comment authorId="0" ref="G268">
      <text>
        <t xml:space="preserve">Please Type Facility Name in Caps
e.g. SAN LAZARO HOSPITAL</t>
      </text>
    </comment>
    <comment authorId="0" ref="G235">
      <text>
        <t xml:space="preserve">Please Type Facility Name in Caps
e.g. SAN LAZARO HOSPITAL</t>
      </text>
    </comment>
    <comment authorId="0" ref="G202">
      <text>
        <t xml:space="preserve">Please Type Facility Name in Caps
e.g. SAN LAZARO HOSPITAL</t>
      </text>
    </comment>
    <comment authorId="0" ref="K3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69">
      <text>
        <t xml:space="preserve">Please Type Facility Name in Caps
e.g. SAN LAZARO HOSPITAL</t>
      </text>
    </comment>
    <comment authorId="0" ref="K30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6">
      <text>
        <t xml:space="preserve">Please Type Facility Name in Caps
e.g. SAN LAZARO HOSPITAL</t>
      </text>
    </comment>
    <comment authorId="0" ref="K26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3">
      <text>
        <t xml:space="preserve">Please Type Facility Name in Caps
e.g. SAN LAZARO HOSPITAL</t>
      </text>
    </comment>
    <comment authorId="0" ref="K2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0">
      <text>
        <t xml:space="preserve">Responder updated this value.</t>
      </text>
    </comment>
    <comment authorId="0" ref="K20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7">
      <text>
        <t xml:space="preserve">Please Type Facility Name in Caps
e.g. SAN LAZARO HOSPITAL</t>
      </text>
    </comment>
    <comment authorId="0" ref="K16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">
      <text>
        <t xml:space="preserve">Please Type Facility Name in Caps
e.g. SAN LAZARO HOSPITAL</t>
      </text>
    </comment>
    <comment authorId="0" ref="K1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5">
      <text>
        <t xml:space="preserve">Please Type Facility Name in Caps
e.g. SAN LAZARO HOSPITAL</t>
      </text>
    </comment>
    <comment authorId="0" ref="G269">
      <text>
        <t xml:space="preserve">Please Type Facility Name in Caps
e.g. SAN LAZARO HOSPITAL</t>
      </text>
    </comment>
    <comment authorId="0" ref="G236">
      <text>
        <t xml:space="preserve">Please Type Facility Name in Caps
e.g. SAN LAZARO HOSPITAL</t>
      </text>
    </comment>
    <comment authorId="0" ref="G203">
      <text>
        <t xml:space="preserve">Please Type Facility Name in Caps
e.g. SAN LAZARO HOSPITAL</t>
      </text>
    </comment>
    <comment authorId="0" ref="K3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0">
      <text>
        <t xml:space="preserve">Please Type Facility Name in Caps
e.g. SAN LAZARO HOSPITAL</t>
      </text>
    </comment>
    <comment authorId="0" ref="G137">
      <text>
        <t xml:space="preserve">Please Type Facility Name in Caps
e.g. SAN LAZARO HOSPITAL</t>
      </text>
    </comment>
    <comment authorId="0" ref="K26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4">
      <text>
        <t xml:space="preserve">Please Type Facility Name in Caps
e.g. SAN LAZARO HOSPITAL</t>
      </text>
    </comment>
    <comment authorId="0" ref="K2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1">
      <text>
        <t xml:space="preserve">Please Type Facility Name in Caps
e.g. SAN LAZARO HOSPITAL</t>
      </text>
    </comment>
    <comment authorId="0" ref="K20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8">
      <text>
        <t xml:space="preserve">Please Type Facility Name in Caps
e.g. SAN LAZARO HOSPITAL</t>
      </text>
    </comment>
    <comment authorId="0" ref="K17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">
      <text>
        <t xml:space="preserve">Please Type Facility Name in Caps
e.g. SAN LAZARO HOSPITAL</t>
      </text>
    </comment>
    <comment authorId="0" ref="K1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6">
      <text>
        <t xml:space="preserve">Please Type Facility Name in Caps
e.g. SAN LAZARO HOSPITAL</t>
      </text>
    </comment>
    <comment authorId="0" ref="G303">
      <text>
        <t xml:space="preserve">Please Type Facility Name in Caps
e.g. SAN LAZARO HOSPITAL</t>
      </text>
    </comment>
    <comment authorId="0" ref="G270">
      <text>
        <t xml:space="preserve">Please Type Facility Name in Caps
e.g. SAN LAZARO HOSPITAL</t>
      </text>
    </comment>
    <comment authorId="0" ref="G237">
      <text>
        <t xml:space="preserve">Please Type Facility Name in Caps
e.g. SAN LAZARO HOSPITAL</t>
      </text>
    </comment>
    <comment authorId="0" ref="G204">
      <text>
        <t xml:space="preserve">Please Type Facility Name in Caps
e.g. SAN LAZARO HOSPITAL</t>
      </text>
    </comment>
    <comment authorId="0" ref="K3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1">
      <text>
        <t xml:space="preserve">Please Type Facility Name in Caps
e.g. SAN LAZARO HOSPITAL</t>
      </text>
    </comment>
    <comment authorId="0" ref="K30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8">
      <text>
        <t xml:space="preserve">Please Type Facility Name in Caps
e.g. SAN LAZARO HOSPITAL</t>
      </text>
    </comment>
    <comment authorId="0" ref="K27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5">
      <text>
        <t xml:space="preserve">Please Type Facility Name in Caps
e.g. SAN LAZARO HOSPITAL</t>
      </text>
    </comment>
    <comment authorId="0" ref="K2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2">
      <text>
        <t xml:space="preserve">Please Type Facility Name in Caps
e.g. SAN LAZARO HOSPITAL</t>
      </text>
    </comment>
    <comment authorId="0" ref="K20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">
      <text>
        <t xml:space="preserve">Please Type Facility Name in Caps
e.g. SAN LAZARO HOSPITAL</t>
      </text>
    </comment>
    <comment authorId="0" ref="K1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7">
      <text>
        <t xml:space="preserve">Please Type Facility Name in Caps
e.g. SAN LAZARO HOSPITAL</t>
      </text>
    </comment>
    <comment authorId="0" ref="G271">
      <text>
        <t xml:space="preserve">Please Type Facility Name in Caps
e.g. SAN LAZARO HOSPITAL</t>
      </text>
    </comment>
    <comment authorId="0" ref="G238">
      <text>
        <t xml:space="preserve">Please Type Facility Name in Caps
e.g. SAN LAZARO HOSPITAL</t>
      </text>
    </comment>
    <comment authorId="0" ref="G205">
      <text>
        <t xml:space="preserve">Please Type Facility Name in Caps
e.g. SAN LAZARO HOSPITAL</t>
      </text>
    </comment>
    <comment authorId="0" ref="K3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2">
      <text>
        <t xml:space="preserve">Please Type Facility Name in Caps
e.g. SAN LAZARO HOSPITAL</t>
      </text>
    </comment>
    <comment authorId="0" ref="G139">
      <text>
        <t xml:space="preserve">Please Type Facility Name in Caps
e.g. SAN LAZARO HOSPITAL</t>
      </text>
    </comment>
    <comment authorId="0" ref="K27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6">
      <text>
        <t xml:space="preserve">Please Type Facility Name in Caps
e.g. SAN LAZARO HOSPITAL</t>
      </text>
    </comment>
    <comment authorId="0" ref="K2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3">
      <text>
        <t xml:space="preserve">Please Type Facility Name in Caps
e.g. SAN LAZARO HOSPITAL</t>
      </text>
    </comment>
    <comment authorId="0" ref="K20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0">
      <text>
        <t xml:space="preserve">Please Type Facility Name in Caps
e.g. SAN LAZARO HOSPITAL</t>
      </text>
    </comment>
    <comment authorId="0" ref="K17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">
      <text>
        <t xml:space="preserve">Please Type Facility Name in Caps
e.g. SAN LAZARO HOSPITAL</t>
      </text>
    </comment>
    <comment authorId="0" ref="K1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8">
      <text>
        <t xml:space="preserve">Please Type Facility Name in Caps
e.g. SAN LAZARO HOSPITAL</t>
      </text>
    </comment>
    <comment authorId="0" ref="G305">
      <text>
        <t xml:space="preserve">Please Type Facility Name in Caps
e.g. SAN LAZARO HOSPITAL</t>
      </text>
    </comment>
    <comment authorId="0" ref="G272">
      <text>
        <t xml:space="preserve">Please Type Facility Name in Caps
e.g. SAN LAZARO HOSPITAL</t>
      </text>
    </comment>
    <comment authorId="0" ref="G239">
      <text>
        <t xml:space="preserve">Please Type Facility Name in Caps
e.g. SAN LAZARO HOSPITAL</t>
      </text>
    </comment>
    <comment authorId="0" ref="G206">
      <text>
        <t xml:space="preserve">Please Type Facility Name in Caps
e.g. SAN LAZARO HOSPITAL</t>
      </text>
    </comment>
    <comment authorId="0" ref="K3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3">
      <text>
        <t xml:space="preserve">Please Type Facility Name in Caps
e.g. SAN LAZARO HOSPITAL</t>
      </text>
    </comment>
    <comment authorId="0" ref="K30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0">
      <text>
        <t xml:space="preserve">Please Type Facility Name in Caps
e.g. SAN LAZARO HOSPITAL</t>
      </text>
    </comment>
    <comment authorId="0" ref="K27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7">
      <text>
        <t xml:space="preserve">Please Type Facility Name in Caps
e.g. SAN LAZARO HOSPITAL</t>
      </text>
    </comment>
    <comment authorId="0" ref="K2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4">
      <text>
        <t xml:space="preserve">Please Type Facility Name in Caps
e.g. SAN LAZARO HOSPITAL</t>
      </text>
    </comment>
    <comment authorId="0" ref="K20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1">
      <text>
        <t xml:space="preserve">Please Type Facility Name in Caps
e.g. SAN LAZARO HOSPITAL</t>
      </text>
    </comment>
    <comment authorId="0" ref="K17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">
      <text>
        <t xml:space="preserve">Please Type Facility Name in Caps
e.g. SAN LAZARO HOSPITAL</t>
      </text>
    </comment>
    <comment authorId="0" ref="K1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J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9">
      <text>
        <t xml:space="preserve">Please Type Facility Name in Caps
e.g. SAN LAZARO HOSPITAL</t>
      </text>
    </comment>
    <comment authorId="0" ref="G306">
      <text>
        <t xml:space="preserve">Please Type Facility Name in Caps
e.g. SAN LAZARO HOSPITAL</t>
      </text>
    </comment>
    <comment authorId="0" ref="G273">
      <text>
        <t xml:space="preserve">Please Type Facility Name in Caps
e.g. SAN LAZARO HOSPITAL</t>
      </text>
    </comment>
    <comment authorId="0" ref="G240">
      <text>
        <t xml:space="preserve">Please Type Facility Name in Caps
e.g. SAN LAZARO HOSPITAL</t>
      </text>
    </comment>
    <comment authorId="0" ref="G207">
      <text>
        <t xml:space="preserve">Please Type Facility Name in Caps
e.g. SAN LAZARO HOSPITAL</t>
      </text>
    </comment>
    <comment authorId="0" ref="K3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4">
      <text>
        <t xml:space="preserve">Please Type Facility Name in Caps
e.g. SAN LAZARO HOSPITAL</t>
      </text>
    </comment>
    <comment authorId="0" ref="K30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1">
      <text>
        <t xml:space="preserve">Please Type Facility Name in Caps
e.g. SAN LAZARO HOSPITAL</t>
      </text>
    </comment>
    <comment authorId="0" ref="K27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8">
      <text>
        <t xml:space="preserve">Please Type Facility Name in Caps
e.g. SAN LAZARO HOSPITAL</t>
      </text>
    </comment>
    <comment authorId="0" ref="K2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F42">
      <text>
        <t xml:space="preserve">Please Type Facility Name in Caps
e.g. SAN LAZARO HOSPITAL</t>
      </text>
    </comment>
    <comment authorId="0" ref="G75">
      <text>
        <t xml:space="preserve">Responder updated this value.</t>
      </text>
    </comment>
    <comment authorId="0" ref="K20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2">
      <text>
        <t xml:space="preserve">Please Type Facility Name in Caps
e.g. SAN LAZARO HOSPITAL</t>
      </text>
    </comment>
    <comment authorId="0" ref="K17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0">
      <text>
        <t xml:space="preserve">Please Type Facility Name in Caps
e.g. SAN LAZARO HOSPITAL</t>
      </text>
    </comment>
    <comment authorId="0" ref="G307">
      <text>
        <t xml:space="preserve">Please Type Facility Name in Caps
e.g. SAN LAZARO HOSPITAL</t>
      </text>
    </comment>
    <comment authorId="0" ref="G274">
      <text>
        <t xml:space="preserve">Please Type Facility Name in Caps
e.g. SAN LAZARO HOSPITAL</t>
      </text>
    </comment>
    <comment authorId="0" ref="G241">
      <text>
        <t xml:space="preserve">Please Type Facility Name in Caps
e.g. SAN LAZARO HOSPITAL</t>
      </text>
    </comment>
    <comment authorId="0" ref="G208">
      <text>
        <t xml:space="preserve">Please Type Facility Name in Caps
e.g. SAN LAZARO HOSPITAL</t>
      </text>
    </comment>
    <comment authorId="0" ref="K3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5">
      <text>
        <t xml:space="preserve">Please Type Facility Name in Caps
e.g. SAN LAZARO HOSPITAL</t>
      </text>
    </comment>
    <comment authorId="0" ref="K30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2">
      <text>
        <t xml:space="preserve">Please Type Facility Name in Caps
e.g. SAN LAZARO HOSPITAL</t>
      </text>
    </comment>
    <comment authorId="0" ref="K27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9">
      <text>
        <t xml:space="preserve">Please Type Facility Name in Caps
e.g. SAN LAZARO HOSPITAL</t>
      </text>
    </comment>
    <comment authorId="0" ref="K2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6">
      <text>
        <t xml:space="preserve">Please Type Facility Name in Caps
e.g. SAN LAZARO HOSPITAL</t>
      </text>
    </comment>
    <comment authorId="0" ref="K20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3">
      <text>
        <t xml:space="preserve">Please Type Facility Name in Caps
e.g. SAN LAZARO HOSPITAL</t>
      </text>
    </comment>
    <comment authorId="0" ref="K17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">
      <text>
        <t xml:space="preserve">Please Type Facility Name in Caps
e.g. SAN LAZARO HOSPITAL</t>
      </text>
    </comment>
    <comment authorId="0" ref="K1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1">
      <text>
        <t xml:space="preserve">Please Type Facility Name in Caps
e.g. SAN LAZARO HOSPITAL</t>
      </text>
    </comment>
    <comment authorId="0" ref="G308">
      <text>
        <t xml:space="preserve">Please Type Facility Name in Caps
e.g. SAN LAZARO HOSPITAL</t>
      </text>
    </comment>
    <comment authorId="0" ref="G275">
      <text>
        <t xml:space="preserve">Please Type Facility Name in Caps
e.g. SAN LAZARO HOSPITAL</t>
      </text>
    </comment>
    <comment authorId="0" ref="G242">
      <text>
        <t xml:space="preserve">Please Type Facility Name in Caps
e.g. SAN LAZARO HOSPITAL</t>
      </text>
    </comment>
    <comment authorId="0" ref="G209">
      <text>
        <t xml:space="preserve">Please Type Facility Name in Caps
e.g. SAN LAZARO HOSPITAL</t>
      </text>
    </comment>
    <comment authorId="0" ref="K3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6">
      <text>
        <t xml:space="preserve">Please Type Facility Name in Caps
e.g. SAN LAZARO HOSPITAL</t>
      </text>
    </comment>
    <comment authorId="0" ref="K30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3">
      <text>
        <t xml:space="preserve">Please Type Facility Name in Caps
e.g. SAN LAZARO HOSPITAL</t>
      </text>
    </comment>
    <comment authorId="0" ref="K27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0">
      <text>
        <t xml:space="preserve">Please Type Facility Name in Caps
e.g. SAN LAZARO HOSPITAL</t>
      </text>
    </comment>
    <comment authorId="0" ref="K2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7">
      <text>
        <t xml:space="preserve">Please Type Facility Name in Caps
e.g. SAN LAZARO HOSPITAL</t>
      </text>
    </comment>
    <comment authorId="0" ref="K20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4">
      <text>
        <t xml:space="preserve">Please Type Facility Name in Caps
e.g. SAN LAZARO HOSPITAL</t>
      </text>
    </comment>
    <comment authorId="0" ref="K17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">
      <text>
        <t xml:space="preserve">Please Type Facility Name in Caps
e.g. SAN LAZARO HOSPITAL</t>
      </text>
    </comment>
    <comment authorId="0" ref="K1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2">
      <text>
        <t xml:space="preserve">Please Type Facility Name in Caps
e.g. SAN LAZARO HOSPITAL</t>
      </text>
    </comment>
    <comment authorId="0" ref="G309">
      <text>
        <t xml:space="preserve">Please Type Facility Name in Caps
e.g. SAN LAZARO HOSPITAL</t>
      </text>
    </comment>
    <comment authorId="0" ref="G276">
      <text>
        <t xml:space="preserve">Please Type Facility Name in Caps
e.g. SAN LAZARO HOSPITAL</t>
      </text>
    </comment>
    <comment authorId="0" ref="G243">
      <text>
        <t xml:space="preserve">Please Type Facility Name in Caps
e.g. SAN LAZARO HOSPITAL</t>
      </text>
    </comment>
    <comment authorId="0" ref="G210">
      <text>
        <t xml:space="preserve">Please Type Facility Name in Caps
e.g. SAN LAZARO HOSPITAL</t>
      </text>
    </comment>
    <comment authorId="0" ref="K3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7">
      <text>
        <t xml:space="preserve">Please Type Facility Name in Caps
e.g. SAN LAZARO HOSPITAL</t>
      </text>
    </comment>
    <comment authorId="0" ref="K30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4">
      <text>
        <t xml:space="preserve">Please Type Facility Name in Caps
e.g. SAN LAZARO HOSPITAL</t>
      </text>
    </comment>
    <comment authorId="0" ref="K27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1">
      <text>
        <t xml:space="preserve">Please Type Facility Name in Caps
e.g. SAN LAZARO HOSPITAL</t>
      </text>
    </comment>
    <comment authorId="0" ref="K2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8">
      <text>
        <t xml:space="preserve">Please Type Facility Name in Caps
e.g. SAN LAZARO HOSPITAL</t>
      </text>
    </comment>
    <comment authorId="0" ref="K2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5">
      <text>
        <t xml:space="preserve">Please Type Facility Name in Caps
e.g. SAN LAZARO HOSPITAL</t>
      </text>
    </comment>
    <comment authorId="0" ref="K17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">
      <text>
        <t xml:space="preserve">Please Type Facility Name in Caps
e.g. SAN LAZARO HOSPITAL</t>
      </text>
    </comment>
    <comment authorId="0" ref="K1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3">
      <text>
        <t xml:space="preserve">Please Type Facility Name in Caps
e.g. SAN LAZARO HOSPITAL</t>
      </text>
    </comment>
    <comment authorId="0" ref="G310">
      <text>
        <t xml:space="preserve">Please Type Facility Name in Caps
e.g. SAN LAZARO HOSPITAL</t>
      </text>
    </comment>
    <comment authorId="0" ref="G277">
      <text>
        <t xml:space="preserve">Please Type Facility Name in Caps
e.g. SAN LAZARO HOSPITAL</t>
      </text>
    </comment>
    <comment authorId="0" ref="G244">
      <text>
        <t xml:space="preserve">Please Type Facility Name in Caps
e.g. SAN LAZARO HOSPITAL</t>
      </text>
    </comment>
    <comment authorId="0" ref="G211">
      <text>
        <t xml:space="preserve">Please Type Facility Name in Caps
e.g. SAN LAZARO HOSPITAL</t>
      </text>
    </comment>
    <comment authorId="0" ref="K3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8">
      <text>
        <t xml:space="preserve">Please Type Facility Name in Caps
e.g. SAN LAZARO HOSPITAL</t>
      </text>
    </comment>
    <comment authorId="0" ref="K3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5">
      <text>
        <t xml:space="preserve">Please Type Facility Name in Caps
e.g. SAN LAZARO HOSPITAL</t>
      </text>
    </comment>
    <comment authorId="0" ref="K27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2">
      <text>
        <t xml:space="preserve">Please Type Facility Name in Caps
e.g. SAN LAZARO HOSPITAL</t>
      </text>
    </comment>
    <comment authorId="0" ref="K2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9">
      <text>
        <t xml:space="preserve">Please Type Facility Name in Caps
e.g. SAN LAZARO HOSPITAL</t>
      </text>
    </comment>
    <comment authorId="0" ref="K2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6">
      <text>
        <t xml:space="preserve">Please Type Facility Name in Caps
e.g. SAN LAZARO HOSPITAL</t>
      </text>
    </comment>
    <comment authorId="0" ref="K17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">
      <text>
        <t xml:space="preserve">Please Type Facility Name in Caps
e.g. SAN LAZARO HOSPITAL</t>
      </text>
    </comment>
    <comment authorId="0" ref="K1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4">
      <text>
        <t xml:space="preserve">Please Type Facility Name in Caps
e.g. SAN LAZARO HOSPITAL</t>
      </text>
    </comment>
    <comment authorId="0" ref="G311">
      <text>
        <t xml:space="preserve">Please Type Facility Name in Caps
e.g. SAN LAZARO HOSPITAL</t>
      </text>
    </comment>
    <comment authorId="0" ref="G278">
      <text>
        <t xml:space="preserve">Please Type Facility Name in Caps
e.g. SAN LAZARO HOSPITAL</t>
      </text>
    </comment>
    <comment authorId="0" ref="G245">
      <text>
        <t xml:space="preserve">Please Type Facility Name in Caps
e.g. SAN LAZARO HOSPITAL</t>
      </text>
    </comment>
    <comment authorId="0" ref="G212">
      <text>
        <t xml:space="preserve">Please Type Facility Name in Caps
e.g. SAN LAZARO HOSPITAL</t>
      </text>
    </comment>
    <comment authorId="0" ref="K3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9">
      <text>
        <t xml:space="preserve">Please Type Facility Name in Caps
e.g. SAN LAZARO HOSPITAL</t>
      </text>
    </comment>
    <comment authorId="0" ref="K3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6">
      <text>
        <t xml:space="preserve">Please Type Facility Name in Caps
e.g. SAN LAZARO HOSPITAL</t>
      </text>
    </comment>
    <comment authorId="0" ref="K27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3">
      <text>
        <t xml:space="preserve">Please Type Facility Name in Caps
e.g. SAN LAZARO HOSPITAL</t>
      </text>
    </comment>
    <comment authorId="0" ref="K2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0">
      <text>
        <t xml:space="preserve">Please Type Facility Name in Caps
e.g. SAN LAZARO HOSPITAL</t>
      </text>
    </comment>
    <comment authorId="0" ref="K2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7">
      <text>
        <t xml:space="preserve">Please Type Facility Name in Caps
e.g. SAN LAZARO HOSPITAL</t>
      </text>
    </comment>
    <comment authorId="0" ref="K17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">
      <text>
        <t xml:space="preserve">Please Type Facility Name in Caps
e.g. SAN LAZARO HOSPITAL</t>
      </text>
    </comment>
    <comment authorId="0" ref="K1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5">
      <text>
        <t xml:space="preserve">Please Type Facility Name in Caps
e.g. SAN LAZARO HOSPITAL</t>
      </text>
    </comment>
    <comment authorId="0" ref="G279">
      <text>
        <t xml:space="preserve">Please Type Facility Name in Caps
e.g. SAN LAZARO HOSPITAL</t>
      </text>
    </comment>
    <comment authorId="0" ref="G246">
      <text>
        <t xml:space="preserve">Please Type Facility Name in Caps
e.g. SAN LAZARO HOSPITAL</t>
      </text>
    </comment>
    <comment authorId="0" ref="G213">
      <text>
        <t xml:space="preserve">Please Type Facility Name in Caps
e.g. SAN LAZARO HOSPITAL</t>
      </text>
    </comment>
    <comment authorId="0" ref="K3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0">
      <text>
        <t xml:space="preserve">Please Type Facility Name in Caps
e.g. SAN LAZARO HOSPITAL</t>
      </text>
    </comment>
    <comment authorId="0" ref="G147">
      <text>
        <t xml:space="preserve">Please Type Facility Name in Caps
e.g. SAN LAZARO HOSPITAL</t>
      </text>
    </comment>
    <comment authorId="0" ref="K27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4">
      <text>
        <t xml:space="preserve">Please Type Facility Name in Caps
e.g. SAN LAZARO HOSPITAL</t>
      </text>
    </comment>
    <comment authorId="0" ref="K2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1">
      <text>
        <t xml:space="preserve">Please Type Facility Name in Caps
e.g. SAN LAZARO HOSPITAL</t>
      </text>
    </comment>
    <comment authorId="0" ref="K2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8">
      <text>
        <t xml:space="preserve">Please Type Facility Name in Caps
e.g. SAN LAZARO HOSPITAL</t>
      </text>
    </comment>
    <comment authorId="0" ref="K18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5">
      <text>
        <t xml:space="preserve">Please Type Facility Name in Caps
e.g. SAN LAZARO HOSPITAL</t>
      </text>
    </comment>
    <comment authorId="0" ref="K1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6">
      <text>
        <t xml:space="preserve">Please Type Facility Name in Caps
e.g. SAN LAZARO HOSPITAL</t>
      </text>
    </comment>
    <comment authorId="0" ref="G280">
      <text>
        <t xml:space="preserve">Please Type Facility Name in Caps
e.g. SAN LAZARO HOSPITAL</t>
      </text>
    </comment>
    <comment authorId="0" ref="G247">
      <text>
        <t xml:space="preserve">Please Type Facility Name in Caps
e.g. SAN LAZARO HOSPITAL</t>
      </text>
    </comment>
    <comment authorId="0" ref="G214">
      <text>
        <t xml:space="preserve">Please Type Facility Name in Caps
e.g. SAN LAZARO HOSPITAL</t>
      </text>
    </comment>
    <comment authorId="0" ref="K3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1">
      <text>
        <t xml:space="preserve">Please Type Facility Name in Caps
e.g. SAN LAZARO HOSPITAL</t>
      </text>
    </comment>
    <comment authorId="0" ref="G148">
      <text>
        <t xml:space="preserve">Please Type Facility Name in Caps
e.g. SAN LAZARO HOSPITAL</t>
      </text>
    </comment>
    <comment authorId="0" ref="K28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5">
      <text>
        <t xml:space="preserve">Please Type Facility Name in Caps
e.g. SAN LAZARO HOSPITAL</t>
      </text>
    </comment>
    <comment authorId="0" ref="K2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2">
      <text>
        <t xml:space="preserve">Please Type Facility Name in Caps
e.g. SAN LAZARO HOSPITAL</t>
      </text>
    </comment>
    <comment authorId="0" ref="K21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9">
      <text>
        <t xml:space="preserve">Please Type Facility Name in Caps
e.g. SAN LAZARO HOSPITAL</t>
      </text>
    </comment>
    <comment authorId="0" ref="K18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6">
      <text>
        <t xml:space="preserve">Please Type Facility Name in Caps
e.g. SAN LAZARO HOSPITAL</t>
      </text>
    </comment>
    <comment authorId="0" ref="K1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7">
      <text>
        <t xml:space="preserve">Please Type Facility Name in Caps
e.g. SAN LAZARO HOSPITAL</t>
      </text>
    </comment>
    <comment authorId="0" ref="G281">
      <text>
        <t xml:space="preserve">Please Type Facility Name in Caps
e.g. SAN LAZARO HOSPITAL</t>
      </text>
    </comment>
    <comment authorId="0" ref="G248">
      <text>
        <t xml:space="preserve">Please Type Facility Name in Caps
e.g. SAN LAZARO HOSPITAL</t>
      </text>
    </comment>
    <comment authorId="0" ref="G215">
      <text>
        <t xml:space="preserve">Please Type Facility Name in Caps
e.g. SAN LAZARO HOSPITAL</t>
      </text>
    </comment>
    <comment authorId="0" ref="K3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2">
      <text>
        <t xml:space="preserve">Please Type Facility Name in Caps
e.g. SAN LAZARO HOSPITAL</t>
      </text>
    </comment>
    <comment authorId="0" ref="G149">
      <text>
        <t xml:space="preserve">Please Type Facility Name in Caps
e.g. SAN LAZARO HOSPITAL</t>
      </text>
    </comment>
    <comment authorId="0" ref="K28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6">
      <text>
        <t xml:space="preserve">Please Type Facility Name in Caps
e.g. SAN LAZARO HOSPITAL</t>
      </text>
    </comment>
    <comment authorId="0" ref="K2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3">
      <text>
        <t xml:space="preserve">Please Type Facility Name in Caps
e.g. SAN LAZARO HOSPITAL</t>
      </text>
    </comment>
    <comment authorId="0" ref="K2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0">
      <text>
        <t xml:space="preserve">Please Type Facility Name in Caps
e.g. SAN LAZARO HOSPITAL</t>
      </text>
    </comment>
    <comment authorId="0" ref="K18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">
      <text>
        <t xml:space="preserve">Please Type Facility Name in Caps
e.g. SAN LAZARO HOSPITAL</t>
      </text>
    </comment>
    <comment authorId="0" ref="K1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8">
      <text>
        <t xml:space="preserve">Please Type Facility Name in Caps
e.g. SAN LAZARO HOSPITAL</t>
      </text>
    </comment>
    <comment authorId="0" ref="G282">
      <text>
        <t xml:space="preserve">Please Type Facility Name in Caps
e.g. SAN LAZARO HOSPITAL</t>
      </text>
    </comment>
    <comment authorId="0" ref="G249">
      <text>
        <t xml:space="preserve">Please Type Facility Name in Caps
e.g. SAN LAZARO HOSPITAL</t>
      </text>
    </comment>
    <comment authorId="0" ref="J3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6">
      <text>
        <t xml:space="preserve">Please Type Facility Name in Caps
e.g. SAN LAZARO HOSPITAL</t>
      </text>
    </comment>
    <comment authorId="0" ref="K3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3">
      <text>
        <t xml:space="preserve">Please Type Facility Name in Caps
e.g. SAN LAZARO HOSPITAL</t>
      </text>
    </comment>
    <comment authorId="0" ref="G150">
      <text>
        <t xml:space="preserve">Please Type Facility Name in Caps
e.g. SAN LAZARO HOSPITAL</t>
      </text>
    </comment>
    <comment authorId="0" ref="K28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7">
      <text>
        <t xml:space="preserve">Please Type Facility Name in Caps
e.g. SAN LAZARO HOSPITAL</t>
      </text>
    </comment>
    <comment authorId="0" ref="K2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4">
      <text>
        <t xml:space="preserve">Please Type Facility Name in Caps
e.g. SAN LAZARO HOSPITAL</t>
      </text>
    </comment>
    <comment authorId="0" ref="K21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1">
      <text>
        <t xml:space="preserve">Please Type Facility Name in Caps
e.g. SAN LAZARO HOSPITAL</t>
      </text>
    </comment>
    <comment authorId="0" ref="K18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">
      <text>
        <t xml:space="preserve">Please Type Facility Name in Caps
e.g. SAN LAZARO HOSPITAL</t>
      </text>
    </comment>
    <comment authorId="0" ref="K15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9">
      <text>
        <t xml:space="preserve">Please Type Facility Name in Caps
e.g. SAN LAZARO HOSPITAL</t>
      </text>
    </comment>
    <comment authorId="0" ref="G283">
      <text>
        <t xml:space="preserve">Please Type Facility Name in Caps
e.g. SAN LAZARO HOSPITAL</t>
      </text>
    </comment>
    <comment authorId="0" ref="G250">
      <text>
        <t xml:space="preserve">Please Type Facility Name in Caps
e.g. SAN LAZARO HOSPITAL</t>
      </text>
    </comment>
    <comment authorId="0" ref="G217">
      <text>
        <t xml:space="preserve">Please Type Facility Name in Caps
e.g. SAN LAZARO HOSPITAL</t>
      </text>
    </comment>
    <comment authorId="0" ref="K3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4">
      <text>
        <t xml:space="preserve">Please Type Facility Name in Caps
e.g. SAN LAZARO HOSPITAL</t>
      </text>
    </comment>
    <comment authorId="0" ref="L3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51">
      <text>
        <t xml:space="preserve">Please Type Facility Name in Caps
e.g. SAN LAZARO HOSPITAL</t>
      </text>
    </comment>
    <comment authorId="0" ref="K28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8">
      <text>
        <t xml:space="preserve">Please Type Facility Name in Caps
e.g. SAN LAZARO HOSPITAL</t>
      </text>
    </comment>
    <comment authorId="0" ref="K25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5">
      <text>
        <t xml:space="preserve">Please Type Facility Name in Caps
e.g. SAN LAZARO HOSPITAL</t>
      </text>
    </comment>
    <comment authorId="0" ref="K2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2">
      <text>
        <t xml:space="preserve">Please Type Facility Name in Caps
e.g. SAN LAZARO HOSPITAL</t>
      </text>
    </comment>
    <comment authorId="0" ref="K18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">
      <text>
        <t xml:space="preserve">Please Type Facility Name in Caps
e.g. SAN LAZARO HOSPITAL</t>
      </text>
    </comment>
    <comment authorId="0" ref="K1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84">
      <text>
        <t xml:space="preserve">Please Type Facility Name in Caps
e.g. SAN LAZARO HOSPITAL</t>
      </text>
    </comment>
    <comment authorId="0" ref="G251">
      <text>
        <t xml:space="preserve">Please Type Facility Name in Caps
e.g. SAN LAZARO HOSPITAL</t>
      </text>
    </comment>
    <comment authorId="0" ref="G218">
      <text>
        <t xml:space="preserve">Please Type Facility Name in Caps
e.g. SAN LAZARO HOSPITAL</t>
      </text>
    </comment>
    <comment authorId="0" ref="G185">
      <text>
        <t xml:space="preserve">Please Type Facility Name in Caps
e.g. SAN LAZARO HOSPITAL</t>
      </text>
    </comment>
    <comment authorId="0" ref="G152">
      <text>
        <t xml:space="preserve">Please Type Facility Name in Caps
e.g. SAN LAZARO HOSPITAL</t>
      </text>
    </comment>
    <comment authorId="0" ref="K28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9">
      <text>
        <t xml:space="preserve">Please Type Facility Name in Caps
e.g. SAN LAZARO HOSPITAL</t>
      </text>
    </comment>
    <comment authorId="0" ref="K2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6">
      <text>
        <t xml:space="preserve">Please Type Facility Name in Caps
e.g. SAN LAZARO HOSPITAL</t>
      </text>
    </comment>
    <comment authorId="0" ref="K2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3">
      <text>
        <t xml:space="preserve">Please Type Facility Name in Caps
e.g. SAN LAZARO HOSPITAL</t>
      </text>
    </comment>
    <comment authorId="0" ref="K18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">
      <text>
        <t xml:space="preserve">Please Type Facility Name in Caps
e.g. SAN LAZARO HOSPITAL</t>
      </text>
    </comment>
    <comment authorId="0" ref="K1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1">
      <text>
        <t xml:space="preserve">Please Type Facility Name in Caps
e.g. SAN LAZARO HOSPITAL</t>
      </text>
    </comment>
    <comment authorId="0" ref="G285">
      <text>
        <t xml:space="preserve">Please Type Facility Name in Caps
e.g. SAN LAZARO HOSPITAL</t>
      </text>
    </comment>
    <comment authorId="0" ref="G252">
      <text>
        <t xml:space="preserve">Please Type Facility Name in Caps
e.g. SAN LAZARO HOSPITAL</t>
      </text>
    </comment>
    <comment authorId="0" ref="J3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9">
      <text>
        <t xml:space="preserve">Please Type Facility Name in Caps
e.g. SAN LAZARO HOSPITAL</t>
      </text>
    </comment>
    <comment authorId="0" ref="K3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6">
      <text>
        <t xml:space="preserve">Please Type Facility Name in Caps
e.g. SAN LAZARO HOSPITAL</t>
      </text>
    </comment>
    <comment authorId="0" ref="G153">
      <text>
        <t xml:space="preserve">Please Type Facility Name in Caps
e.g. SAN LAZARO HOSPITAL</t>
      </text>
    </comment>
    <comment authorId="0" ref="K28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0">
      <text>
        <t xml:space="preserve">Please Type Facility Name in Caps
e.g. SAN LAZARO HOSPITAL</t>
      </text>
    </comment>
    <comment authorId="0" ref="K2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7">
      <text>
        <t xml:space="preserve">Please Type Facility Name in Caps
e.g. SAN LAZARO HOSPITAL</t>
      </text>
    </comment>
    <comment authorId="0" ref="K21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4">
      <text>
        <t xml:space="preserve">Please Type Facility Name in Caps
e.g. SAN LAZARO HOSPITAL</t>
      </text>
    </comment>
    <comment authorId="0" ref="K18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">
      <text>
        <t xml:space="preserve">Please Type Facility Name in Caps
e.g. SAN LAZARO HOSPITAL</t>
      </text>
    </comment>
    <comment authorId="0" ref="K1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2">
      <text>
        <t xml:space="preserve">Please Type Facility Name in Caps
e.g. SAN LAZARO HOSPITAL</t>
      </text>
    </comment>
    <comment authorId="0" ref="G286">
      <text>
        <t xml:space="preserve">Please Type Facility Name in Caps
e.g. SAN LAZARO HOSPITAL</t>
      </text>
    </comment>
    <comment authorId="0" ref="G253">
      <text>
        <t xml:space="preserve">Please Type Facility Name in Caps
e.g. SAN LAZARO HOSPITAL</t>
      </text>
    </comment>
    <comment authorId="0" ref="J3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0">
      <text>
        <t xml:space="preserve">Please Type Facility Name in Caps
e.g. SAN LAZARO HOSPITAL</t>
      </text>
    </comment>
    <comment authorId="0" ref="K3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7">
      <text>
        <t xml:space="preserve">Please Type Facility Name in Caps
e.g. SAN LAZARO HOSPITAL</t>
      </text>
    </comment>
    <comment authorId="0" ref="G154">
      <text>
        <t xml:space="preserve">Please Type Facility Name in Caps
e.g. SAN LAZARO HOSPITAL</t>
      </text>
    </comment>
    <comment authorId="0" ref="K28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1">
      <text>
        <t xml:space="preserve">Please Type Facility Name in Caps
e.g. SAN LAZARO HOSPITAL</t>
      </text>
    </comment>
    <comment authorId="0" ref="K2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8">
      <text>
        <t xml:space="preserve">Please Type Facility Name in Caps
e.g. SAN LAZARO HOSPITAL</t>
      </text>
    </comment>
    <comment authorId="0" ref="K2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5">
      <text>
        <t xml:space="preserve">Please Type Facility Name in Caps
e.g. SAN LAZARO HOSPITAL</t>
      </text>
    </comment>
    <comment authorId="0" ref="K18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">
      <text>
        <t xml:space="preserve">Please Type Facility Name in Caps
e.g. SAN LAZARO HOSPITAL</t>
      </text>
    </comment>
    <comment authorId="0" ref="K1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3">
      <text>
        <t xml:space="preserve">Please Type Facility Name in Caps
e.g. SAN LAZARO HOSPITAL</t>
      </text>
    </comment>
    <comment authorId="0" ref="G287">
      <text>
        <t xml:space="preserve">Please Type Facility Name in Caps
e.g. SAN LAZARO HOSPITAL</t>
      </text>
    </comment>
    <comment authorId="0" ref="G254">
      <text>
        <t xml:space="preserve">Please Type Facility Name in Caps
e.g. SAN LAZARO HOSPITAL</t>
      </text>
    </comment>
    <comment authorId="0" ref="J3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1">
      <text>
        <t xml:space="preserve">Please Type Facility Name in Caps
e.g. SAN LAZARO HOSPITAL</t>
      </text>
    </comment>
    <comment authorId="0" ref="K3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8">
      <text>
        <t xml:space="preserve">Please Type Facility Name in Caps
e.g. SAN LAZARO HOSPITAL</t>
      </text>
    </comment>
    <comment authorId="0" ref="G155">
      <text>
        <t xml:space="preserve">Please Type Facility Name in Caps
e.g. SAN LAZARO HOSPITAL</t>
      </text>
    </comment>
    <comment authorId="0" ref="K28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2">
      <text>
        <t xml:space="preserve">Please Type Facility Name in Caps
e.g. SAN LAZARO HOSPITAL</t>
      </text>
    </comment>
    <comment authorId="0" ref="K2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9">
      <text>
        <t xml:space="preserve">Please Type Facility Name in Caps
e.g. SAN LAZARO HOSPITAL</t>
      </text>
    </comment>
    <comment authorId="0" ref="K2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6">
      <text>
        <t xml:space="preserve">Please Type Facility Name in Caps
e.g. SAN LAZARO HOSPITAL</t>
      </text>
    </comment>
    <comment authorId="0" ref="K18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">
      <text>
        <t xml:space="preserve">Please Type Facility Name in Caps
e.g. SAN LAZARO HOSPITAL</t>
      </text>
    </comment>
    <comment authorId="0" ref="K1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4">
      <text>
        <t xml:space="preserve">Please Type Facility Name in Caps
e.g. SAN LAZARO HOSPITAL</t>
      </text>
    </comment>
    <comment authorId="0" ref="G288">
      <text>
        <t xml:space="preserve">Please Type Facility Name in Caps
e.g. SAN LAZARO HOSPITAL</t>
      </text>
    </comment>
    <comment authorId="0" ref="G255">
      <text>
        <t xml:space="preserve">Please Type Facility Name in Caps
e.g. SAN LAZARO HOSPITAL</t>
      </text>
    </comment>
    <comment authorId="0" ref="J3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2">
      <text>
        <t xml:space="preserve">Please Type Facility Name in Caps
e.g. SAN LAZARO HOSPITAL</t>
      </text>
    </comment>
    <comment authorId="0" ref="K3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9">
      <text>
        <t xml:space="preserve">Please Type Facility Name in Caps
e.g. SAN LAZARO HOSPITAL</t>
      </text>
    </comment>
    <comment authorId="0" ref="G156">
      <text>
        <t xml:space="preserve">Please Type Facility Name in Caps
e.g. SAN LAZARO HOSPITAL</t>
      </text>
    </comment>
    <comment authorId="0" ref="K28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3">
      <text>
        <t xml:space="preserve">Please Type Facility Name in Caps
e.g. SAN LAZARO HOSPITAL</t>
      </text>
    </comment>
    <comment authorId="0" ref="K2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0">
      <text>
        <t xml:space="preserve">Please Type Facility Name in Caps
e.g. SAN LAZARO HOSPITAL</t>
      </text>
    </comment>
    <comment authorId="0" ref="K2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7">
      <text>
        <t xml:space="preserve">Please Type Facility Name in Caps
e.g. SAN LAZARO HOSPITAL</t>
      </text>
    </comment>
    <comment authorId="0" ref="K18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">
      <text>
        <t xml:space="preserve">Please Type Facility Name in Caps
e.g. SAN LAZARO HOSPITAL</t>
      </text>
    </comment>
    <comment authorId="0" ref="K1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5">
      <text>
        <t xml:space="preserve">Please Type Facility Name in Caps
e.g. SAN LAZARO HOSPITAL</t>
      </text>
    </comment>
    <comment authorId="0" ref="G289">
      <text>
        <t xml:space="preserve">Please Type Facility Name in Caps
e.g. SAN LAZARO HOSPITAL</t>
      </text>
    </comment>
    <comment authorId="0" ref="G256">
      <text>
        <t xml:space="preserve">Please Type Facility Name in Caps
e.g. SAN LAZARO HOSPITAL</t>
      </text>
    </comment>
    <comment authorId="0" ref="J3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3">
      <text>
        <t xml:space="preserve">Please Type Facility Name in Caps
e.g. SAN LAZARO HOSPITAL</t>
      </text>
    </comment>
    <comment authorId="0" ref="K3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0">
      <text>
        <t xml:space="preserve">Please Type Facility Name in Caps
e.g. SAN LAZARO HOSPITAL</t>
      </text>
    </comment>
    <comment authorId="0" ref="G157">
      <text>
        <t xml:space="preserve">Please Type Facility Name in Caps
e.g. SAN LAZARO HOSPITAL</t>
      </text>
    </comment>
    <comment authorId="0" ref="K28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4">
      <text>
        <t xml:space="preserve">Please Type Facility Name in Caps
e.g. SAN LAZARO HOSPITAL</t>
      </text>
    </comment>
    <comment authorId="0" ref="K2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1">
      <text>
        <t xml:space="preserve">Please Type Facility Name in Caps
e.g. SAN LAZARO HOSPITAL</t>
      </text>
    </comment>
    <comment authorId="0" ref="K22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8">
      <text>
        <t xml:space="preserve">Please Type Facility Name in Caps
e.g. SAN LAZARO HOSPITAL</t>
      </text>
    </comment>
    <comment authorId="0" ref="K19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5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6">
      <text>
        <t xml:space="preserve">Please Type Facility Name in Caps
e.g. SAN LAZARO HOSPITAL</t>
      </text>
    </comment>
    <comment authorId="0" ref="G290">
      <text>
        <t xml:space="preserve">Please Type Facility Name in Caps
e.g. SAN LAZARO HOSPITAL</t>
      </text>
    </comment>
    <comment authorId="0" ref="G257">
      <text>
        <t xml:space="preserve">Please Type Facility Name in Caps
e.g. SAN LAZARO HOSPITAL</t>
      </text>
    </comment>
    <comment authorId="0" ref="J3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4">
      <text>
        <t xml:space="preserve">Please Type Facility Name in Caps
e.g. SAN LAZARO HOSPITAL</t>
      </text>
    </comment>
    <comment authorId="0" ref="K3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1">
      <text>
        <t xml:space="preserve">Please Type Facility Name in Caps
e.g. SAN LAZARO HOSPITAL</t>
      </text>
    </comment>
    <comment authorId="0" ref="G158">
      <text>
        <t xml:space="preserve">Please Type Facility Name in Caps
e.g. SAN LAZARO HOSPITAL</t>
      </text>
    </comment>
    <comment authorId="0" ref="K29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5">
      <text>
        <t xml:space="preserve">Please Type Facility Name in Caps
e.g. SAN LAZARO HOSPITAL</t>
      </text>
    </comment>
    <comment authorId="0" ref="K25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2">
      <text>
        <t xml:space="preserve">Please Type Facility Name in Caps
e.g. SAN LAZARO HOSPITAL</t>
      </text>
    </comment>
    <comment authorId="0" ref="K22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9">
      <text>
        <t xml:space="preserve">Please Type Facility Name in Caps
e.g. SAN LAZARO HOSPITAL</t>
      </text>
    </comment>
    <comment authorId="0" ref="K19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P356">
      <text>
        <t xml:space="preserve">Please Type Facility Name in Caps
e.g. SAN LAZARO HOSPITAL</t>
      </text>
    </comment>
    <comment authorId="0" ref="G26">
      <text>
        <t xml:space="preserve">Please Type Facility Name in Caps
e.g. SAN LAZARO HOSPITAL</t>
      </text>
    </comment>
    <comment authorId="0" ref="K15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91">
      <text>
        <t xml:space="preserve">Please Type Facility Name in Caps
e.g. SAN LAZARO HOSPITAL</t>
      </text>
    </comment>
    <comment authorId="0" ref="G258">
      <text>
        <t xml:space="preserve">Please Type Facility Name in Caps
e.g. SAN LAZARO HOSPITAL</t>
      </text>
    </comment>
    <comment authorId="0" ref="G225">
      <text>
        <t xml:space="preserve">Please Type Facility Name in Caps
e.g. SAN LAZARO HOSPITAL</t>
      </text>
    </comment>
    <comment authorId="0" ref="G192">
      <text>
        <t xml:space="preserve">Please Type Facility Name in Caps
e.g. SAN LAZARO HOSPITAL</t>
      </text>
    </comment>
    <comment authorId="0" ref="G159">
      <text>
        <t xml:space="preserve">Please Type Facility Name in Caps
e.g. SAN LAZARO HOSPITAL</t>
      </text>
    </comment>
    <comment authorId="0" ref="K29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6">
      <text>
        <t xml:space="preserve">Please Type Facility Name in Caps
e.g. SAN LAZARO HOSPITAL</t>
      </text>
    </comment>
    <comment authorId="0" ref="K25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3">
      <text>
        <t xml:space="preserve">Please Type Facility Name in Caps
e.g. SAN LAZARO HOSPITAL</t>
      </text>
    </comment>
    <comment authorId="0" ref="K22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9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7">
      <text>
        <t xml:space="preserve">Please Type Facility Name in Caps
e.g. SAN LAZARO HOSPITAL</t>
      </text>
    </comment>
    <comment authorId="0" ref="K15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92">
      <text>
        <t xml:space="preserve">Please Type Facility Name in Caps
e.g. SAN LAZARO HOSPITAL</t>
      </text>
    </comment>
    <comment authorId="0" ref="G259">
      <text>
        <t xml:space="preserve">Please Type Facility Name in Caps
e.g. SAN LAZARO HOSPITAL</t>
      </text>
    </comment>
    <comment authorId="0" ref="G226">
      <text>
        <t xml:space="preserve">Please Type Facility Name in Caps
e.g. SAN LAZARO HOSPITAL</t>
      </text>
    </comment>
    <comment authorId="0" ref="G193">
      <text>
        <t xml:space="preserve">Please Type Facility Name in Caps
e.g. SAN LAZARO HOSPITAL</t>
      </text>
    </comment>
    <comment authorId="0" ref="G160">
      <text>
        <t xml:space="preserve">Please Type Facility Name in Caps
e.g. SAN LAZARO HOSPITAL</t>
      </text>
    </comment>
    <comment authorId="0" ref="K29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7">
      <text>
        <t xml:space="preserve">Please Type Facility Name in Caps
e.g. SAN LAZARO HOSPITAL</t>
      </text>
    </comment>
    <comment authorId="0" ref="K25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4">
      <text>
        <t xml:space="preserve">Please Type Facility Name in Caps
e.g. SAN LAZARO HOSPITAL</t>
      </text>
    </comment>
    <comment authorId="0" ref="K2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1">
      <text>
        <t xml:space="preserve">Please Type Facility Name in Caps
e.g. SAN LAZARO HOSPITAL</t>
      </text>
    </comment>
    <comment authorId="0" ref="K19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8">
      <text>
        <t xml:space="preserve">Please Type Facility Name in Caps
e.g. SAN LAZARO HOSPITAL</t>
      </text>
    </comment>
    <comment authorId="0" ref="K1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93">
      <text>
        <t xml:space="preserve">Please Type Facility Name in Caps
e.g. SAN LAZARO HOSPITAL</t>
      </text>
    </comment>
    <comment authorId="0" ref="G260">
      <text>
        <t xml:space="preserve">Please Type Facility Name in Caps
e.g. SAN LAZARO HOSPITAL</t>
      </text>
    </comment>
    <comment authorId="0" ref="G227">
      <text>
        <t xml:space="preserve">Please Type Facility Name in Caps
e.g. SAN LAZARO HOSPITAL</t>
      </text>
    </comment>
    <comment authorId="0" ref="G194">
      <text>
        <t xml:space="preserve">Please Type Facility Name in Caps
e.g. SAN LAZARO HOSPITAL</t>
      </text>
    </comment>
    <comment authorId="0" ref="G161">
      <text>
        <t xml:space="preserve">Please Type Facility Name in Caps
e.g. SAN LAZARO HOSPITAL</t>
      </text>
    </comment>
    <comment authorId="0" ref="K29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8">
      <text>
        <t xml:space="preserve">Please Type Facility Name in Caps
e.g. SAN LAZARO HOSPITAL</t>
      </text>
    </comment>
    <comment authorId="0" ref="K2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5">
      <text>
        <t xml:space="preserve">Please Type Facility Name in Caps
e.g. SAN LAZARO HOSPITAL</t>
      </text>
    </comment>
    <comment authorId="0" ref="K2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2">
      <text>
        <t xml:space="preserve">Please Type Facility Name in Caps
e.g. SAN LAZARO HOSPITAL</t>
      </text>
    </comment>
    <comment authorId="0" ref="K19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9">
      <text>
        <t xml:space="preserve">Please Type Facility Name in Caps
e.g. SAN LAZARO HOSPITAL</t>
      </text>
    </comment>
    <comment authorId="0" ref="K1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0">
      <text>
        <t xml:space="preserve">Please Type Facility Name in Caps
e.g. SAN LAZARO HOSPITAL</t>
      </text>
    </comment>
    <comment authorId="0" ref="G294">
      <text>
        <t xml:space="preserve">Please Type Facility Name in Caps
e.g. SAN LAZARO HOSPITAL</t>
      </text>
    </comment>
    <comment authorId="0" ref="G261">
      <text>
        <t xml:space="preserve">Please Type Facility Name in Caps
e.g. SAN LAZARO HOSPITAL</t>
      </text>
    </comment>
    <comment authorId="0" ref="J3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8">
      <text>
        <t xml:space="preserve">Please Type Facility Name in Caps
e.g. SAN LAZARO HOSPITAL</t>
      </text>
    </comment>
    <comment authorId="0" ref="K3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5">
      <text>
        <t xml:space="preserve">Please Type Facility Name in Caps
e.g. SAN LAZARO HOSPITAL</t>
      </text>
    </comment>
    <comment authorId="0" ref="G162">
      <text>
        <t xml:space="preserve">Please Type Facility Name in Caps
e.g. SAN LAZARO HOSPITAL</t>
      </text>
    </comment>
    <comment authorId="0" ref="K29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29">
      <text>
        <t xml:space="preserve">Please Type Facility Name in Caps
e.g. SAN LAZARO HOSPITAL</t>
      </text>
    </comment>
    <comment authorId="0" ref="K2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6">
      <text>
        <t xml:space="preserve">Please Type Facility Name in Caps
e.g. SAN LAZARO HOSPITAL</t>
      </text>
    </comment>
    <comment authorId="0" ref="K22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3">
      <text>
        <t xml:space="preserve">Please Type Facility Name in Caps
e.g. SAN LAZARO HOSPITAL</t>
      </text>
    </comment>
    <comment authorId="0" ref="K19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P360">
      <text>
        <t xml:space="preserve">Please Type Facility Name in Caps
e.g. SAN LAZARO HOSPITAL</t>
      </text>
    </comment>
    <comment authorId="0" ref="G30">
      <text>
        <t xml:space="preserve">Please Type Facility Name in Caps
e.g. SAN LAZARO HOSPITAL</t>
      </text>
    </comment>
    <comment authorId="0" ref="K1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1">
      <text>
        <t xml:space="preserve">Please Type Facility Name in Caps
e.g. SAN LAZARO HOSPITAL</t>
      </text>
    </comment>
    <comment authorId="0" ref="G295">
      <text>
        <t xml:space="preserve">Please Type Facility Name in Caps
e.g. SAN LAZARO HOSPITAL</t>
      </text>
    </comment>
    <comment authorId="0" ref="G262">
      <text>
        <t xml:space="preserve">Please Type Facility Name in Caps
e.g. SAN LAZARO HOSPITAL</t>
      </text>
    </comment>
    <comment authorId="0" ref="G229">
      <text>
        <t xml:space="preserve">Please Type Facility Name in Caps
e.g. SAN LAZARO HOSPITAL</t>
      </text>
    </comment>
    <comment authorId="0" ref="K3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6">
      <text>
        <t xml:space="preserve">Please Type Facility Name in Caps
e.g. SAN LAZARO HOSPITAL</t>
      </text>
    </comment>
    <comment authorId="0" ref="G163">
      <text>
        <t xml:space="preserve">Please Type Facility Name in Caps
e.g. SAN LAZARO HOSPITAL</t>
      </text>
    </comment>
    <comment authorId="0" ref="K29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0">
      <text>
        <t xml:space="preserve">Please Type Facility Name in Caps
e.g. SAN LAZARO HOSPITAL</t>
      </text>
    </comment>
    <comment authorId="0" ref="K2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7">
      <text>
        <t xml:space="preserve">Please Type Facility Name in Caps
e.g. SAN LAZARO HOSPITAL</t>
      </text>
    </comment>
    <comment authorId="0" ref="K22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4">
      <text>
        <t xml:space="preserve">Please Type Facility Name in Caps
e.g. SAN LAZARO HOSPITAL</t>
      </text>
    </comment>
    <comment authorId="0" ref="K19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1">
      <text>
        <t xml:space="preserve">Please Type Facility Name in Caps
e.g. SAN LAZARO HOSPITAL</t>
      </text>
    </comment>
    <comment authorId="0" ref="K1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2">
      <text>
        <t xml:space="preserve">Please Type Facility Name in Caps
e.g. SAN LAZARO HOSPITAL</t>
      </text>
    </comment>
    <comment authorId="0" ref="G296">
      <text>
        <t xml:space="preserve">Please Type Facility Name in Caps
e.g. SAN LAZARO HOSPITAL</t>
      </text>
    </comment>
    <comment authorId="0" ref="G263">
      <text>
        <t xml:space="preserve">Please Type Facility Name in Caps
e.g. SAN LAZARO HOSPITAL</t>
      </text>
    </comment>
    <comment authorId="0" ref="J3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0">
      <text>
        <t xml:space="preserve">Please Type Facility Name in Caps
e.g. SAN LAZARO HOSPITAL</t>
      </text>
    </comment>
    <comment authorId="0" ref="K3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7">
      <text>
        <t xml:space="preserve">Please Type Facility Name in Caps
e.g. SAN LAZARO HOSPITAL</t>
      </text>
    </comment>
    <comment authorId="0" ref="G164">
      <text>
        <t xml:space="preserve">Please Type Facility Name in Caps
e.g. SAN LAZARO HOSPITAL</t>
      </text>
    </comment>
    <comment authorId="0" ref="K29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1">
      <text>
        <t xml:space="preserve">Please Type Facility Name in Caps
e.g. SAN LAZARO HOSPITAL</t>
      </text>
    </comment>
    <comment authorId="0" ref="K2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8">
      <text>
        <t xml:space="preserve">Please Type Facility Name in Caps
e.g. SAN LAZARO HOSPITAL</t>
      </text>
    </comment>
    <comment authorId="0" ref="K23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5">
      <text>
        <t xml:space="preserve">Please Type Facility Name in Caps
e.g. SAN LAZARO HOSPITAL</t>
      </text>
    </comment>
    <comment authorId="0" ref="K19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2">
      <text>
        <t xml:space="preserve">Please Type Facility Name in Caps
e.g. SAN LAZARO HOSPITAL</t>
      </text>
    </comment>
    <comment authorId="0" ref="K16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3">
      <text>
        <t xml:space="preserve">Please Type Facility Name in Caps
e.g. SAN LAZARO HOSPITAL</t>
      </text>
    </comment>
    <comment authorId="0" ref="G297">
      <text>
        <t xml:space="preserve">Please Type Facility Name in Caps
e.g. SAN LAZARO HOSPITAL</t>
      </text>
    </comment>
    <comment authorId="0" ref="G264">
      <text>
        <t xml:space="preserve">Please Type Facility Name in Caps
e.g. SAN LAZARO HOSPITAL</t>
      </text>
    </comment>
    <comment authorId="0" ref="J3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1">
      <text>
        <t xml:space="preserve">Please Type Facility Name in Caps
e.g. SAN LAZARO HOSPITAL</t>
      </text>
    </comment>
    <comment authorId="0" ref="K3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8">
      <text>
        <t xml:space="preserve">Please Type Facility Name in Caps
e.g. SAN LAZARO HOSPITAL</t>
      </text>
    </comment>
    <comment authorId="0" ref="G165">
      <text>
        <t xml:space="preserve">Please Type Facility Name in Caps
e.g. SAN LAZARO HOSPITAL</t>
      </text>
    </comment>
    <comment authorId="0" ref="K29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2">
      <text>
        <t xml:space="preserve">Please Type Facility Name in Caps
e.g. SAN LAZARO HOSPITAL</t>
      </text>
    </comment>
    <comment authorId="0" ref="K26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99">
      <text>
        <t xml:space="preserve">Please Type Facility Name in Caps
e.g. SAN LAZARO HOSPITAL</t>
      </text>
    </comment>
    <comment authorId="0" ref="K23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6">
      <text>
        <t xml:space="preserve">Please Type Facility Name in Caps
e.g. SAN LAZARO HOSPITAL</t>
      </text>
    </comment>
    <comment authorId="0" ref="K19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">
      <text>
        <t xml:space="preserve">Please Type Facility Name in Caps
e.g. SAN LAZARO HOSPITAL</t>
      </text>
    </comment>
    <comment authorId="0" ref="K1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65">
      <text>
        <t xml:space="preserve">Please Type Facility Name in Caps
e.g. SAN LAZARO HOSPITAL</t>
      </text>
    </comment>
    <comment authorId="0" ref="G232">
      <text>
        <t xml:space="preserve">Please Type Facility Name in Caps
e.g. SAN LAZARO HOSPITAL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9">
      <text>
        <t xml:space="preserve">Please Type Facility Name in Caps
e.g. SAN LAZARO HOSPITAL</t>
      </text>
    </comment>
    <comment authorId="0" ref="G166">
      <text>
        <t xml:space="preserve">Please Type Facility Name in Caps
e.g. SAN LAZARO HOSPITAL</t>
      </text>
    </comment>
    <comment authorId="0" ref="G133">
      <text>
        <t xml:space="preserve">Please Type Facility Name in Caps
e.g. SAN LAZARO HOSPITAL</t>
      </text>
    </comment>
    <comment authorId="0" ref="G100">
      <text>
        <t xml:space="preserve">Please Type Facility Name in Caps
e.g. SAN LAZARO HOSPITAL</t>
      </text>
    </comment>
    <comment authorId="0" ref="G67">
      <text>
        <t xml:space="preserve">Please Type Facility Name in Caps
e.g. SAN LAZARO HOSPITAL</t>
      </text>
    </comment>
    <comment authorId="0" ref="K19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4">
      <text>
        <t xml:space="preserve">Please Type Facility Name in Caps
e.g. SAN LAZARO HOSPITAL</t>
      </text>
    </comment>
    <comment authorId="0" ref="K16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0">
      <text>
        <t xml:space="preserve">Please Type Facility Name in Caps
e.g. SAN LAZARO HOSPITAL</t>
      </text>
    </comment>
    <comment authorId="0" ref="G167">
      <text>
        <t xml:space="preserve">Please Type Facility Name in Caps
e.g. SAN LAZARO HOSPITAL</t>
      </text>
    </comment>
    <comment authorId="0" ref="G134">
      <text>
        <t xml:space="preserve">Please Type Facility Name in Caps
e.g. SAN LAZARO HOSPITAL</t>
      </text>
    </comment>
    <comment authorId="0" ref="G101">
      <text>
        <t xml:space="preserve">Please Type Facility Name in Caps
e.g. SAN LAZARO HOSPITAL</t>
      </text>
    </comment>
    <comment authorId="0" ref="K20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5">
      <text>
        <t xml:space="preserve">Please Type Facility Name in Caps
e.g. SAN LAZARO HOSPITAL</t>
      </text>
    </comment>
    <comment authorId="0" ref="K16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">
      <text>
        <t xml:space="preserve">Please Type Facility Name in Caps
e.g. SAN LAZARO HOSPITAL</t>
      </text>
    </comment>
    <comment authorId="0" ref="K13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1">
      <text>
        <t xml:space="preserve">Please Type Facility Name in Caps
e.g. SAN LAZARO HOSPITAL</t>
      </text>
    </comment>
    <comment authorId="0" ref="G168">
      <text>
        <t xml:space="preserve">Please Type Facility Name in Caps
e.g. SAN LAZARO HOSPITAL</t>
      </text>
    </comment>
    <comment authorId="0" ref="G135">
      <text>
        <t xml:space="preserve">Please Type Facility Name in Caps
e.g. SAN LAZARO HOSPITAL</t>
      </text>
    </comment>
    <comment authorId="0" ref="G102">
      <text>
        <t xml:space="preserve">Please Type Facility Name in Caps
e.g. SAN LAZARO HOSPITAL</t>
      </text>
    </comment>
    <comment authorId="0" ref="G69">
      <text>
        <t xml:space="preserve">Please Type Facility Name in Caps
e.g. SAN LAZARO HOSPITAL</t>
      </text>
    </comment>
    <comment authorId="0" ref="K20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6">
      <text>
        <t xml:space="preserve">Please Type Facility Name in Caps
e.g. SAN LAZARO HOSPITAL</t>
      </text>
    </comment>
    <comment authorId="0" ref="K16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">
      <text>
        <t xml:space="preserve">Please Type Facility Name in Caps
e.g. SAN LAZARO HOSPITAL</t>
      </text>
    </comment>
    <comment authorId="0" ref="K13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2">
      <text>
        <t xml:space="preserve">Please Type Facility Name in Caps
e.g. SAN LAZARO HOSPITAL</t>
      </text>
    </comment>
    <comment authorId="0" ref="G169">
      <text>
        <t xml:space="preserve">Please Type Facility Name in Caps
e.g. SAN LAZARO HOSPITAL</t>
      </text>
    </comment>
    <comment authorId="0" ref="G136">
      <text>
        <t xml:space="preserve">Please Type Facility Name in Caps
e.g. SAN LAZARO HOSPITAL</t>
      </text>
    </comment>
    <comment authorId="0" ref="G103">
      <text>
        <t xml:space="preserve">Please Type Facility Name in Caps
e.g. SAN LAZARO HOSPITAL</t>
      </text>
    </comment>
    <comment authorId="0" ref="K20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6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">
      <text>
        <t xml:space="preserve">Please Type Facility Name in Caps
e.g. SAN LAZARO HOSPITAL</t>
      </text>
    </comment>
    <comment authorId="0" ref="K13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3">
      <text>
        <t xml:space="preserve">Please Type Facility Name in Caps
e.g. SAN LAZARO HOSPITAL</t>
      </text>
    </comment>
    <comment authorId="0" ref="G170">
      <text>
        <t xml:space="preserve">Please Type Facility Name in Caps
e.g. SAN LAZARO HOSPITAL</t>
      </text>
    </comment>
    <comment authorId="0" ref="G137">
      <text>
        <t xml:space="preserve">Please Type Facility Name in Caps
e.g. SAN LAZARO HOSPITAL</t>
      </text>
    </comment>
    <comment authorId="0" ref="G104">
      <text>
        <t xml:space="preserve">Please Type Facility Name in Caps
e.g. SAN LAZARO HOSPITAL</t>
      </text>
    </comment>
    <comment authorId="0" ref="G71">
      <text>
        <t xml:space="preserve">Please Type Facility Name in Caps
e.g. SAN LAZARO HOSPITAL</t>
      </text>
    </comment>
    <comment authorId="0" ref="K20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">
      <text>
        <t xml:space="preserve">Please Type Facility Name in Caps
e.g. SAN LAZARO HOSPITAL</t>
      </text>
    </comment>
    <comment authorId="0" ref="K13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4">
      <text>
        <t xml:space="preserve">Please Type Facility Name in Caps
e.g. SAN LAZARO HOSPITAL</t>
      </text>
    </comment>
    <comment authorId="0" ref="G171">
      <text>
        <t xml:space="preserve">Please Type Facility Name in Caps
e.g. SAN LAZARO HOSPITAL</t>
      </text>
    </comment>
    <comment authorId="0" ref="G138">
      <text>
        <t xml:space="preserve">Please Type Facility Name in Caps
e.g. SAN LAZARO HOSPITAL</t>
      </text>
    </comment>
    <comment authorId="0" ref="G105">
      <text>
        <t xml:space="preserve">Please Type Facility Name in Caps
e.g. SAN LAZARO HOSPITAL</t>
      </text>
    </comment>
    <comment authorId="0" ref="G72">
      <text>
        <t xml:space="preserve">Please Type Facility Name in Caps
e.g. SAN LAZARO HOSPITAL</t>
      </text>
    </comment>
    <comment authorId="0" ref="K20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">
      <text>
        <t xml:space="preserve">Please Type Facility Name in Caps
e.g. SAN LAZARO HOSPITAL</t>
      </text>
    </comment>
    <comment authorId="0" ref="K13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5">
      <text>
        <t xml:space="preserve">Please Type Facility Name in Caps
e.g. SAN LAZARO HOSPITAL</t>
      </text>
    </comment>
    <comment authorId="0" ref="G172">
      <text>
        <t xml:space="preserve">Please Type Facility Name in Caps
e.g. SAN LAZARO HOSPITAL</t>
      </text>
    </comment>
    <comment authorId="0" ref="G139">
      <text>
        <t xml:space="preserve">Please Type Facility Name in Caps
e.g. SAN LAZARO HOSPITAL</t>
      </text>
    </comment>
    <comment authorId="0" ref="G106">
      <text>
        <t xml:space="preserve">Please Type Facility Name in Caps
e.g. SAN LAZARO HOSPITAL</t>
      </text>
    </comment>
    <comment authorId="0" ref="G73">
      <text>
        <t xml:space="preserve">Please Type Facility Name in Caps
e.g. SAN LAZARO HOSPITAL</t>
      </text>
    </comment>
    <comment authorId="0" ref="K20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">
      <text>
        <t xml:space="preserve">Please Type Facility Name in Caps
e.g. SAN LAZARO HOSPITAL</t>
      </text>
    </comment>
    <comment authorId="0" ref="K1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9">
      <text>
        <t xml:space="preserve">Please Type Facility Name in Caps
e.g. SAN LAZARO HOSPITAL</t>
      </text>
    </comment>
    <comment authorId="0" ref="G206">
      <text>
        <t xml:space="preserve">Please Type Facility Name in Caps
e.g. SAN LAZARO HOSPITAL</t>
      </text>
    </comment>
    <comment authorId="0" ref="G173">
      <text>
        <t xml:space="preserve">Please Type Facility Name in Caps
e.g. SAN LAZARO HOSPITAL</t>
      </text>
    </comment>
    <comment authorId="0" ref="G140">
      <text>
        <t xml:space="preserve">Please Type Facility Name in Caps
e.g. SAN LAZARO HOSPITAL</t>
      </text>
    </comment>
    <comment authorId="0" ref="G107">
      <text>
        <t xml:space="preserve">Please Type Facility Name in Caps
e.g. SAN LAZARO HOSPITAL</t>
      </text>
    </comment>
    <comment authorId="0" ref="K23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4">
      <text>
        <t xml:space="preserve">Please Type Facility Name in Caps
e.g. SAN LAZARO HOSPITAL</t>
      </text>
    </comment>
    <comment authorId="0" ref="K20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1">
      <text>
        <t xml:space="preserve">Please Type Facility Name in Caps
e.g. SAN LAZARO HOSPITAL</t>
      </text>
    </comment>
    <comment authorId="0" ref="K17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">
      <text>
        <t xml:space="preserve">Please Type Facility Name in Caps
e.g. SAN LAZARO HOSPITAL</t>
      </text>
    </comment>
    <comment authorId="0" ref="K1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0">
      <text>
        <t xml:space="preserve">Please Type Facility Name in Caps
e.g. SAN LAZARO HOSPITAL</t>
      </text>
    </comment>
    <comment authorId="0" ref="G207">
      <text>
        <t xml:space="preserve">Please Type Facility Name in Caps
e.g. SAN LAZARO HOSPITAL</t>
      </text>
    </comment>
    <comment authorId="0" ref="G174">
      <text>
        <t xml:space="preserve">Please Type Facility Name in Caps
e.g. SAN LAZARO HOSPITAL</t>
      </text>
    </comment>
    <comment authorId="0" ref="G141">
      <text>
        <t xml:space="preserve">Please Type Facility Name in Caps
e.g. SAN LAZARO HOSPITAL</t>
      </text>
    </comment>
    <comment authorId="0" ref="G108">
      <text>
        <t xml:space="preserve">Please Type Facility Name in Caps
e.g. SAN LAZARO HOSPITAL</t>
      </text>
    </comment>
    <comment authorId="0" ref="K24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5">
      <text>
        <t xml:space="preserve">Please Type Facility Name in Caps
e.g. SAN LAZARO HOSPITAL</t>
      </text>
    </comment>
    <comment authorId="0" ref="K20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2">
      <text>
        <t xml:space="preserve">Please Type Facility Name in Caps
e.g. SAN LAZARO HOSPITAL</t>
      </text>
    </comment>
    <comment authorId="0" ref="K17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1">
      <text>
        <t xml:space="preserve">Please Type Facility Name in Caps
e.g. SAN LAZARO HOSPITAL</t>
      </text>
    </comment>
    <comment authorId="0" ref="G208">
      <text>
        <t xml:space="preserve">Please Type Facility Name in Caps
e.g. SAN LAZARO HOSPITAL</t>
      </text>
    </comment>
    <comment authorId="0" ref="G175">
      <text>
        <t xml:space="preserve">Please Type Facility Name in Caps
e.g. SAN LAZARO HOSPITAL</t>
      </text>
    </comment>
    <comment authorId="0" ref="G142">
      <text>
        <t xml:space="preserve">Please Type Facility Name in Caps
e.g. SAN LAZARO HOSPITAL</t>
      </text>
    </comment>
    <comment authorId="0" ref="G109">
      <text>
        <t xml:space="preserve">Please Type Facility Name in Caps
e.g. SAN LAZARO HOSPITAL</t>
      </text>
    </comment>
    <comment authorId="0" ref="K24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6">
      <text>
        <t xml:space="preserve">Please Type Facility Name in Caps
e.g. SAN LAZARO HOSPITAL</t>
      </text>
    </comment>
    <comment authorId="0" ref="K20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0">
      <text>
        <t xml:space="preserve">Please Type Facility Name in Caps
e.g. SAN LAZARO HOSPITAL</t>
      </text>
    </comment>
    <comment authorId="0" ref="K1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2">
      <text>
        <t xml:space="preserve">Please Type Facility Name in Caps
e.g. SAN LAZARO HOSPITAL</t>
      </text>
    </comment>
    <comment authorId="0" ref="G209">
      <text>
        <t xml:space="preserve">Please Type Facility Name in Caps
e.g. SAN LAZARO HOSPITAL</t>
      </text>
    </comment>
    <comment authorId="0" ref="G176">
      <text>
        <t xml:space="preserve">Please Type Facility Name in Caps
e.g. SAN LAZARO HOSPITAL</t>
      </text>
    </comment>
    <comment authorId="0" ref="G143">
      <text>
        <t xml:space="preserve">Please Type Facility Name in Caps
e.g. SAN LAZARO HOSPITAL</t>
      </text>
    </comment>
    <comment authorId="0" ref="G110">
      <text>
        <t xml:space="preserve">Please Type Facility Name in Caps
e.g. SAN LAZARO HOSPITAL</t>
      </text>
    </comment>
    <comment authorId="0" ref="K24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7">
      <text>
        <t xml:space="preserve">Please Type Facility Name in Caps
e.g. SAN LAZARO HOSPITAL</t>
      </text>
    </comment>
    <comment authorId="0" ref="K20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1">
      <text>
        <t xml:space="preserve">Please Type Facility Name in Caps
e.g. SAN LAZARO HOSPITAL</t>
      </text>
    </comment>
    <comment authorId="0" ref="K1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3">
      <text>
        <t xml:space="preserve">Please Type Facility Name in Caps
e.g. SAN LAZARO HOSPITAL</t>
      </text>
    </comment>
    <comment authorId="0" ref="G210">
      <text>
        <t xml:space="preserve">Please Type Facility Name in Caps
e.g. SAN LAZARO HOSPITAL</t>
      </text>
    </comment>
    <comment authorId="0" ref="G144">
      <text>
        <t xml:space="preserve">Please Type Facility Name in Caps
e.g. SAN LAZARO HOSPITAL</t>
      </text>
    </comment>
    <comment authorId="0" ref="G111">
      <text>
        <t xml:space="preserve">Please Type Facility Name in Caps
e.g. SAN LAZARO HOSPITAL</t>
      </text>
    </comment>
    <comment authorId="0" ref="K24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78">
      <text>
        <t xml:space="preserve">Please Type Facility Name in Caps
e.g. SAN LAZARO HOSPITAL</t>
      </text>
    </comment>
    <comment authorId="0" ref="K21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5">
      <text>
        <t xml:space="preserve">Please Type Facility Name in Caps
e.g. SAN LAZARO HOSPITAL</t>
      </text>
    </comment>
    <comment authorId="0" ref="G12">
      <text>
        <t xml:space="preserve">Please Type Facility Name in Caps
e.g. SAN LAZARO HOSPITAL</t>
      </text>
    </comment>
    <comment authorId="0" ref="K14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J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1">
      <text>
        <t xml:space="preserve">Please Type Facility Name in Caps
e.g. SAN LAZARO HOSPITAL</t>
      </text>
    </comment>
    <comment authorId="0" ref="G178">
      <text>
        <t xml:space="preserve">Please Type Facility Name in Caps
e.g. SAN LAZARO HOSPITAL</t>
      </text>
    </comment>
    <comment authorId="0" ref="G145">
      <text>
        <t xml:space="preserve">Please Type Facility Name in Caps
e.g. SAN LAZARO HOSPITAL</t>
      </text>
    </comment>
    <comment authorId="0" ref="G112">
      <text>
        <t xml:space="preserve">Please Type Facility Name in Caps
e.g. SAN LAZARO HOSPITAL</t>
      </text>
    </comment>
    <comment authorId="0" ref="G79">
      <text>
        <t xml:space="preserve">Please Type Facility Name in Caps
e.g. SAN LAZARO HOSPITAL</t>
      </text>
    </comment>
    <comment authorId="0" ref="K21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6">
      <text>
        <t xml:space="preserve">Please Type Facility Name in Caps
e.g. SAN LAZARO HOSPITAL</t>
      </text>
    </comment>
    <comment authorId="0" ref="K17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3">
      <text>
        <t xml:space="preserve">Please Type Facility Name in Caps
e.g. SAN LAZARO HOSPITAL</t>
      </text>
    </comment>
    <comment authorId="0" ref="K1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7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5">
      <text>
        <t xml:space="preserve">Please Type Facility Name in Caps
e.g. SAN LAZARO HOSPITAL</t>
      </text>
    </comment>
    <comment authorId="0" ref="G212">
      <text>
        <t xml:space="preserve">Please Type Facility Name in Caps
e.g. SAN LAZARO HOSPITAL</t>
      </text>
    </comment>
    <comment authorId="0" ref="G179">
      <text>
        <t xml:space="preserve">Please Type Facility Name in Caps
e.g. SAN LAZARO HOSPITAL</t>
      </text>
    </comment>
    <comment authorId="0" ref="G146">
      <text>
        <t xml:space="preserve">Please Type Facility Name in Caps
e.g. SAN LAZARO HOSPITAL</t>
      </text>
    </comment>
    <comment authorId="0" ref="G113">
      <text>
        <t xml:space="preserve">Please Type Facility Name in Caps
e.g. SAN LAZARO HOSPITAL</t>
      </text>
    </comment>
    <comment authorId="0" ref="K24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0">
      <text>
        <t xml:space="preserve">Please Type Facility Name in Caps
e.g. SAN LAZARO HOSPITAL</t>
      </text>
    </comment>
    <comment authorId="0" ref="K21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7">
      <text>
        <t xml:space="preserve">Please Type Facility Name in Caps
e.g. SAN LAZARO HOSPITAL</t>
      </text>
    </comment>
    <comment authorId="0" ref="K17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4">
      <text>
        <t xml:space="preserve">Please Type Facility Name in Caps
e.g. SAN LAZARO HOSPITAL</t>
      </text>
    </comment>
    <comment authorId="0" ref="K1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J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6">
      <text>
        <t xml:space="preserve">Please Type Facility Name in Caps
e.g. SAN LAZARO HOSPITAL</t>
      </text>
    </comment>
    <comment authorId="0" ref="G213">
      <text>
        <t xml:space="preserve">Please Type Facility Name in Caps
e.g. SAN LAZARO HOSPITAL</t>
      </text>
    </comment>
    <comment authorId="0" ref="G180">
      <text>
        <t xml:space="preserve">Please Type Facility Name in Caps
e.g. SAN LAZARO HOSPITAL</t>
      </text>
    </comment>
    <comment authorId="0" ref="G147">
      <text>
        <t xml:space="preserve">Please Type Facility Name in Caps
e.g. SAN LAZARO HOSPITAL</t>
      </text>
    </comment>
    <comment authorId="0" ref="G114">
      <text>
        <t xml:space="preserve">Please Type Facility Name in Caps
e.g. SAN LAZARO HOSPITAL</t>
      </text>
    </comment>
    <comment authorId="0" ref="K24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1">
      <text>
        <t xml:space="preserve">Please Type Facility Name in Caps
e.g. SAN LAZARO HOSPITAL</t>
      </text>
    </comment>
    <comment authorId="0" ref="K21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48">
      <text>
        <t xml:space="preserve">Please Type Facility Name in Caps
e.g. SAN LAZARO HOSPITAL</t>
      </text>
    </comment>
    <comment authorId="0" ref="K18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5">
      <text>
        <t xml:space="preserve">Please Type Facility Name in Caps
e.g. SAN LAZARO HOSPITAL</t>
      </text>
    </comment>
    <comment authorId="0" ref="K14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1">
      <text>
        <t xml:space="preserve">Please Type Facility Name in Caps
e.g. SAN LAZARO HOSPITAL</t>
      </text>
    </comment>
    <comment authorId="0" ref="G148">
      <text>
        <t xml:space="preserve">Please Type Facility Name in Caps
e.g. SAN LAZARO HOSPITAL</t>
      </text>
    </comment>
    <comment authorId="0" ref="G115">
      <text>
        <t xml:space="preserve">Please Type Facility Name in Caps
e.g. SAN LAZARO HOSPITAL</t>
      </text>
    </comment>
    <comment authorId="0" ref="G82">
      <text>
        <t xml:space="preserve">Please Type Facility Name in Caps
e.g. SAN LAZARO HOSPITAL</t>
      </text>
    </comment>
    <comment authorId="0" ref="G49">
      <text>
        <t xml:space="preserve">Please Type Facility Name in Caps
e.g. SAN LAZARO HOSPITAL</t>
      </text>
    </comment>
    <comment authorId="0" ref="K18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6">
      <text>
        <t xml:space="preserve">Please Type Facility Name in Caps
e.g. SAN LAZARO HOSPITAL</t>
      </text>
    </comment>
    <comment authorId="0" ref="K14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Q115">
      <text>
        <t xml:space="preserve">Please Type Facility Name in Caps
e.g. SAN LAZARO HOSPITAL</t>
      </text>
    </comment>
    <comment authorId="0" ref="G215">
      <text>
        <t xml:space="preserve">Please Type Facility Name in Caps
e.g. SAN LAZARO HOSPITAL</t>
      </text>
    </comment>
    <comment authorId="0" ref="G182">
      <text>
        <t xml:space="preserve">Please Type Facility Name in Caps
e.g. SAN LAZARO HOSPITAL</t>
      </text>
    </comment>
    <comment authorId="0" ref="G149">
      <text>
        <t xml:space="preserve">Please Type Facility Name in Caps
e.g. SAN LAZARO HOSPITAL</t>
      </text>
    </comment>
    <comment authorId="0" ref="G116">
      <text>
        <t xml:space="preserve">Please Type Facility Name in Caps
e.g. SAN LAZARO HOSPITAL</t>
      </text>
    </comment>
    <comment authorId="0" ref="G83">
      <text>
        <t xml:space="preserve">Please Type Facility Name in Caps
e.g. SAN LAZARO HOSPITAL</t>
      </text>
    </comment>
    <comment authorId="0" ref="K21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7">
      <text>
        <t xml:space="preserve">Please Type Facility Name in Caps
e.g. SAN LAZARO HOSPITAL</t>
      </text>
    </comment>
    <comment authorId="0" ref="K1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49">
      <text>
        <t xml:space="preserve">Please Type Facility Name in Caps
e.g. SAN LAZARO HOSPITAL</t>
      </text>
    </comment>
    <comment authorId="0" ref="G183">
      <text>
        <t xml:space="preserve">Please Type Facility Name in Caps
e.g. SAN LAZARO HOSPITAL</t>
      </text>
    </comment>
    <comment authorId="0" ref="G150">
      <text>
        <t xml:space="preserve">Please Type Facility Name in Caps
e.g. SAN LAZARO HOSPITAL</t>
      </text>
    </comment>
    <comment authorId="0" ref="G117">
      <text>
        <t xml:space="preserve">Please Type Facility Name in Caps
e.g. SAN LAZARO HOSPITAL</t>
      </text>
    </comment>
    <comment authorId="0" ref="K24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4">
      <text>
        <t xml:space="preserve">Please Type Facility Name in Caps
e.g. SAN LAZARO HOSPITAL</t>
      </text>
    </comment>
    <comment authorId="0" ref="K18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8">
      <text>
        <t xml:space="preserve">Please Type Facility Name in Caps
e.g. SAN LAZARO HOSPITAL</t>
      </text>
    </comment>
    <comment authorId="0" ref="K15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7">
      <text>
        <t xml:space="preserve">Please Type Facility Name in Caps
e.g. SAN LAZARO HOSPITAL</t>
      </text>
    </comment>
    <comment authorId="0" ref="G184">
      <text>
        <t xml:space="preserve">Please Type Facility Name in Caps
e.g. SAN LAZARO HOSPITAL</t>
      </text>
    </comment>
    <comment authorId="0" ref="G151">
      <text>
        <t xml:space="preserve">Please Type Facility Name in Caps
e.g. SAN LAZARO HOSPITAL</t>
      </text>
    </comment>
    <comment authorId="0" ref="G118">
      <text>
        <t xml:space="preserve">Please Type Facility Name in Caps
e.g. SAN LAZARO HOSPITAL</t>
      </text>
    </comment>
    <comment authorId="0" ref="K25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5">
      <text>
        <t xml:space="preserve">Please Type Facility Name in Caps
e.g. SAN LAZARO HOSPITAL</t>
      </text>
    </comment>
    <comment authorId="0" ref="K21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51">
      <text>
        <t xml:space="preserve">Please Type Facility Name in Caps
e.g. SAN LAZARO HOSPITAL</t>
      </text>
    </comment>
    <comment authorId="0" ref="G218">
      <text>
        <t xml:space="preserve">Please Type Facility Name in Caps
e.g. SAN LAZARO HOSPITAL</t>
      </text>
    </comment>
    <comment authorId="0" ref="G152">
      <text>
        <t xml:space="preserve">Please Type Facility Name in Caps
e.g. SAN LAZARO HOSPITAL</t>
      </text>
    </comment>
    <comment authorId="0" ref="G119">
      <text>
        <t xml:space="preserve">Please Type Facility Name in Caps
e.g. SAN LAZARO HOSPITAL</t>
      </text>
    </comment>
    <comment authorId="0" ref="K25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86">
      <text>
        <t xml:space="preserve">Please Type Facility Name in Caps
e.g. SAN LAZARO HOSPITAL</t>
      </text>
    </comment>
    <comment authorId="0" ref="K21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0">
      <text>
        <t xml:space="preserve">Please Type Facility Name in Caps
e.g. SAN LAZARO HOSPITAL</t>
      </text>
    </comment>
    <comment authorId="0" ref="K15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1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9">
      <text>
        <t xml:space="preserve">Please Type Facility Name in Caps
e.g. SAN LAZARO HOSPITAL</t>
      </text>
    </comment>
    <comment authorId="0" ref="G186">
      <text>
        <t xml:space="preserve">Please Type Facility Name in Caps
e.g. SAN LAZARO HOSPITAL</t>
      </text>
    </comment>
    <comment authorId="0" ref="G153">
      <text>
        <t xml:space="preserve">Please Type Facility Name in Caps
e.g. SAN LAZARO HOSPITAL</t>
      </text>
    </comment>
    <comment authorId="0" ref="G120">
      <text>
        <t xml:space="preserve">Please Type Facility Name in Caps
e.g. SAN LAZARO HOSPITAL</t>
      </text>
    </comment>
    <comment authorId="0" ref="G87">
      <text>
        <t xml:space="preserve">Please Type Facility Name in Caps
e.g. SAN LAZARO HOSPITAL</t>
      </text>
    </comment>
    <comment authorId="0" ref="K21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1">
      <text>
        <t xml:space="preserve">Please Type Facility Name in Caps
e.g. SAN LAZARO HOSPITAL</t>
      </text>
    </comment>
    <comment authorId="0" ref="K15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0">
      <text>
        <t xml:space="preserve">Please Type Facility Name in Caps
e.g. SAN LAZARO HOSPITAL</t>
      </text>
    </comment>
    <comment authorId="0" ref="G187">
      <text>
        <t xml:space="preserve">Please Type Facility Name in Caps
e.g. SAN LAZARO HOSPITAL</t>
      </text>
    </comment>
    <comment authorId="0" ref="G154">
      <text>
        <t xml:space="preserve">Please Type Facility Name in Caps
e.g. SAN LAZARO HOSPITAL</t>
      </text>
    </comment>
    <comment authorId="0" ref="G121">
      <text>
        <t xml:space="preserve">Please Type Facility Name in Caps
e.g. SAN LAZARO HOSPITAL</t>
      </text>
    </comment>
    <comment authorId="0" ref="G88">
      <text>
        <t xml:space="preserve">Please Type Facility Name in Caps
e.g. SAN LAZARO HOSPITAL</t>
      </text>
    </comment>
    <comment authorId="0" ref="K22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">
      <text>
        <t xml:space="preserve">Please Type Facility Name in Caps
e.g. SAN LAZARO HOSPITAL</t>
      </text>
    </comment>
    <comment authorId="0" ref="K15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1">
      <text>
        <t xml:space="preserve">Please Type Facility Name in Caps
e.g. SAN LAZARO HOSPITAL</t>
      </text>
    </comment>
    <comment authorId="0" ref="G188">
      <text>
        <t xml:space="preserve">Please Type Facility Name in Caps
e.g. SAN LAZARO HOSPITAL</t>
      </text>
    </comment>
    <comment authorId="0" ref="G155">
      <text>
        <t xml:space="preserve">Please Type Facility Name in Caps
e.g. SAN LAZARO HOSPITAL</t>
      </text>
    </comment>
    <comment authorId="0" ref="G122">
      <text>
        <t xml:space="preserve">Please Type Facility Name in Caps
e.g. SAN LAZARO HOSPITAL</t>
      </text>
    </comment>
    <comment authorId="0" ref="G89">
      <text>
        <t xml:space="preserve">Please Type Facility Name in Caps
e.g. SAN LAZARO HOSPITAL</t>
      </text>
    </comment>
    <comment authorId="0" ref="K22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8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3">
      <text>
        <t xml:space="preserve">Please Type Facility Name in Caps
e.g. SAN LAZARO HOSPITAL</t>
      </text>
    </comment>
    <comment authorId="0" ref="K15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8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2">
      <text>
        <t xml:space="preserve">Please Type Facility Name in Caps
e.g. SAN LAZARO HOSPITAL</t>
      </text>
    </comment>
    <comment authorId="0" ref="G156">
      <text>
        <t xml:space="preserve">Please Type Facility Name in Caps
e.g. SAN LAZARO HOSPITAL</t>
      </text>
    </comment>
    <comment authorId="0" ref="G123">
      <text>
        <t xml:space="preserve">Please Type Facility Name in Caps
e.g. SAN LAZARO HOSPITAL</t>
      </text>
    </comment>
    <comment authorId="0" ref="G90">
      <text>
        <t xml:space="preserve">Please Type Facility Name in Caps
e.g. SAN LAZARO HOSPITAL</t>
      </text>
    </comment>
    <comment authorId="0" ref="K22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5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Q90">
      <text>
        <t xml:space="preserve">Please Type Facility Name in Caps
e.g. SAN LAZARO HOSPITAL</t>
      </text>
    </comment>
    <comment authorId="0" ref="G190">
      <text>
        <t xml:space="preserve">Please Type Facility Name in Caps
e.g. SAN LAZARO HOSPITAL</t>
      </text>
    </comment>
    <comment authorId="0" ref="G157">
      <text>
        <t xml:space="preserve">Please Type Facility Name in Caps
e.g. SAN LAZARO HOSPITAL</t>
      </text>
    </comment>
    <comment authorId="0" ref="G124">
      <text>
        <t xml:space="preserve">Please Type Facility Name in Caps
e.g. SAN LAZARO HOSPITAL</t>
      </text>
    </comment>
    <comment authorId="0" ref="G91">
      <text>
        <t xml:space="preserve">Please Type Facility Name in Caps
e.g. SAN LAZARO HOSPITAL</t>
      </text>
    </comment>
    <comment authorId="0" ref="K19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5">
      <text>
        <t xml:space="preserve">Please Type Facility Name in Caps
e.g. SAN LAZARO HOSPITAL</t>
      </text>
    </comment>
    <comment authorId="0" ref="K15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4">
      <text>
        <t xml:space="preserve">Please Type Facility Name in Caps
e.g. SAN LAZARO HOSPITAL</t>
      </text>
    </comment>
    <comment authorId="0" ref="G191">
      <text>
        <t xml:space="preserve">Please Type Facility Name in Caps
e.g. SAN LAZARO HOSPITAL</t>
      </text>
    </comment>
    <comment authorId="0" ref="G158">
      <text>
        <t xml:space="preserve">Please Type Facility Name in Caps
e.g. SAN LAZARO HOSPITAL</t>
      </text>
    </comment>
    <comment authorId="0" ref="G125">
      <text>
        <t xml:space="preserve">Please Type Facility Name in Caps
e.g. SAN LAZARO HOSPITAL</t>
      </text>
    </comment>
    <comment authorId="0" ref="G92">
      <text>
        <t xml:space="preserve">Please Type Facility Name in Caps
e.g. SAN LAZARO HOSPITAL</t>
      </text>
    </comment>
    <comment authorId="0" ref="K22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59">
      <text>
        <t xml:space="preserve">Please Type Facility Name in Caps
e.g. SAN LAZARO HOSPITAL</t>
      </text>
    </comment>
    <comment authorId="0" ref="K19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6">
      <text>
        <t xml:space="preserve">Please Type Facility Name in Caps
e.g. SAN LAZARO HOSPITAL</t>
      </text>
    </comment>
    <comment authorId="0" ref="K15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5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2">
      <text>
        <t xml:space="preserve">Please Type Facility Name in Caps
e.g. SAN LAZARO HOSPITAL</t>
      </text>
    </comment>
    <comment authorId="0" ref="G126">
      <text>
        <t xml:space="preserve">Please Type Facility Name in Caps
e.g. SAN LAZARO HOSPITAL</t>
      </text>
    </comment>
    <comment authorId="0" ref="G93">
      <text>
        <t xml:space="preserve">Please Type Facility Name in Caps
e.g. SAN LAZARO HOSPITAL</t>
      </text>
    </comment>
    <comment authorId="0" ref="G60">
      <text>
        <t xml:space="preserve">Please Type Facility Name in Caps
e.g. SAN LAZARO HOSPITAL</t>
      </text>
    </comment>
    <comment authorId="0" ref="K19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7">
      <text>
        <t xml:space="preserve">Please Type Facility Name in Caps
e.g. SAN LAZARO HOSPITAL</t>
      </text>
    </comment>
    <comment authorId="0" ref="K1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6">
      <text>
        <t xml:space="preserve">Please Type Facility Name in Caps
e.g. SAN LAZARO HOSPITAL</t>
      </text>
    </comment>
    <comment authorId="0" ref="G193">
      <text>
        <t xml:space="preserve">Please Type Facility Name in Caps
e.g. SAN LAZARO HOSPITAL</t>
      </text>
    </comment>
    <comment authorId="0" ref="G160">
      <text>
        <t xml:space="preserve">Please Type Facility Name in Caps
e.g. SAN LAZARO HOSPITAL</t>
      </text>
    </comment>
    <comment authorId="0" ref="G127">
      <text>
        <t xml:space="preserve">Please Type Facility Name in Caps
e.g. SAN LAZARO HOSPITAL</t>
      </text>
    </comment>
    <comment authorId="0" ref="G94">
      <text>
        <t xml:space="preserve">Please Type Facility Name in Caps
e.g. SAN LAZARO HOSPITAL</t>
      </text>
    </comment>
    <comment authorId="0" ref="K22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1">
      <text>
        <t xml:space="preserve">Please Type Facility Name in Caps
e.g. SAN LAZARO HOSPITAL</t>
      </text>
    </comment>
    <comment authorId="0" ref="K19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8">
      <text>
        <t xml:space="preserve">Please Type Facility Name in Caps
e.g. SAN LAZARO HOSPITAL</t>
      </text>
    </comment>
    <comment authorId="0" ref="K16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27">
      <text>
        <t xml:space="preserve">Please Type Facility Name in Caps
e.g. SAN LAZARO HOSPITAL</t>
      </text>
    </comment>
    <comment authorId="0" ref="G194">
      <text>
        <t xml:space="preserve">Please Type Facility Name in Caps
e.g. SAN LAZARO HOSPITAL</t>
      </text>
    </comment>
    <comment authorId="0" ref="G161">
      <text>
        <t xml:space="preserve">Please Type Facility Name in Caps
e.g. SAN LAZARO HOSPITAL</t>
      </text>
    </comment>
    <comment authorId="0" ref="G128">
      <text>
        <t xml:space="preserve">Please Type Facility Name in Caps
e.g. SAN LAZARO HOSPITAL</t>
      </text>
    </comment>
    <comment authorId="0" ref="G95">
      <text>
        <t xml:space="preserve">Please Type Facility Name in Caps
e.g. SAN LAZARO HOSPITAL</t>
      </text>
    </comment>
    <comment authorId="0" ref="K22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62">
      <text>
        <t xml:space="preserve">Please Type Facility Name in Caps
e.g. SAN LAZARO HOSPITAL</t>
      </text>
    </comment>
    <comment authorId="0" ref="K19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29">
      <text>
        <t xml:space="preserve">Please Type Facility Name in Caps
e.g. SAN LAZARO HOSPITAL</t>
      </text>
    </comment>
    <comment authorId="0" ref="K16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2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5">
      <text>
        <t xml:space="preserve">Please Type Facility Name in Caps
e.g. SAN LAZARO HOSPITAL</t>
      </text>
    </comment>
    <comment authorId="0" ref="G162">
      <text>
        <t xml:space="preserve">Please Type Facility Name in Caps
e.g. SAN LAZARO HOSPITAL</t>
      </text>
    </comment>
    <comment authorId="0" ref="G129">
      <text>
        <t xml:space="preserve">Please Type Facility Name in Caps
e.g. SAN LAZARO HOSPITAL</t>
      </text>
    </comment>
    <comment authorId="0" ref="G96">
      <text>
        <t xml:space="preserve">Please Type Facility Name in Caps
e.g. SAN LAZARO HOSPITAL</t>
      </text>
    </comment>
    <comment authorId="0" ref="G63">
      <text>
        <t xml:space="preserve">Please Type Facility Name in Caps
e.g. SAN LAZARO HOSPITAL</t>
      </text>
    </comment>
    <comment authorId="0" ref="K19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0">
      <text>
        <t xml:space="preserve">Please Type Facility Name in Caps
e.g. SAN LAZARO HOSPITAL</t>
      </text>
    </comment>
    <comment authorId="0" ref="K16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2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6">
      <text>
        <t xml:space="preserve">Please Type Facility Name in Caps
e.g. SAN LAZARO HOSPITAL</t>
      </text>
    </comment>
    <comment authorId="0" ref="G163">
      <text>
        <t xml:space="preserve">Please Type Facility Name in Caps
e.g. SAN LAZARO HOSPITAL</t>
      </text>
    </comment>
    <comment authorId="0" ref="G130">
      <text>
        <t xml:space="preserve">Please Type Facility Name in Caps
e.g. SAN LAZARO HOSPITAL</t>
      </text>
    </comment>
    <comment authorId="0" ref="G97">
      <text>
        <t xml:space="preserve">Please Type Facility Name in Caps
e.g. SAN LAZARO HOSPITAL</t>
      </text>
    </comment>
    <comment authorId="0" ref="G64">
      <text>
        <t xml:space="preserve">Please Type Facility Name in Caps
e.g. SAN LAZARO HOSPITAL</t>
      </text>
    </comment>
    <comment authorId="0" ref="K19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1">
      <text>
        <t xml:space="preserve">Please Type Facility Name in Caps
e.g. SAN LAZARO HOSPITAL</t>
      </text>
    </comment>
    <comment authorId="0" ref="K16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0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7">
      <text>
        <t xml:space="preserve">Please Type Facility Name in Caps
e.g. SAN LAZARO HOSPITAL</t>
      </text>
    </comment>
    <comment authorId="0" ref="G164">
      <text>
        <t xml:space="preserve">Please Type Facility Name in Caps
e.g. SAN LAZARO HOSPITAL</t>
      </text>
    </comment>
    <comment authorId="0" ref="G131">
      <text>
        <t xml:space="preserve">Please Type Facility Name in Caps
e.g. SAN LAZARO HOSPITAL</t>
      </text>
    </comment>
    <comment authorId="0" ref="G98">
      <text>
        <t xml:space="preserve">Please Type Facility Name in Caps
e.g. SAN LAZARO HOSPITAL</t>
      </text>
    </comment>
    <comment authorId="0" ref="G65">
      <text>
        <t xml:space="preserve">Please Type Facility Name in Caps
e.g. SAN LAZARO HOSPITAL</t>
      </text>
    </comment>
    <comment authorId="0" ref="K197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2">
      <text>
        <t xml:space="preserve">Please Type Facility Name in Caps
e.g. SAN LAZARO HOSPITAL</t>
      </text>
    </comment>
    <comment authorId="0" ref="K164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1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198">
      <text>
        <t xml:space="preserve">Please Type Facility Name in Caps
e.g. SAN LAZARO HOSPITAL</t>
      </text>
    </comment>
    <comment authorId="0" ref="G165">
      <text>
        <t xml:space="preserve">Please Type Facility Name in Caps
e.g. SAN LAZARO HOSPITAL</t>
      </text>
    </comment>
    <comment authorId="0" ref="G132">
      <text>
        <t xml:space="preserve">Please Type Facility Name in Caps
e.g. SAN LAZARO HOSPITAL</t>
      </text>
    </comment>
    <comment authorId="0" ref="G99">
      <text>
        <t xml:space="preserve">Please Type Facility Name in Caps
e.g. SAN LAZARO HOSPITAL</t>
      </text>
    </comment>
    <comment authorId="0" ref="G66">
      <text>
        <t xml:space="preserve">Please Type Facility Name in Caps
e.g. SAN LAZARO HOSPITAL</t>
      </text>
    </comment>
    <comment authorId="0" ref="K198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G33">
      <text>
        <t xml:space="preserve">Please Type Facility Name in Caps
e.g. SAN LAZARO HOSPITAL</t>
      </text>
    </comment>
    <comment authorId="0" ref="K165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132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99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66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  <comment authorId="0" ref="K33">
      <text>
        <t xml:space="preserve">Please list down  add-ons services as applicable in your institution separated by comma.
(e.g. Blood Bank,  Pharmacy)   
List of Add-ons Services
G6PD Confirmatory
rHIVda Confirmatory Laboratory
Dialysis Clinic
Diagnostic X-ray Services
HIV Testing Laboratory
Physical Medicine and Rehabilitation Unit
Blood Bank
Specialized Diagnostic X-ray Services
Tertiary Laboratory w/ histopathology
Anatomic Pathology
Dental X-ray Services
Ambulatory Surgical Clinic
Blood Collection Unit
Cancer Treatment Facility
Laboratory for Drinking Water Analysis
Radiation Therapy Service
Radiation Oncology Services
Pharmacy
Mobile Clinical Laboratory
Psychiatric Care
Molecular Lab</t>
      </text>
    </comment>
  </commentList>
</comments>
</file>

<file path=xl/sharedStrings.xml><?xml version="1.0" encoding="utf-8"?>
<sst xmlns="http://schemas.openxmlformats.org/spreadsheetml/2006/main" count="11069" uniqueCount="5790">
  <si>
    <t>REGION</t>
  </si>
  <si>
    <t>CHD</t>
  </si>
  <si>
    <t xml:space="preserve">No. of Regulated Infirmaries Per Region and by Level  (as of June 30, 2023) </t>
  </si>
  <si>
    <t>GOVERNMENT</t>
  </si>
  <si>
    <t>PRIVATE</t>
  </si>
  <si>
    <t>TOTAL NO. OF FACILITIES</t>
  </si>
  <si>
    <t>TOTAL NO. OF ABC</t>
  </si>
  <si>
    <t>GOVENMENT AND PRIVATE INFIRMARIES</t>
  </si>
  <si>
    <t>No. of Facilities</t>
  </si>
  <si>
    <t>ABC</t>
  </si>
  <si>
    <t>Total No. of Facilities</t>
  </si>
  <si>
    <t>Total ABC</t>
  </si>
  <si>
    <t>NCR</t>
  </si>
  <si>
    <t>METRO MANILA</t>
  </si>
  <si>
    <t>REGION 1</t>
  </si>
  <si>
    <t>ILOCOS REGION</t>
  </si>
  <si>
    <t>REGION 2</t>
  </si>
  <si>
    <t>CAGAYAN VALLEY REGION</t>
  </si>
  <si>
    <t>REGION 3</t>
  </si>
  <si>
    <t>CENTRAL LUZON</t>
  </si>
  <si>
    <t>REGION 4-A</t>
  </si>
  <si>
    <t>CALABARZON</t>
  </si>
  <si>
    <t>REGION 4-B</t>
  </si>
  <si>
    <t>MIMAROPA</t>
  </si>
  <si>
    <t>REGION 5</t>
  </si>
  <si>
    <t>BICOL REGION</t>
  </si>
  <si>
    <t>REGION 6</t>
  </si>
  <si>
    <t>WESTERN VISAYAS REGION</t>
  </si>
  <si>
    <t>REGION 7</t>
  </si>
  <si>
    <t>CENTRAL VISAYAS REGION</t>
  </si>
  <si>
    <t>REGION 8</t>
  </si>
  <si>
    <t>EASTERN VISAYAS REGION</t>
  </si>
  <si>
    <t>REGION 9</t>
  </si>
  <si>
    <t>ZAMBOANGA PENINSULA</t>
  </si>
  <si>
    <t>REGION 10</t>
  </si>
  <si>
    <t>NORTHERN MINDANAO REGION</t>
  </si>
  <si>
    <t>REGION 11</t>
  </si>
  <si>
    <t>DAVAO REGION</t>
  </si>
  <si>
    <t>REGION 12</t>
  </si>
  <si>
    <t>SOCCSKSARGEN</t>
  </si>
  <si>
    <t>REGION 13</t>
  </si>
  <si>
    <t>CARAGA</t>
  </si>
  <si>
    <t>CORDILLERA</t>
  </si>
  <si>
    <t>CAR</t>
  </si>
  <si>
    <t>BARMM</t>
  </si>
  <si>
    <t>MOH - BARMM</t>
  </si>
  <si>
    <t>Total No. of Infirmaries:</t>
  </si>
  <si>
    <t>#</t>
  </si>
  <si>
    <t>PROVINCE</t>
  </si>
  <si>
    <t>CITY/MUNICIPALITY</t>
  </si>
  <si>
    <t>BLDG OR HOUSE NO., STREET, BRGY (as applicable)</t>
  </si>
  <si>
    <t>NAME OF FACILITY</t>
  </si>
  <si>
    <t>OWNERSHIP</t>
  </si>
  <si>
    <t>OWNERSHIP CLASSIFICATION (For Government Only)</t>
  </si>
  <si>
    <t>ADD-ONS SERVICES</t>
  </si>
  <si>
    <r>
      <rPr>
        <rFont val="Arial Narrow"/>
        <b/>
        <color rgb="FFFFFFFF"/>
        <sz val="11.0"/>
      </rPr>
      <t>CLINICAL LAB CLASSIFICATION 
(</t>
    </r>
    <r>
      <rPr>
        <rFont val="Arial Narrow"/>
        <b/>
        <color rgb="FFFFFFFF"/>
        <sz val="11.0"/>
      </rPr>
      <t>If Applicable</t>
    </r>
    <r>
      <rPr>
        <rFont val="Arial Narrow"/>
        <b/>
        <color rgb="FFFFFFFF"/>
        <sz val="11.0"/>
      </rPr>
      <t>)</t>
    </r>
  </si>
  <si>
    <t>MEDICAL DIRECTOR/               CHIEF OF HOSPITAL</t>
  </si>
  <si>
    <t>CONTACT NOS.</t>
  </si>
  <si>
    <t>E-MAIL ADDRESS</t>
  </si>
  <si>
    <t>AMBULANCE (No./ TYPE / PLATE NO.)  Pls. Seperate if different Type</t>
  </si>
  <si>
    <t>NAME OF AMBULANCE SERVICE PROVIDER IF W/ MOA</t>
  </si>
  <si>
    <t>VALIDITY FROM</t>
  </si>
  <si>
    <t>VALIDITY UNTIL</t>
  </si>
  <si>
    <t>LICENSE NO.</t>
  </si>
  <si>
    <t>REMARKS</t>
  </si>
  <si>
    <t>Dra</t>
  </si>
  <si>
    <t>Butuan</t>
  </si>
  <si>
    <t>Butuan City</t>
  </si>
  <si>
    <t>Nonan Village, J.C. Aquino Ave., Butuan City</t>
  </si>
  <si>
    <t>Caraga Hospital Infant Care &amp; Lying-in Center</t>
  </si>
  <si>
    <t>Private</t>
  </si>
  <si>
    <t>Dr. Winefredo Osigan</t>
  </si>
  <si>
    <t>1, Type1, Plate No. LAC 1417, CR No.304643872</t>
  </si>
  <si>
    <t>Not renewed</t>
  </si>
  <si>
    <t>Camp Rodriguez, Libertad, But. City</t>
  </si>
  <si>
    <t>PNP Hospital Region 13</t>
  </si>
  <si>
    <t>PNP</t>
  </si>
  <si>
    <t>Psupt. Michael Angelo L. Mallari, MD</t>
  </si>
  <si>
    <t>16 - 31- 22 - I - 1</t>
  </si>
  <si>
    <t>Lot 371-1-2, South Montilla Road, Barrio Villa Kananga, Butuan City</t>
  </si>
  <si>
    <t>Allied Care Experts (ACE) Medical Center-Butuan City</t>
  </si>
  <si>
    <t>1 (Type 1) Plate No. DBG 5659 CR No. 46907073-3</t>
  </si>
  <si>
    <t>16 - 27- 23- l-2</t>
  </si>
  <si>
    <t>Agusan del Norte</t>
  </si>
  <si>
    <t>Magallanes</t>
  </si>
  <si>
    <t>Magallanes, Agusan del Norte</t>
  </si>
  <si>
    <t>St. Joseph Infirmary</t>
  </si>
  <si>
    <t>Dr. Elena Abarquez</t>
  </si>
  <si>
    <t>Type 2, Plate No. JCU 540 CR. No. 7202380-3</t>
  </si>
  <si>
    <t>16 - 01-23- l-2</t>
  </si>
  <si>
    <t>Surigao del Sur</t>
  </si>
  <si>
    <t>Bislig City</t>
  </si>
  <si>
    <t>P-4, Caramcam, Mangagoy, Bislig City</t>
  </si>
  <si>
    <t>Family Medical Clinic</t>
  </si>
  <si>
    <t>Dr. Aurora S. Babano</t>
  </si>
  <si>
    <t>MOA with Andres Soriano Hospital</t>
  </si>
  <si>
    <t>Cantilan</t>
  </si>
  <si>
    <t>P-5 National Highway, Pag-antayan, Cantilan, Surigao del Sur</t>
  </si>
  <si>
    <t>Isidro M. Olan Sr.Memorial Clinic and Hospital Inc.</t>
  </si>
  <si>
    <t>Dr. Valentin D. Olan</t>
  </si>
  <si>
    <t>Plate No. SFJ 350, CR No. 0059996447</t>
  </si>
  <si>
    <t>Surigao del Norte</t>
  </si>
  <si>
    <t>V. del Socorro St., Socorro, Surigao del Norte</t>
  </si>
  <si>
    <t>Socorro District Hospital</t>
  </si>
  <si>
    <t>Province</t>
  </si>
  <si>
    <t>LGU</t>
  </si>
  <si>
    <t>Dr. Nikki J. Carduza</t>
  </si>
  <si>
    <t>1 Type 1, Plate No. SAA6865 CR No. 262456994</t>
  </si>
  <si>
    <t>16 - 17- 22 - I - 1</t>
  </si>
  <si>
    <t>CITY/ MUNICIPALITY</t>
  </si>
  <si>
    <t>NAME OF CLINIC</t>
  </si>
  <si>
    <t>NO. OF STATION</t>
  </si>
  <si>
    <t>HEAD OF THE FACILITY</t>
  </si>
  <si>
    <t>CONTACT NUMBER</t>
  </si>
  <si>
    <t>E MAIL ADDRESS</t>
  </si>
  <si>
    <t>LICENSED NO.</t>
  </si>
  <si>
    <t>Application @ HFSRB</t>
  </si>
  <si>
    <r>
      <rPr>
        <rFont val="Arial Narrow"/>
        <b/>
        <color rgb="FFFFFFFF"/>
        <sz val="17.0"/>
      </rPr>
      <t xml:space="preserve">Regional Distribution of Infirmaries in the Philippines
</t>
    </r>
    <r>
      <rPr>
        <rFont val="Arial Narrow"/>
        <b/>
        <color rgb="FFFF9900"/>
        <sz val="17.0"/>
      </rPr>
      <t>(as of June 30, 2026)</t>
    </r>
  </si>
  <si>
    <t>NIR</t>
  </si>
  <si>
    <t>NEGROS ISLAND REGION</t>
  </si>
  <si>
    <t>NHFR CODE</t>
  </si>
  <si>
    <t>CITY / MUNICIPALITY</t>
  </si>
  <si>
    <r>
      <rPr>
        <rFont val="Arial"/>
        <b/>
        <color rgb="FFFFFFFF"/>
        <sz val="11.0"/>
      </rPr>
      <t>CLINICAL LAB CLASSIFICATION 
(</t>
    </r>
    <r>
      <rPr>
        <rFont val="Arial"/>
        <b/>
        <color rgb="FFFFFFFF"/>
        <sz val="11.0"/>
      </rPr>
      <t>If Applicable</t>
    </r>
    <r>
      <rPr>
        <rFont val="Arial"/>
        <b/>
        <color rgb="FFFFFFFF"/>
        <sz val="11.0"/>
      </rPr>
      <t>)</t>
    </r>
  </si>
  <si>
    <t>MEDICAL DIRECTOR / CHIEF OF HOSPITAL</t>
  </si>
  <si>
    <t>APPLICATION STATUS</t>
  </si>
  <si>
    <t>APPLICATION STATUS
(IF WITH CHANGES)</t>
  </si>
  <si>
    <t>02928</t>
  </si>
  <si>
    <t>Ilocos Norte</t>
  </si>
  <si>
    <t>Dingras</t>
  </si>
  <si>
    <t>Suyo</t>
  </si>
  <si>
    <t>DINGRAS DISTRICT HOSPITAL</t>
  </si>
  <si>
    <t>Government</t>
  </si>
  <si>
    <t xml:space="preserve">-Diagnostic X-ray (Level 2) 
-Pharmacy
 -Add-on  Clinical Laboratory: 
1. Clinical chemistry:
-HBAIC 
</t>
  </si>
  <si>
    <t>Secondary</t>
  </si>
  <si>
    <t>Roland B. Andres, MD</t>
  </si>
  <si>
    <t>600-3085</t>
  </si>
  <si>
    <t>dingrashospital75@gmail.com</t>
  </si>
  <si>
    <t>TYPE I- 
Plate No. 130102
CR No. 0020096579</t>
  </si>
  <si>
    <t>Gov. Roque Ablan Sr. Memorial Hospital</t>
  </si>
  <si>
    <t>01-0008-26-I-1</t>
  </si>
  <si>
    <t>Renewal</t>
  </si>
  <si>
    <t>N/A</t>
  </si>
  <si>
    <t>*</t>
  </si>
  <si>
    <t>06707</t>
  </si>
  <si>
    <t>Marcos</t>
  </si>
  <si>
    <t>Guava St., Brgy. Lydia</t>
  </si>
  <si>
    <t>DOÑA JOSEFA EDRALIN MARCOS DISTRICT HOSPITAL</t>
  </si>
  <si>
    <t xml:space="preserve">-Diagnostic X-ray (Level 1)
-Pharmacy
-Clinical Laboratory </t>
  </si>
  <si>
    <t>Maria Kristeta C. Manrique, MD</t>
  </si>
  <si>
    <t>09215658000</t>
  </si>
  <si>
    <t>DJEMDH@yahoo.com.ph</t>
  </si>
  <si>
    <t xml:space="preserve">TYPE I-AMBULANCE/
Plate No. 130102
CR No. 0020090157 </t>
  </si>
  <si>
    <t>01-0031-26-I-1</t>
  </si>
  <si>
    <t>00001</t>
  </si>
  <si>
    <t>Piddig</t>
  </si>
  <si>
    <t>Agcaoili St., Cor. Goodbye Street, Brgy. 2 Anao</t>
  </si>
  <si>
    <t>PIDDIG DISTRICT HOSPITAL</t>
  </si>
  <si>
    <t>Clinical Laboratory Add On (08-04-2025):
1. Clinical Chemistry: 
-HBAIC</t>
  </si>
  <si>
    <t>Primary</t>
  </si>
  <si>
    <t>Cheryl R. Laguatan, MD</t>
  </si>
  <si>
    <t>077-676-1406/ 6003323/
09171434290</t>
  </si>
  <si>
    <t>piddigdh@yahoo.com</t>
  </si>
  <si>
    <t>TYPE I AMBULANCE (01-09-2024)
Plate# 130102 
CR # 0006911142</t>
  </si>
  <si>
    <t>01-0029-26-I-1</t>
  </si>
  <si>
    <t>30121</t>
  </si>
  <si>
    <t>Ilocos Sur</t>
  </si>
  <si>
    <t>Quirino</t>
  </si>
  <si>
    <t>Poblacion II</t>
  </si>
  <si>
    <t>QUIRINO PRIMARY HEALTH CARE FACILITY</t>
  </si>
  <si>
    <t>Clinical Laboratory</t>
  </si>
  <si>
    <t>Precious Ivony D. Alfonso-Catriz, MD, DFM</t>
  </si>
  <si>
    <t>09108946621</t>
  </si>
  <si>
    <t>qphcf@yahoo.com</t>
  </si>
  <si>
    <t>Luis Hora Memorial Regional Hospital</t>
  </si>
  <si>
    <t>01-0017-26-I-1</t>
  </si>
  <si>
    <t>00280</t>
  </si>
  <si>
    <t>Salcedo</t>
  </si>
  <si>
    <t>National Road, Poblacion Sur</t>
  </si>
  <si>
    <t>ILOCOS SUR DISTRICT HOSPITAL-SALCEDO</t>
  </si>
  <si>
    <t xml:space="preserve">-Diagnostic X-Ray (Level 1)
-Pharmacy
-Add on Clinical Laboratory: 
1. Clinical Chemistry:
--HBAIC
2. Immunology/Serology:
--Troponin I (Qualitative and Quantitative)
</t>
  </si>
  <si>
    <t>Federico Anaen, Jr., MD, MHA</t>
  </si>
  <si>
    <t>09951293539</t>
  </si>
  <si>
    <t>salcedomedicare@yahoo.com</t>
  </si>
  <si>
    <t>Candon St. Martin de Porres Hospital</t>
  </si>
  <si>
    <t>01-0009-26-I-1</t>
  </si>
  <si>
    <t>32065</t>
  </si>
  <si>
    <t>Vigan City</t>
  </si>
  <si>
    <t>Tamag</t>
  </si>
  <si>
    <t>UNIVERSITY OF NORTHERN PHILIPPINES HOSPITAL</t>
  </si>
  <si>
    <t>UNIVERSITY / SCHOOL</t>
  </si>
  <si>
    <t xml:space="preserve"> -Add on Clinical Laboratory:
1. Clinical Chemistry:
--HBAIC (08-19-2024)
</t>
  </si>
  <si>
    <t>Marsha MIchelle C. Cabuena</t>
  </si>
  <si>
    <t>09175333398</t>
  </si>
  <si>
    <t>unp.hospita@yahoo.com/unphlab@gmail.com</t>
  </si>
  <si>
    <t>Metro Vigan Hospital/ Ilocos Sur Provincial Hospital - Gabriela Silang</t>
  </si>
  <si>
    <t>01-0030-26-I-1</t>
  </si>
  <si>
    <t>Pangasinan</t>
  </si>
  <si>
    <t>Labrador</t>
  </si>
  <si>
    <t>Brgy. Poblacion, District II</t>
  </si>
  <si>
    <t>LABRADOR MUNICIPAL INFIRMARY</t>
  </si>
  <si>
    <t>None</t>
  </si>
  <si>
    <t>Mark Ross M. Rosario, MD</t>
  </si>
  <si>
    <t>labradormunicipalinfirmary@gmail.com</t>
  </si>
  <si>
    <t>01-0032-26-I-1</t>
  </si>
  <si>
    <t>Initial</t>
  </si>
  <si>
    <t>Malasiqui</t>
  </si>
  <si>
    <t>Brgy. Cabatlig</t>
  </si>
  <si>
    <t>MALASIQUI MUNICIPAL HOSPITAL</t>
  </si>
  <si>
    <t xml:space="preserve">&gt;Pharmacy
&gt;Diagnostic X-Ray (Level 1)
&gt;Clinical Laboratory </t>
  </si>
  <si>
    <t>Cielo E. Almoite, MD, MPH</t>
  </si>
  <si>
    <t>malasiquimunicipalhospital@gmail.com</t>
  </si>
  <si>
    <t>MOA</t>
  </si>
  <si>
    <t>Christ Bearer Infirmary</t>
  </si>
  <si>
    <t>01-0035-26-I-1</t>
  </si>
  <si>
    <t>32061</t>
  </si>
  <si>
    <t>Rosales</t>
  </si>
  <si>
    <t>Pine St.,Zone V, District 6</t>
  </si>
  <si>
    <t>ROSALES INFIRMARY UNIT</t>
  </si>
  <si>
    <t>Adam Arlie B. Guieb, MD</t>
  </si>
  <si>
    <t>(075)-517-6065</t>
  </si>
  <si>
    <t>rosalesinfirmaryunit@gmail.com</t>
  </si>
  <si>
    <t>01-0026-26-I-1</t>
  </si>
  <si>
    <t>38481</t>
  </si>
  <si>
    <t>Sual</t>
  </si>
  <si>
    <t>Caoayan</t>
  </si>
  <si>
    <t>SUAL PRIMARY CARE FACILTY - INFIRMARY</t>
  </si>
  <si>
    <t xml:space="preserve">- Pharmacy
 -Diagnostic X-Ray (Level 1)
-Clinical Laboratory
</t>
  </si>
  <si>
    <t>Jasfer Neil B. Nadong, MD</t>
  </si>
  <si>
    <t>09190646207</t>
  </si>
  <si>
    <t>pcfinfirmary@gmail.com</t>
  </si>
  <si>
    <t>Type I AMBULANCE (01-24-2024)
Plate No. 130105, 
CR No.45035689</t>
  </si>
  <si>
    <t>01-0012-26-I-1</t>
  </si>
  <si>
    <t>Batanes</t>
  </si>
  <si>
    <t>Itbayat</t>
  </si>
  <si>
    <t>National Road, San Rafael</t>
  </si>
  <si>
    <t>ITBAYAT DISTRICT HOSPITAL</t>
  </si>
  <si>
    <t>Dr. Nikita C. Gato</t>
  </si>
  <si>
    <t>09617626722 09776574788</t>
  </si>
  <si>
    <t>idh.batanes@gmail.com</t>
  </si>
  <si>
    <t>1, Type 1, C.S. No. K1U940</t>
  </si>
  <si>
    <t>02-20-26-I-1</t>
  </si>
  <si>
    <t>Changed Ownership/Mgt</t>
  </si>
  <si>
    <t>Change of Head of Facility (2nd Quarter)</t>
  </si>
  <si>
    <t>Cagayan</t>
  </si>
  <si>
    <t>Abulug</t>
  </si>
  <si>
    <t>Maharlika Highway, Pinili, District II</t>
  </si>
  <si>
    <t>NORTHWESTERN CAGAYAN GENERAL HOSPITAL</t>
  </si>
  <si>
    <t>DOH RETAINED</t>
  </si>
  <si>
    <t>Pharmacy , Dialysis Clinic (12 Stations), Clinical Laboratory - DOH Programs - Special Chemistry (AST, ALT),Electrolytes (NA, K,Cl,iCal, Tcal),</t>
  </si>
  <si>
    <t>Limited Service</t>
  </si>
  <si>
    <t>Dr. Jasmin Rose Umblas-Maladrigo, MHA</t>
  </si>
  <si>
    <t>northwesterncagayangh@gmail.com</t>
  </si>
  <si>
    <t>2, type 1/ SND 3301, Plate No. 130106 &amp; SGA 6280</t>
  </si>
  <si>
    <t>02-16-26-I-1</t>
  </si>
  <si>
    <t>Add ons Service- 02/06/2026- 1st Quarter, Clinical Laboratory - DOH Programs - Special Chemistry (AST, ALT)- 1st Quarter (2/9/2026), Additional Ambulance Unit- 1st Quarter ( 3/16/2026)</t>
  </si>
  <si>
    <t>Alcala</t>
  </si>
  <si>
    <t>Centro Norte</t>
  </si>
  <si>
    <t>ALCALA MUNICIPAL HOSPITAL</t>
  </si>
  <si>
    <t>Pharmacy, Clinical Laboratory Add ons: Special Serology (S. typhi, Leptospira)</t>
  </si>
  <si>
    <t>Dr. Raymond Q. Ruiz</t>
  </si>
  <si>
    <t>(078) 3772-224 09955588961</t>
  </si>
  <si>
    <t>amhcagayan@gmail.com</t>
  </si>
  <si>
    <t>1.Type 1, C.S. No. F5K695</t>
  </si>
  <si>
    <t>02-19-26-I-1</t>
  </si>
  <si>
    <t>Baggao</t>
  </si>
  <si>
    <t>Tungel</t>
  </si>
  <si>
    <t>BAGGAO DISTRICT HOSPITAL</t>
  </si>
  <si>
    <t>Dr. Sharon Go</t>
  </si>
  <si>
    <t>bdhtungel@gmail.com</t>
  </si>
  <si>
    <t>1/Type 1/Plate No. 030110</t>
  </si>
  <si>
    <t>02-21-26-I-1</t>
  </si>
  <si>
    <t>Calayan</t>
  </si>
  <si>
    <t>A. Escalante Street, Poblacion</t>
  </si>
  <si>
    <t>CALAYAN INFIRMARY</t>
  </si>
  <si>
    <t>Pharmacy</t>
  </si>
  <si>
    <t>Dr. Christian Clemencia-OIC</t>
  </si>
  <si>
    <t>calayaninfirmary@gmail.com</t>
  </si>
  <si>
    <t>Aparri Provincial Hospital</t>
  </si>
  <si>
    <t>02-31-26-I-1</t>
  </si>
  <si>
    <t>Change of COH ( 1st Quarter)</t>
  </si>
  <si>
    <t>Gattaran</t>
  </si>
  <si>
    <t>Centro Sur</t>
  </si>
  <si>
    <t>DR. TOMAS L. NOLASCO SR. MEMORIAL HOSPITAL - REPRODUCTIVE HEALTH CENTER</t>
  </si>
  <si>
    <t>Diagnostic X-Ray (Level 1), Pharmacy, Dialysis Clinic (4 Stations- B. Braun Avitum Philippines, Inc)</t>
  </si>
  <si>
    <t>Dr. Cherry Ann A. Carreon</t>
  </si>
  <si>
    <t>(078) 395-0734 09275149145</t>
  </si>
  <si>
    <t>dtnh_rhc@yahoo.com</t>
  </si>
  <si>
    <t>02-08-26-I-1</t>
  </si>
  <si>
    <t>Add ons Dialysis Clinic with 4 Stations (5/28/2026- 3rd Quarter) Delisting of Licensed Ambulance (3rd Quarter- 06/11/2026)</t>
  </si>
  <si>
    <t>Calaoagan Dackel</t>
  </si>
  <si>
    <t>GATTARAN EMERGENCY HOSPITAL</t>
  </si>
  <si>
    <t>Electrolytes (Na, K, Cl) Special Chemistry (AST, ALT)Special Serology (S. Typhi, Lestospira)Pharmacy</t>
  </si>
  <si>
    <t>Dr. Cedina E. Bayani- OIC, Chief of Hospital</t>
  </si>
  <si>
    <t>09270811967 (078) 377 6035</t>
  </si>
  <si>
    <t>gattaranemergencyhospital@yahoo.com</t>
  </si>
  <si>
    <t>1, type 1, Plate No. K1U 922</t>
  </si>
  <si>
    <t>02-23-26-I-1</t>
  </si>
  <si>
    <t>Sanchez-Mira</t>
  </si>
  <si>
    <t>Mahrlika Highway, San Andres</t>
  </si>
  <si>
    <t>NORTHERN CAGAYAN DISTRICT HOSPITAL</t>
  </si>
  <si>
    <t>Pharmacy, Diagnostic X-ray (Level 1)</t>
  </si>
  <si>
    <t>Dr. Febe  Q. Villanueva</t>
  </si>
  <si>
    <t>(078) 377-2563 09455995241</t>
  </si>
  <si>
    <t>ncdh2015ssanchezmira@gmail.com</t>
  </si>
  <si>
    <t>1/Type 1, C.S No. F5K 699</t>
  </si>
  <si>
    <t>02-27-26-I-1</t>
  </si>
  <si>
    <t>Sta. Ana</t>
  </si>
  <si>
    <t>Pines Drive, Centro</t>
  </si>
  <si>
    <t>STA. ANA COMMUNITY HOSPITAL</t>
  </si>
  <si>
    <t>Dr. Jacky O. Caday-OIC</t>
  </si>
  <si>
    <t>09065260149 (078) 377 6568</t>
  </si>
  <si>
    <t>sachospital@yahoo.com</t>
  </si>
  <si>
    <t>Alfonso Ponce Enrile Memorial District Hospital</t>
  </si>
  <si>
    <t>02-24-26-I-1</t>
  </si>
  <si>
    <t>Isabela</t>
  </si>
  <si>
    <t>Alicia</t>
  </si>
  <si>
    <t>Magsaysay</t>
  </si>
  <si>
    <t>ALICIA COMMUNITY HOSPITAL</t>
  </si>
  <si>
    <t>Pharmacy, Diagnostic X-Ray (Level 1), Clinical Laboratory (Primary)</t>
  </si>
  <si>
    <t>Dr. Ma. Consuelo L. Ricafort</t>
  </si>
  <si>
    <t>09175032406 078-323-0903</t>
  </si>
  <si>
    <t>aliciacommunityhospital@gmail.com</t>
  </si>
  <si>
    <t>1, Type 1, Plate No. NAO 4139</t>
  </si>
  <si>
    <t>02-12-26-I-1</t>
  </si>
  <si>
    <t>Change of Chief of Hospital (1st Quarter)</t>
  </si>
  <si>
    <t>Angadanan</t>
  </si>
  <si>
    <t>Centro 3</t>
  </si>
  <si>
    <t>ANGADANAN INTEGRATED COMMUNITY HOSPITAL</t>
  </si>
  <si>
    <t>Dr. Princes Jeanne M. Cachapero</t>
  </si>
  <si>
    <t>aichospital@gmail.com</t>
  </si>
  <si>
    <t>1, Type 1 / SNA 8272</t>
  </si>
  <si>
    <t>02-10-26-I-1</t>
  </si>
  <si>
    <t>Increase Bed</t>
  </si>
  <si>
    <t>Delfin Albano</t>
  </si>
  <si>
    <t>Ragan Sur</t>
  </si>
  <si>
    <t>DELFIN ALBANO MEMORIAL HOSPITAL</t>
  </si>
  <si>
    <t>Pharmacy, Clinical Laboratory (Primary) - Electrolytes (Na, K, Ca) - Special Chemistry ( HbA1c) - Thyroid Function ( fT3, fT4, TSH), Diagnostic X-ray (Level 2) , Pharmacy</t>
  </si>
  <si>
    <t>Dr. Katrene Cay R. Acera</t>
  </si>
  <si>
    <t>damh_da@yahoo.com</t>
  </si>
  <si>
    <t>1/Type 1/F4G 754</t>
  </si>
  <si>
    <t>02-34-26-I-1</t>
  </si>
  <si>
    <t>Add ons: Pharmacy- 3/5/2026- 1st Quarter</t>
  </si>
  <si>
    <t>Dinapigue</t>
  </si>
  <si>
    <t>Digumased</t>
  </si>
  <si>
    <t>DINAPIGUE COMMUNITY HOSPITAL</t>
  </si>
  <si>
    <t>Dr. Floro M. Binalay</t>
  </si>
  <si>
    <t>liasonhospice@gmail.com</t>
  </si>
  <si>
    <t>02-37-26-I-1</t>
  </si>
  <si>
    <t>New Facility</t>
  </si>
  <si>
    <t>Initial LTO(4/13/2026)</t>
  </si>
  <si>
    <t>Gamu</t>
  </si>
  <si>
    <t>Upi</t>
  </si>
  <si>
    <t>CAMP MELCHOR F. DELA CRUZ STATION HOSPITAL</t>
  </si>
  <si>
    <t>DND</t>
  </si>
  <si>
    <t>Pharmacy, Diagnostic X-Ray (Level 1), Clinical Laboratory (Secondary) - Special Chemistry (HbA1c, cTn-I) - Thyroid Function (TSH, FT3, FT4) - Tumor Markers ( PSA)</t>
  </si>
  <si>
    <t>Col. Encarnita Oliva Perez</t>
  </si>
  <si>
    <t>cmfdc.sh@gmail.com</t>
  </si>
  <si>
    <t>3/Type 1/Plate No. 130102, 131202 &amp; 023101</t>
  </si>
  <si>
    <t>02-15-26-I-1</t>
  </si>
  <si>
    <t>Ilagan City</t>
  </si>
  <si>
    <t>P7, Centro, San Antonio</t>
  </si>
  <si>
    <t>SAN ANTONIO CITY OF ILAGAN HOSPITAL</t>
  </si>
  <si>
    <t>Pharmacy,Diagnostic X-ray (Level 1) Clinical Laboratories Add ons: Special Serology (S. Typhi, HAV, CRP) Electrolytes (Ionized Caclcium) Special Chemistry (HbA1c, Trop-I, NT pro BNP) Thyroid Function Test(TSH, fT3,fT4) Tumor Markers (PSA, Covid-19 Testing Laboratory , Covid-19 Testing Laboratory</t>
  </si>
  <si>
    <t>Dr. Analynn J. Paguirigan</t>
  </si>
  <si>
    <t>sanantoniohospitalcityofilagan@gmail.com</t>
  </si>
  <si>
    <t>Dr. Victor S. Villaroman Memorial Hospital</t>
  </si>
  <si>
    <t>02-05-26-I-1</t>
  </si>
  <si>
    <t>Clinical Laboratory Add ons- ( 2nd Quarter- 4/7/2026)</t>
  </si>
  <si>
    <t>Jones</t>
  </si>
  <si>
    <t>Barangay 1</t>
  </si>
  <si>
    <t>PROSPERO G. BELLO INTEGRATED COMMUNITY HOSPITAL</t>
  </si>
  <si>
    <t>Pharmacy,Diagnostic X-ray (Level 2), Clinical Laboratory: Special Chemistry (AST, ALT) Special Serology (HAV, S. typhi)</t>
  </si>
  <si>
    <t>Dr. Regidor B. Delmas</t>
  </si>
  <si>
    <t>pgbich_jones@yahoo.com</t>
  </si>
  <si>
    <t>1, Type 1, Plate No. : SBA 4183</t>
  </si>
  <si>
    <t>02-26-26-I-1</t>
  </si>
  <si>
    <t>Palanan</t>
  </si>
  <si>
    <t>Dicabisagan West</t>
  </si>
  <si>
    <t>PALANAN STATION HOSPITAL</t>
  </si>
  <si>
    <t>Dr. Gabriel Gonzales</t>
  </si>
  <si>
    <t>psh_palisa@yahoo.com</t>
  </si>
  <si>
    <t>1, Type 1, Plate No. SCA 9354</t>
  </si>
  <si>
    <t>02-18-26-I-1</t>
  </si>
  <si>
    <t>Ambulance Unit ( 2/18/2026- 1st Quarter)</t>
  </si>
  <si>
    <t>Quezon</t>
  </si>
  <si>
    <t>Arellano</t>
  </si>
  <si>
    <t>QUEZON COMMUNITY HOSPITAL</t>
  </si>
  <si>
    <t>Pharmacy, Diagnostic X-Ray (Level 1), Clinical Laboratory (Primary) Electrolytes (Na, K, Cl, iCa) Special Chemistry ( HbA1c, AST, ALT) Special Serology ( S. typhi)</t>
  </si>
  <si>
    <t>Dr. Harold D. Rugnao</t>
  </si>
  <si>
    <t>qch_1994@yahoo.com</t>
  </si>
  <si>
    <t>1/Type 1/F5U634</t>
  </si>
  <si>
    <t>02-25-26-I-1</t>
  </si>
  <si>
    <t>Roxas</t>
  </si>
  <si>
    <t>National Highway, Muñoz East</t>
  </si>
  <si>
    <t>ROXAS COMMUNITY HOSPITAL</t>
  </si>
  <si>
    <t>Dr. John G. Lago</t>
  </si>
  <si>
    <t>roxascommunityhospital@gmail.com</t>
  </si>
  <si>
    <t>Roxas Rural Health Unit</t>
  </si>
  <si>
    <t>02-28-26-I-1</t>
  </si>
  <si>
    <t>San Mateo</t>
  </si>
  <si>
    <t>Roxas Street Corner Aglipay Street, Brgy. 4</t>
  </si>
  <si>
    <t>SAN MATEO INTEGRATED COMMUNITY HOSPITAL</t>
  </si>
  <si>
    <t>Diagnostic X-ray (Level 1), Clnical Laboratory: Special Chemistry (HbA1c) Special Serology (HAV) Pharmacy</t>
  </si>
  <si>
    <t>Dr. Fevejoy S. Antalan</t>
  </si>
  <si>
    <t>smich0215@gmail.com</t>
  </si>
  <si>
    <t>San Mateo Super Health Center</t>
  </si>
  <si>
    <t>02-17-26-I-1</t>
  </si>
  <si>
    <t>Clinical Laboratory Add ons- 1st Quarter (2/13/2026)</t>
  </si>
  <si>
    <t>Sta. Maria</t>
  </si>
  <si>
    <t>Bliss Site, Poblacion I</t>
  </si>
  <si>
    <t>ELVIN U. MASIGAN INTEGRATED MEMORIAL HOSPITAL</t>
  </si>
  <si>
    <t>Dr. Bryan Julius T. Panganiban</t>
  </si>
  <si>
    <t>eumimh18@gmail.com</t>
  </si>
  <si>
    <t>Milagros Albano District Hospital</t>
  </si>
  <si>
    <t>02-22-26-I-1</t>
  </si>
  <si>
    <t>Tumauini</t>
  </si>
  <si>
    <t>National Highway, Lingaling,</t>
  </si>
  <si>
    <t>TUMAUINI COMMUNITY HOSPITAL</t>
  </si>
  <si>
    <t>Dialysis Clinic (4 Stations)</t>
  </si>
  <si>
    <t>Dr. Janeth J. Bacani</t>
  </si>
  <si>
    <t>09178779824 (078) 323-2188</t>
  </si>
  <si>
    <t>tumauinicommunityhospital@yahoo.com</t>
  </si>
  <si>
    <t>1/Type 1/Plate No. 131209</t>
  </si>
  <si>
    <t>02-14-26-I-1</t>
  </si>
  <si>
    <t>Nueva Vizcaya</t>
  </si>
  <si>
    <t>Alfonso Castañeda</t>
  </si>
  <si>
    <t>Purok 2, Lublub</t>
  </si>
  <si>
    <t>ALFONSO CASTAÑEDA MUNICIPAL HOSPITAL</t>
  </si>
  <si>
    <t>NONE</t>
  </si>
  <si>
    <t>Dr. Annie C. Bawayan</t>
  </si>
  <si>
    <t>infirmarycastaneda@gmail.com</t>
  </si>
  <si>
    <t>RHU Alfonso Castañeda</t>
  </si>
  <si>
    <t>02-04-26-I-2</t>
  </si>
  <si>
    <t>Diadi</t>
  </si>
  <si>
    <t>Poblacion</t>
  </si>
  <si>
    <t>DIADI EMERGENCY HOSPITAL</t>
  </si>
  <si>
    <t>Dr. Mary Jane C. Callang</t>
  </si>
  <si>
    <t>plgunuevavizcaya.deh@gmail.com</t>
  </si>
  <si>
    <t>1/Type 1/POQ534</t>
  </si>
  <si>
    <t>02-09-26-I-1</t>
  </si>
  <si>
    <t>Kasibu</t>
  </si>
  <si>
    <t>Pimmadek</t>
  </si>
  <si>
    <t>DIDIPIO COMMUNITY HOSPITAL</t>
  </si>
  <si>
    <t>Dr. Joash Pio C. Ruiz</t>
  </si>
  <si>
    <t>didipiocommunityhospital2021@gmail.com</t>
  </si>
  <si>
    <t>1, Type 1, Plate No. NHR 3931</t>
  </si>
  <si>
    <t>02-35-26-I-1</t>
  </si>
  <si>
    <t>Pudi</t>
  </si>
  <si>
    <t>KASIBU MUNICIPAL HOSPITAL</t>
  </si>
  <si>
    <t>Pharmacy, Diagnostic X-ray (Level 2), Clinical Laboratory ( Secondary)- Special Serology ( S. typhi, Covid 19 Antigen Test)</t>
  </si>
  <si>
    <t>Dr. Lucena Larilay P. Caldito</t>
  </si>
  <si>
    <t>plgunuevavizcaya.kmh@gmail.com</t>
  </si>
  <si>
    <t>1/Type 1/POM 515</t>
  </si>
  <si>
    <t>02-33-26-I-1</t>
  </si>
  <si>
    <t>Clinical Laboratory ( Secondary)- Special Serology ( S. typhi, Covid 19 Antigen Test) - 6/16/2025 for 2nd Quarter</t>
  </si>
  <si>
    <t>Aglipay</t>
  </si>
  <si>
    <t>Villa Ventura</t>
  </si>
  <si>
    <t>AGLIPAY DISTRICT HOSPITAL</t>
  </si>
  <si>
    <t>Dr. Sherwin Banan</t>
  </si>
  <si>
    <t>aglipaydistricthospital@gmail.com</t>
  </si>
  <si>
    <t>1,Type 1/ SND 3303</t>
  </si>
  <si>
    <t>02-07-26-I-1</t>
  </si>
  <si>
    <t>Diffun</t>
  </si>
  <si>
    <t>Andres Bonifacio</t>
  </si>
  <si>
    <t>DIFFUN DISTRICT HOSPITAL</t>
  </si>
  <si>
    <t>Pharmacy, Diagnostic X-ray  (Level 1)</t>
  </si>
  <si>
    <t>Dr. Maria Elizabeth T. Vaquilar</t>
  </si>
  <si>
    <t>09973997140 (078) 692 8212</t>
  </si>
  <si>
    <t>diffundisthospital@yahoo.com</t>
  </si>
  <si>
    <t>Quirino Province Medical Center</t>
  </si>
  <si>
    <t>02-06-26-I-1</t>
  </si>
  <si>
    <t>Add ons Service( 4/20/2026- 2nd Quarter)</t>
  </si>
  <si>
    <t>Aurora</t>
  </si>
  <si>
    <t>Casiguran</t>
  </si>
  <si>
    <t>Brgy. Marikit, Casiguran</t>
  </si>
  <si>
    <t>CASIGURAN DISTRICT HOSPITAL</t>
  </si>
  <si>
    <t>Dental Clinic
Clinical Laboratory (Primary) ; Diagnostoc X-ray Level 1; Pharmacy</t>
  </si>
  <si>
    <t>SWIT TARAH SABAOT, MD, CFP</t>
  </si>
  <si>
    <t>records.chd2015@gmail.com</t>
  </si>
  <si>
    <t>2, Type I CR# 40432457-2 Conduction Sticker# F4 D063 Conduction Sticker No. F5 U725</t>
  </si>
  <si>
    <t>03-0167-26-I-1</t>
  </si>
  <si>
    <t>Dingalan</t>
  </si>
  <si>
    <t>N.D. Galvez St., Caragsacan</t>
  </si>
  <si>
    <t>DINGALAN COMMUNITY HOSPITAL</t>
  </si>
  <si>
    <t xml:space="preserve">
Pharmacy</t>
  </si>
  <si>
    <t>Dr. Julie Ann Mandapat Resare</t>
  </si>
  <si>
    <t>dchaurora2025@gmail.com</t>
  </si>
  <si>
    <t xml:space="preserve">1/ TYPE 1 
CR NO. 42860118-0 
</t>
  </si>
  <si>
    <t>03-0149-26-I-1</t>
  </si>
  <si>
    <t>Decrease Bed</t>
  </si>
  <si>
    <t>Maria Aurora</t>
  </si>
  <si>
    <t>Saturno St., Brgy. 01, Maria Aurora</t>
  </si>
  <si>
    <t>MARIA AURORA COMMUNITY HOSPITAL</t>
  </si>
  <si>
    <t>Clinical Laboratory, Pharmacy; rHIVda Confirmatory Laboratory</t>
  </si>
  <si>
    <t>Marionne Maye P. Nicer, MD</t>
  </si>
  <si>
    <t>042-724-5882
09703472049</t>
  </si>
  <si>
    <t>ilovemach1974@gmail.com</t>
  </si>
  <si>
    <t>1, Type I CR# 40432454-6</t>
  </si>
  <si>
    <t>03-0137-26-I-1</t>
  </si>
  <si>
    <t>Bataan</t>
  </si>
  <si>
    <t>Bagac</t>
  </si>
  <si>
    <t>Brgy. Atilano Ricardo, Bagac</t>
  </si>
  <si>
    <t>BAGAC COMMUNITY AND MEDICARE HOSPITAL</t>
  </si>
  <si>
    <t xml:space="preserve"> Clinical Laboratory Secondary, Pharmacy; Diagnostic X-ray Services Level 1
</t>
  </si>
  <si>
    <t>Ma. Bhangielynne Castro, MD</t>
  </si>
  <si>
    <t>(047) 6122047 (047) 6122524</t>
  </si>
  <si>
    <t>bagacmch@bataan.gov.ph</t>
  </si>
  <si>
    <t>1 Type 1 Plate# P1A213</t>
  </si>
  <si>
    <t>03-0192-26-I-1</t>
  </si>
  <si>
    <t>Bulacan</t>
  </si>
  <si>
    <t>Bustos</t>
  </si>
  <si>
    <t>Hilario St., Poblacion</t>
  </si>
  <si>
    <t>BUSTOS COMMUNITY HOSPITAL</t>
  </si>
  <si>
    <t>Diagnostic X-ray Level1; Clinical Laboratory</t>
  </si>
  <si>
    <t>Dr. Rowena R. Ocmer</t>
  </si>
  <si>
    <t>(044) 7611171
09989937499</t>
  </si>
  <si>
    <t>bustoscommunity.hospital@gmail.com</t>
  </si>
  <si>
    <t>1 Type 1 Conduction Sticker# F5199</t>
  </si>
  <si>
    <t>03-0133-26-I-1</t>
  </si>
  <si>
    <t>Malolos City</t>
  </si>
  <si>
    <t>Pamarawan</t>
  </si>
  <si>
    <t>DR. FELIX REYES HOSPITAL MEMORIAL</t>
  </si>
  <si>
    <t>Alfredo B. Agmata Jr.,MD</t>
  </si>
  <si>
    <t>felixreyeshospital@gmail.com</t>
  </si>
  <si>
    <t>1, Type I Plate No. SAA 2294</t>
  </si>
  <si>
    <t>03-0104-26-I-1</t>
  </si>
  <si>
    <t>Meycauayan City</t>
  </si>
  <si>
    <t>Bulac Road, Brgy. Malhacan, City of Meycauayan, Bulacan</t>
  </si>
  <si>
    <t>OSPITAL NG MEYCAUAYAN</t>
  </si>
  <si>
    <t>MICHAEL M. RESURRECCION, MD (OIC)</t>
  </si>
  <si>
    <t>09175164006   </t>
  </si>
  <si>
    <t>ospitalngmeycauayan@meycauayan.gov.ph</t>
  </si>
  <si>
    <t>Meycauayan Doctors' Hospital</t>
  </si>
  <si>
    <t>03-0228-26-I-1</t>
  </si>
  <si>
    <t>LAte renewal</t>
  </si>
  <si>
    <t>Plaridel</t>
  </si>
  <si>
    <t>AC Reyes St., Poblacion</t>
  </si>
  <si>
    <t>PLARIDEL INFIRMARY 
 (BULACAN MEDICAL CENTER ANNEX)</t>
  </si>
  <si>
    <t>ALVIN B. RAMIREZ, MD OIC</t>
  </si>
  <si>
    <t>(044) 9312516
09324120505</t>
  </si>
  <si>
    <t>pehibulacan@yahoo.com</t>
  </si>
  <si>
    <t>Bulacan Medical Center</t>
  </si>
  <si>
    <t>03-0103-26-I-1</t>
  </si>
  <si>
    <t>Nueva Ecija</t>
  </si>
  <si>
    <t>Carranglan</t>
  </si>
  <si>
    <t>Quezon St., Brgy. F.C. Otic, Carranglan, Nueva Ecija</t>
  </si>
  <si>
    <t>CARRANGLAN MEDICARE AND COMMUNITY HOSPITAL</t>
  </si>
  <si>
    <t>Dr. Abelardo Macdangdang Caringal (Medical Officer III) OIC - Chief</t>
  </si>
  <si>
    <t>0917-566-9302
0970-170-9906</t>
  </si>
  <si>
    <t>carranglanmch@gmail.com</t>
  </si>
  <si>
    <t>Type 1 Conduction Sticker No. F5 1212</t>
  </si>
  <si>
    <t>03-0131-26-I-1</t>
  </si>
  <si>
    <t>Cuyapo</t>
  </si>
  <si>
    <t>Rizal Street, District 1, Cuyapo</t>
  </si>
  <si>
    <t>CUYAPO LOCAL GOVERNMENT UNIT INFIRMARY</t>
  </si>
  <si>
    <t>Dr. Joel T. Toquero</t>
  </si>
  <si>
    <t>044-604-9447/ 0917-809-2231</t>
  </si>
  <si>
    <t>cuyapoinfimary@gmail.com</t>
  </si>
  <si>
    <t>Rayos Valentin Hospital, Inc.</t>
  </si>
  <si>
    <t>03-0218-26-I-1</t>
  </si>
  <si>
    <t>Gabaldon</t>
  </si>
  <si>
    <t>Sampaguita St., South Poblacion, Gabaldon, Nueva Ecija</t>
  </si>
  <si>
    <t>GABALDON MEDICARE AND COMMUNITY HOSPITAL</t>
  </si>
  <si>
    <t>Dr. Christian M. Salazar</t>
  </si>
  <si>
    <t>0917-7708-1663</t>
  </si>
  <si>
    <t>gabaldonmch1972@gmail.com</t>
  </si>
  <si>
    <t>Type I Plate No. H51201</t>
  </si>
  <si>
    <t>03-0002-26-I-1</t>
  </si>
  <si>
    <t>General Tinio</t>
  </si>
  <si>
    <t>Brgy. San Pedro, Gulod, General Tinio</t>
  </si>
  <si>
    <t>GENERAL TINIO MEDICARE AND COMMUNITY HOSPITAL</t>
  </si>
  <si>
    <t>Dr. Randy O. Peña</t>
  </si>
  <si>
    <t>gentiniomedcomhosp@gmail.com</t>
  </si>
  <si>
    <t>Type 1 Plate No. F51152</t>
  </si>
  <si>
    <t>03-0039-26-I-1</t>
  </si>
  <si>
    <t>Guimba</t>
  </si>
  <si>
    <t>De Ocampo St., Saranay, Guimba, Nueva Ecija</t>
  </si>
  <si>
    <t>GUIMBA COMMUNITY HOSPITAL</t>
  </si>
  <si>
    <t>Clinical Laboratory, Pharmacy, Diagnostic X-ray Services Level 2</t>
  </si>
  <si>
    <t>Dr. Manuel L. Galapon III</t>
  </si>
  <si>
    <t>(044) 9510485</t>
  </si>
  <si>
    <t>guimbacommunityhospital@gmail.com</t>
  </si>
  <si>
    <t>2/Type I/ Plate#SLE 900 and F4C737</t>
  </si>
  <si>
    <t>03-0029-26-I-1</t>
  </si>
  <si>
    <t>Palayan City</t>
  </si>
  <si>
    <t>7th Infantry (Kaugnay) Division, PA, Fort Magsaysay, Palayan City</t>
  </si>
  <si>
    <t>FORT MAGSAYSAY ARMY 
 STATION HOSPITAL</t>
  </si>
  <si>
    <t>AFP</t>
  </si>
  <si>
    <t>Clinical Laboratory, Pharmacy, Diagnostic X-ray Services Level 1, Dental Clinic</t>
  </si>
  <si>
    <t>COL. WILLIAM F. RECUENCO, MC (GSC) MHA</t>
  </si>
  <si>
    <t xml:space="preserve">(044) 9585292
0917-125-0990
</t>
  </si>
  <si>
    <t>fmash_7id@yahoo.com
7idfmash@gmail.com</t>
  </si>
  <si>
    <t>Type 1 Plate No. S2 H568</t>
  </si>
  <si>
    <t>03-0095-26-I-1</t>
  </si>
  <si>
    <t>Nueva Ecija-Aurora Road</t>
  </si>
  <si>
    <t>PALAYAN CITY HOSPITAL</t>
  </si>
  <si>
    <t>Diagnostic X-ray Services Level 1, Clinical Laboratory &amp; Pharmacy</t>
  </si>
  <si>
    <t>Dr. Clodualdo D. Joanino, III</t>
  </si>
  <si>
    <t>infirmaryhospital.palayan@gmail.com</t>
  </si>
  <si>
    <t>Type 1 CS#F3R270</t>
  </si>
  <si>
    <t>03-0195-26-I-1</t>
  </si>
  <si>
    <t>Pantabangan</t>
  </si>
  <si>
    <t>Poblacion, Pantabangan</t>
  </si>
  <si>
    <t>PANTABANGAN INFIRMARY</t>
  </si>
  <si>
    <t>Dr. Annabelle I. Magat</t>
  </si>
  <si>
    <t>0977-764-7906</t>
  </si>
  <si>
    <t>pantabanganinfirmary@gmail.com</t>
  </si>
  <si>
    <t>Heart of Jesus Hospital</t>
  </si>
  <si>
    <t>03-0172-26-I-1</t>
  </si>
  <si>
    <t>Science City of Munoz</t>
  </si>
  <si>
    <t>OSPITAL NG LUNGSOD AGHAM NG MUNOZ</t>
  </si>
  <si>
    <t>Clinical Laboratory; Pharmacy; Diagnostic X-ray Services Level 1</t>
  </si>
  <si>
    <t>Dr. Mikko Wong</t>
  </si>
  <si>
    <t>044-511-6234</t>
  </si>
  <si>
    <t>oslam.scm@gmail.com</t>
  </si>
  <si>
    <t>03-0049-26-I-1</t>
  </si>
  <si>
    <t>Pampanga</t>
  </si>
  <si>
    <t>Candaba</t>
  </si>
  <si>
    <t>Pansul Pasig, Candaba, Pampanga</t>
  </si>
  <si>
    <t>CANDABA MUNICIPAL INFIRMARY</t>
  </si>
  <si>
    <t>Pharmacy 
 Diagnostic X-ray Level 2
Clinical Laboratory (Secondary)</t>
  </si>
  <si>
    <t>John Bryan Bello, MD</t>
  </si>
  <si>
    <t>045-280-6260</t>
  </si>
  <si>
    <t>candabamunicipalinfirmary@yahoo.com</t>
  </si>
  <si>
    <t>1/Type 1Conduction Sticker# F3R 253</t>
  </si>
  <si>
    <t>03-0196-26-I-1</t>
  </si>
  <si>
    <t>Tarlac</t>
  </si>
  <si>
    <t>Paniqui</t>
  </si>
  <si>
    <t>Km 144 National Highway, Brgy. Samput</t>
  </si>
  <si>
    <t>PANIQUI GENERAL HOSPITAL</t>
  </si>
  <si>
    <t>Clinical Laboratory, Level 2 Diagnostic Xray, Pharmacy</t>
  </si>
  <si>
    <t>Dr. Jolab O. Daguro</t>
  </si>
  <si>
    <t>(045)800-6248 </t>
  </si>
  <si>
    <t>paniquigeneralhospital@gmail.com</t>
  </si>
  <si>
    <t>Tarlac Provincial Hospital</t>
  </si>
  <si>
    <t>03-0019-26-I-1</t>
  </si>
  <si>
    <t>Zambales</t>
  </si>
  <si>
    <t>Botolan</t>
  </si>
  <si>
    <t>New Taugtog Resettlement Area, Botolan, Zambales</t>
  </si>
  <si>
    <t>DR. FLORENTINO C. DOBLE MEMORIAL HOSPITAL (FORMERLY KAINOMAYAN PRIMARY HOSPITAL)</t>
  </si>
  <si>
    <t>rHIVda Confirmatory Laboratory, Diagnostic X-ray Services Level 1; Dental Clinic, Clinical Laboratory</t>
  </si>
  <si>
    <t>Dr. Peter Allen S. Sescon</t>
  </si>
  <si>
    <t>kphbotolan@gmail.com</t>
  </si>
  <si>
    <t>Type 1 CS#F4J752</t>
  </si>
  <si>
    <t>03-0012-26-I-1</t>
  </si>
  <si>
    <t>Batangas</t>
  </si>
  <si>
    <t>Nasugbu</t>
  </si>
  <si>
    <t>P. Riñoza st. Barangay 1, nasugbu, batangas</t>
  </si>
  <si>
    <t>OSPITAL NG NASUGBU</t>
  </si>
  <si>
    <t>Alexander T. Hernandez, MD</t>
  </si>
  <si>
    <t>ospitalnasugbu@gmail.com</t>
  </si>
  <si>
    <t>4A-0032-26-I-1</t>
  </si>
  <si>
    <t>Tuy</t>
  </si>
  <si>
    <t>Putol, Tuy, Batangas</t>
  </si>
  <si>
    <t>BATANGAS PROVINCIAL MEDICAL CENTER</t>
  </si>
  <si>
    <t>Dr. Francis P. Gayon</t>
  </si>
  <si>
    <t>09272448684
09264899307</t>
  </si>
  <si>
    <t>batprovmedcenter@gmail.com</t>
  </si>
  <si>
    <t>4A-0018-26-I-1</t>
  </si>
  <si>
    <t>Cavite</t>
  </si>
  <si>
    <t>Carmona</t>
  </si>
  <si>
    <t>252 san jose st., brgy.2 carmona, cavite</t>
  </si>
  <si>
    <t>PAGAMUTANG BAYAN NG CARMONA</t>
  </si>
  <si>
    <t>Diagnostic X-ray Services (Level 1)</t>
  </si>
  <si>
    <t>Imelda Ledesma-Perez, MD,CFP, MHA</t>
  </si>
  <si>
    <t>(046) 430-1644</t>
  </si>
  <si>
    <t>pbc@carmona.gov.ph</t>
  </si>
  <si>
    <t>Type I, CS No. (F4B838)</t>
  </si>
  <si>
    <t>4A-0029-26-I-1</t>
  </si>
  <si>
    <t>Cavite City</t>
  </si>
  <si>
    <t>Brgy 62 kangkong, samonte park st., cavite city</t>
  </si>
  <si>
    <t>DRA. OLIVIA SALAMANCA MEMORIAL DISTRICT HOSPITAL</t>
  </si>
  <si>
    <t>Remigio D. Camerino</t>
  </si>
  <si>
    <t>(046) 434-6678</t>
  </si>
  <si>
    <t>dosmdh2023@gmail.com</t>
  </si>
  <si>
    <t>4A-0004-26-I-1</t>
  </si>
  <si>
    <t>A diokno st brgy 53-a yakal sangley point cavite city, cavite 4100</t>
  </si>
  <si>
    <t>MAJOR DANILO ATIENZA AIR BASE HOSPITAL</t>
  </si>
  <si>
    <t>PAF</t>
  </si>
  <si>
    <t>Major Mirasol D. Cayabyab</t>
  </si>
  <si>
    <t>mdaabh15th@gmail.com</t>
  </si>
  <si>
    <t>Type I, (SJH-137)</t>
  </si>
  <si>
    <t>n/a</t>
  </si>
  <si>
    <t>4A-0015-26-I-1</t>
  </si>
  <si>
    <t>General Mariano Alvarez</t>
  </si>
  <si>
    <t>Army compound poblacion i gen. Mariano alvarez cavite</t>
  </si>
  <si>
    <t>CARSIGMA DISTRICT HOSPITAL</t>
  </si>
  <si>
    <t>Maria Imelda C. Simon, MD, MHA</t>
  </si>
  <si>
    <t>460-5207</t>
  </si>
  <si>
    <t>carsgigmadh@yahoo.com</t>
  </si>
  <si>
    <t>Type I, B7 C817</t>
  </si>
  <si>
    <t>4A-0025-26-I-1</t>
  </si>
  <si>
    <t>General Trias City</t>
  </si>
  <si>
    <t>Fernando roman subd., brgy. Pinagtipunan, city of general trias, cavite</t>
  </si>
  <si>
    <t>CITY OF GENERAL TRIAS MEDICARE HOSPITAL</t>
  </si>
  <si>
    <t>Pharmacy
Diagnostic X-ray Services (Level 1)</t>
  </si>
  <si>
    <t>Sesinand M. Talosig, MD, MMHOA</t>
  </si>
  <si>
    <t>generaltriashosp2018@gmail.com</t>
  </si>
  <si>
    <t>4A-0028-26-I-1</t>
  </si>
  <si>
    <t>Kawit</t>
  </si>
  <si>
    <t>San sebastian kawit, cavite</t>
  </si>
  <si>
    <t>KAWIT KALAYAAN HOSPITAL</t>
  </si>
  <si>
    <t>Jocelyn C. Caballes, MD, MMHOA</t>
  </si>
  <si>
    <t>(046)438-3498</t>
  </si>
  <si>
    <t>kawitkalayaan@yahoo.com</t>
  </si>
  <si>
    <t>4A-0008-26-I-1</t>
  </si>
  <si>
    <t>Maragondon</t>
  </si>
  <si>
    <t>Garita b maragondon cavite</t>
  </si>
  <si>
    <t>CAVITE MUNICIPAL HOSPITAL</t>
  </si>
  <si>
    <t>Araceli C. Tiu, MD, MBA</t>
  </si>
  <si>
    <t>(046)4120826 / 09082084126</t>
  </si>
  <si>
    <t>cavitemunicipalhospital@yahoo.com</t>
  </si>
  <si>
    <t>4A-0021-26-I-1</t>
  </si>
  <si>
    <t>Existing HF with Changes</t>
  </si>
  <si>
    <t>Physical Medicine and Rehabilitation Unit</t>
  </si>
  <si>
    <t>Naic</t>
  </si>
  <si>
    <t>A. Soriano highway, ibayo silangan, naic, cavite</t>
  </si>
  <si>
    <t>NAIC MEDICARE HOSPITAL</t>
  </si>
  <si>
    <t>Clemevina P. Custodio, MD, MMHOA</t>
  </si>
  <si>
    <t>(046)4120312</t>
  </si>
  <si>
    <t>naicmedicarehospital@gmail.com</t>
  </si>
  <si>
    <t>4A-0020-26-I-1</t>
  </si>
  <si>
    <t>Tagaytay</t>
  </si>
  <si>
    <t>Maitim ii east tagaytay city</t>
  </si>
  <si>
    <t>OSPITAL NG TAGAYTAY</t>
  </si>
  <si>
    <t>Dr. Angelo Huberto O. Daez</t>
  </si>
  <si>
    <t>9-888-9510</t>
  </si>
  <si>
    <t>ospitalngtagaytay.ont@gmail.com</t>
  </si>
  <si>
    <t>Type I, P8 2648</t>
  </si>
  <si>
    <t>4A-0023-26-I-1</t>
  </si>
  <si>
    <t>Tanza</t>
  </si>
  <si>
    <t>Paradahan 2 tanza cavite</t>
  </si>
  <si>
    <t>ARESCOM INFIRMARY</t>
  </si>
  <si>
    <t>Cpt Marco Paulo C. Nabong MC</t>
  </si>
  <si>
    <t>arescom_medicaldispensary@yahoo.com</t>
  </si>
  <si>
    <t>4A-0003-26-I-1</t>
  </si>
  <si>
    <t>Laguna</t>
  </si>
  <si>
    <t>Calamba City</t>
  </si>
  <si>
    <t>Camp vicente lim, canlubang, calamba, laguna</t>
  </si>
  <si>
    <t>POLICE REGIONAL OFFICE 4A HOSPITAL</t>
  </si>
  <si>
    <t>Pcpt .Tara Jane C Lunag</t>
  </si>
  <si>
    <t>rhs4a@ymail.com</t>
  </si>
  <si>
    <t>4A-0024-26-I-1</t>
  </si>
  <si>
    <t>Siniloan</t>
  </si>
  <si>
    <t>Sitio sinarol brgy halayhayin siniloan laguna</t>
  </si>
  <si>
    <t>SINILOAN INFIRMARY HOSPITAL</t>
  </si>
  <si>
    <t>Godfrey A. Acelajado, MD</t>
  </si>
  <si>
    <t>09925147867/09055600481</t>
  </si>
  <si>
    <t>siniloaninfirmary2022@gmail.com</t>
  </si>
  <si>
    <t>Type 1, (NFR 5418) (F5 K725)</t>
  </si>
  <si>
    <t>4A-0013-26-I-1</t>
  </si>
  <si>
    <t>Calauag</t>
  </si>
  <si>
    <t>Maharlika highway brgy. Sumilang calauag, quezon</t>
  </si>
  <si>
    <t>CALAUAG MUNICIPAL HOSPITAL (INFIRMARY)</t>
  </si>
  <si>
    <t>Kristoperson G. Martizano, MD</t>
  </si>
  <si>
    <t>clginfirmary@gmail.com</t>
  </si>
  <si>
    <t>4A-0040-26-I-1</t>
  </si>
  <si>
    <t>Lucena City</t>
  </si>
  <si>
    <t>Camp guillermo nakar, brgy gulang-gulang, lucena city</t>
  </si>
  <si>
    <t>CAMP NAKAR STATION HOSPITAL</t>
  </si>
  <si>
    <t>Ltc James Robert A. honculada</t>
  </si>
  <si>
    <t>042 7850692</t>
  </si>
  <si>
    <t>cnshsolcom@yahoo.com</t>
  </si>
  <si>
    <t>Type  I, (F5 K702) (DAP 7149) (NHN 9228)</t>
  </si>
  <si>
    <t>4A-0009-26-I-1</t>
  </si>
  <si>
    <t>Polillo</t>
  </si>
  <si>
    <t>Polillo - burdeos provincial road, brgy. Sibulan, polillo, quezon</t>
  </si>
  <si>
    <t>QUEZON PROVINCIAL HOSPITAL NETWORK-POLILLO</t>
  </si>
  <si>
    <t>Jolly Grace A. Sta. Lucia, MD, MMHA, FPAFP</t>
  </si>
  <si>
    <t>polillomedicare@gmail.com</t>
  </si>
  <si>
    <t>4A-0006-26-I-1</t>
  </si>
  <si>
    <t>Sampaloc</t>
  </si>
  <si>
    <t>Magsaysay st. Brgy. Bayongon, sampaloc, quezon</t>
  </si>
  <si>
    <t>QUEZON PROVINCIAL HOSPITAL NETWORK - SAMPALOC</t>
  </si>
  <si>
    <t>Raymund Jay R. Sugay, MD, LLB,MHA</t>
  </si>
  <si>
    <t>smch_que@yahoo.com.ph</t>
  </si>
  <si>
    <t>4A-0005-26-I-1</t>
  </si>
  <si>
    <t>San Narciso</t>
  </si>
  <si>
    <t>Abuyon national road brgy. Bayanihan san narciso, quezon</t>
  </si>
  <si>
    <t>QUEZON PROVINCIAL HOSPITAL NETWORK - SAN NARCISO</t>
  </si>
  <si>
    <t>Charlie S. Aban, MD</t>
  </si>
  <si>
    <t>sannarcisomunicipalhospital@yahoo.com</t>
  </si>
  <si>
    <t>Type I, (F3R-330)</t>
  </si>
  <si>
    <t>4A-0033-26-I-1</t>
  </si>
  <si>
    <t>Rizal</t>
  </si>
  <si>
    <t>Jalajala</t>
  </si>
  <si>
    <t>#474 national road, brgy. First district jalajala, rizal</t>
  </si>
  <si>
    <t>RIZAL PROVINCIAL HOSPITAL SYSTEM - YNARES MUNICIPAL HOSPITAL</t>
  </si>
  <si>
    <t>Emerie Gold V. Untong</t>
  </si>
  <si>
    <t>rph_ymh@yahoo.com</t>
  </si>
  <si>
    <t>Type I, B9 S024</t>
  </si>
  <si>
    <t>4A-0035-26-I-1</t>
  </si>
  <si>
    <t>Tanay</t>
  </si>
  <si>
    <t>Camp general mateo capinpin, brgy sampaloc, tanay, rizal</t>
  </si>
  <si>
    <t>ARMY STATION HOSPITAL, 2ND INFANTRY DIVISION, PHILIPPINE ARMY</t>
  </si>
  <si>
    <t>Pharmacy
Diagnostic X-ray Services (Level 2)</t>
  </si>
  <si>
    <t>Mailyn T Panganiban MD</t>
  </si>
  <si>
    <t>armystationhospital@gmail.com</t>
  </si>
  <si>
    <t>Type I, (SAB 4537)</t>
  </si>
  <si>
    <t>4A-0001-26-I-1</t>
  </si>
  <si>
    <t>Marinduque</t>
  </si>
  <si>
    <t>Santa Cruz</t>
  </si>
  <si>
    <t>Brgy. Lapu-lapu</t>
  </si>
  <si>
    <t>STA. CRUZ DISTRICT HOSPITAL</t>
  </si>
  <si>
    <t>Pharmacy
Clinical Laboratory
Level 1 Gen. Radiography</t>
  </si>
  <si>
    <t>Dr. Vincent Arlie T. Vertucio</t>
  </si>
  <si>
    <t>scdh1974@gmail.com</t>
  </si>
  <si>
    <t>1, Type 1 ASP, Plate No. A3 L042, CR No. 308270141</t>
  </si>
  <si>
    <t>4B-0011-26-I-1</t>
  </si>
  <si>
    <t>Torrijos</t>
  </si>
  <si>
    <t>Rizal St.</t>
  </si>
  <si>
    <t>TORRIJOS MUNICIPAL HOSPITAL</t>
  </si>
  <si>
    <t xml:space="preserve">Pharmacy
Clinical Laboratory (Secondary) </t>
  </si>
  <si>
    <t>Dr. Josine Par Oblipias</t>
  </si>
  <si>
    <t>(042) 753-0322</t>
  </si>
  <si>
    <t>torrijosmunicipalhospital@yahoo.com</t>
  </si>
  <si>
    <t>1 / Type 1 / CS No. S9 C606 (temporary plate no. 131210) / CR No. 455647242</t>
  </si>
  <si>
    <t>4B-0019-26-I-1</t>
  </si>
  <si>
    <t>Occidental Mindoro</t>
  </si>
  <si>
    <t>Abra de Ilog</t>
  </si>
  <si>
    <t>L. Venturanza St., Brgy. Poblacion</t>
  </si>
  <si>
    <t>ABRA DE ILOG MUNICIPAL HOSPITAL</t>
  </si>
  <si>
    <t>Pharmacy
Clinical Laboratory 
ASP Type 1/ Conduction Sticker No. F5 J039</t>
  </si>
  <si>
    <t>Dr. Arlene B. Espiritu</t>
  </si>
  <si>
    <t>abradeilogmunicipalhospital@gmail.com</t>
  </si>
  <si>
    <t>1 / Type 1 / CS No. F5 J039 / CR No. 465781352</t>
  </si>
  <si>
    <t>4B-0010-26-I-1</t>
  </si>
  <si>
    <t>Lubang</t>
  </si>
  <si>
    <t>Brgy. Tangal</t>
  </si>
  <si>
    <t>LUBANG DISTRICT HOSPITAL</t>
  </si>
  <si>
    <t xml:space="preserve">Clinical Laboratory
Level 1  Gen. Radiography </t>
  </si>
  <si>
    <t>Vivien V. Valisno, M.D. (Acting Chief of Hsospital)</t>
  </si>
  <si>
    <t>lubangdistricthospital@gmail.com</t>
  </si>
  <si>
    <t>1, Type 1 ASP, Conduction Sticker No. F3 E050, CR No. 38854936-4</t>
  </si>
  <si>
    <t>4B-0001-26-I-1</t>
  </si>
  <si>
    <t>Paluan</t>
  </si>
  <si>
    <t>Alipaoy</t>
  </si>
  <si>
    <t>PALUAN COMMUNITY HOSPITAL</t>
  </si>
  <si>
    <t>Dr. Nino Benedict F. Panopio</t>
  </si>
  <si>
    <t>paluancommhosp@yahoo.com</t>
  </si>
  <si>
    <t>Occidental Mindoro Provincial Hospital</t>
  </si>
  <si>
    <t>4B-0005-26-I-1</t>
  </si>
  <si>
    <t>Brgy. Poblacion II</t>
  </si>
  <si>
    <t>STA. CRUZ COMMUNITY HOSPITAL</t>
  </si>
  <si>
    <t>Pharmacy
Clinical Laboratory</t>
  </si>
  <si>
    <t>Dr. Al Kenneth G. Vitto</t>
  </si>
  <si>
    <t>scchopms@gmail.com</t>
  </si>
  <si>
    <t>4B-0021-26-I-1</t>
  </si>
  <si>
    <t>Oriental Mindoro</t>
  </si>
  <si>
    <t>Bongabong</t>
  </si>
  <si>
    <t>Strong Republic, Natuical Highway, Brgy. Labasan</t>
  </si>
  <si>
    <t>RENATO UMALI REYES HOSPITAL OF BONGABONG</t>
  </si>
  <si>
    <t>Pharmacy
Clinical Laboratory 
Level 1 Gen. Radiography</t>
  </si>
  <si>
    <t>Dr. Levon Franco VRF Baldoza</t>
  </si>
  <si>
    <t>(043) 283-5090</t>
  </si>
  <si>
    <t>rurhospital@yahoo.com</t>
  </si>
  <si>
    <t>1 / Type 1 ASP Plate No. A9Y 194 / CR No. 35423982-6</t>
  </si>
  <si>
    <t>4B-0003-26-I-1</t>
  </si>
  <si>
    <t>Bulalacao</t>
  </si>
  <si>
    <t>Brgy. Campaasan</t>
  </si>
  <si>
    <t>BULALACAO COMMUNITY HOSPITAL</t>
  </si>
  <si>
    <t>Clinical Laboratory
Pharmacy</t>
  </si>
  <si>
    <t>Dr. Josie Ann L. Marca</t>
  </si>
  <si>
    <t>bulcomhosp@gmail.com</t>
  </si>
  <si>
    <t>Oriental Mindoro Southern District Hospital</t>
  </si>
  <si>
    <t>4B-0016-26-I-1</t>
  </si>
  <si>
    <t>Naujan</t>
  </si>
  <si>
    <t>Santiago, District III</t>
  </si>
  <si>
    <t>NAUJAN COMMUNITY HOSPITAL</t>
  </si>
  <si>
    <t xml:space="preserve">Pharmacy
Clinical Laboratory </t>
  </si>
  <si>
    <t>Emmanuel H. Hernandez, MD, MHA</t>
  </si>
  <si>
    <t>nch_md@yahoo.com</t>
  </si>
  <si>
    <t xml:space="preserve">
1, Type 1, CS No. VN 8676 , CR No. 276301421, Plate No. 131204
1, Type 1, Plate No. SND 5356, CR Number: 46578131-5</t>
  </si>
  <si>
    <t>4B-0004-26-I-1</t>
  </si>
  <si>
    <t>Puerto Galera</t>
  </si>
  <si>
    <t>PUERTO GALERA HOSPITAL</t>
  </si>
  <si>
    <t>Level 1 Gen. Radiography</t>
  </si>
  <si>
    <t>Dr. Mark Jorrel F. Flores</t>
  </si>
  <si>
    <t>puertogalerahospital@yahoo.com</t>
  </si>
  <si>
    <t>Luna Goco Medical Center</t>
  </si>
  <si>
    <t>4B-0032-26-I-1</t>
  </si>
  <si>
    <t>Palawan</t>
  </si>
  <si>
    <t>Balabac</t>
  </si>
  <si>
    <t>Brgy. Catagupan, Balabac, Palawan</t>
  </si>
  <si>
    <t>BALABAC DISTRICT HOSPITAL</t>
  </si>
  <si>
    <t>Dr. Marie Ann M. Diamse</t>
  </si>
  <si>
    <t>balabacdistricthospital@gmail.com</t>
  </si>
  <si>
    <t>1 / Type 1 / Plate No. IOK852 / CR # 4268-6669-4</t>
  </si>
  <si>
    <t>4B-0012-26-I-1</t>
  </si>
  <si>
    <t>Cuyo</t>
  </si>
  <si>
    <t>Nueva St., Brgy. Catadman</t>
  </si>
  <si>
    <t>CUYO DISTRICT HOSPITAL</t>
  </si>
  <si>
    <t>Diagnostic X-ray services (Level 1)
Pharmacy 
Clinical Laboratory</t>
  </si>
  <si>
    <t>Dr. Kenneth I. Antonio</t>
  </si>
  <si>
    <t>cuyodistricthospital@gmail.com</t>
  </si>
  <si>
    <t>1/ Type 1 / Plate no. IO EO 25 / CR No. 39817721-1</t>
  </si>
  <si>
    <t>4B-0027-26-I-1</t>
  </si>
  <si>
    <t>Dumaran</t>
  </si>
  <si>
    <t>Sitio Aranlegan, Brgy. Poblacion</t>
  </si>
  <si>
    <t>ARACELI-DUMARAN DISTRICT HOSPITAL</t>
  </si>
  <si>
    <t xml:space="preserve">
Clinical Laboratory </t>
  </si>
  <si>
    <t>Dr. Rhodora Faye F. Zaragoza</t>
  </si>
  <si>
    <t>addistricthospital@gmail.com</t>
  </si>
  <si>
    <t>Northern Palawan Provincial Hospital</t>
  </si>
  <si>
    <t>4B-0009-26-I-1</t>
  </si>
  <si>
    <t>Purok Magsasaka, Brgy. Danleg</t>
  </si>
  <si>
    <t>FRANCISCO FERNANDEZ PONCE DE LEON HOSPITAL</t>
  </si>
  <si>
    <t>Dr. Jocelyn C. Calpito</t>
  </si>
  <si>
    <t>pmh.net2016@gmail.com</t>
  </si>
  <si>
    <t>4B-0024-26-I-1</t>
  </si>
  <si>
    <t>El Nido</t>
  </si>
  <si>
    <t>Barangay Pasedena</t>
  </si>
  <si>
    <t>EL NIDO COMMUNITY HOSPITAL</t>
  </si>
  <si>
    <t>Dr. Robert Angelo A. Arrieta (OIC)</t>
  </si>
  <si>
    <t>elnidocommunityhospitallab2020@gmail.com</t>
  </si>
  <si>
    <t>4B-0002-26-I-1</t>
  </si>
  <si>
    <t>Reservation, Alfonso XIII</t>
  </si>
  <si>
    <t>QUEZON MEDICARE HOSPITAL</t>
  </si>
  <si>
    <t>Dr. Virgilio M. Timario</t>
  </si>
  <si>
    <t>quezonmedicarehospital@gmail.com</t>
  </si>
  <si>
    <t>1 / Type 1 / Conduction Sticker No. 101998 E050 / CR No. 38854936-4</t>
  </si>
  <si>
    <t>4B-0029-26-I-1</t>
  </si>
  <si>
    <t>Purok Pagkakaisa, Brgy. Punta Baja</t>
  </si>
  <si>
    <t>DR. JOSE RIZAL DISTRICT HOSPITAL</t>
  </si>
  <si>
    <t>Dr. Nelia T. Diesta</t>
  </si>
  <si>
    <t>djrdh2019@gmail.com</t>
  </si>
  <si>
    <t>Quezon Medicare Hospital</t>
  </si>
  <si>
    <t>4B-0018-26-I-1</t>
  </si>
  <si>
    <t>National Highway, New Barbaracan</t>
  </si>
  <si>
    <t>ROXAS MEDICARE HOSPITAL</t>
  </si>
  <si>
    <t>Dr. Jeremy P. Laguda (OIC)</t>
  </si>
  <si>
    <t>1 / Type 1 / Plate No. IOE015 / CR No.3981-7825-5</t>
  </si>
  <si>
    <t>4B-0014-26-I-1</t>
  </si>
  <si>
    <t>San Vicente</t>
  </si>
  <si>
    <t>San Isidro</t>
  </si>
  <si>
    <t>SAN VICENTE DISTRICT HOSPITAL</t>
  </si>
  <si>
    <t xml:space="preserve">Pharmacy
Clinical Laboratory
Level 1 Gen. Radiography </t>
  </si>
  <si>
    <t>Dr. Peter Mcgerald E. Penullar</t>
  </si>
  <si>
    <t>sanvicentedh@gmail.com</t>
  </si>
  <si>
    <t>4B-0007-26-I-1</t>
  </si>
  <si>
    <t>Sofronio Española</t>
  </si>
  <si>
    <t>H. Gubat St., Bukubundukin, Brgy. Pulot Center</t>
  </si>
  <si>
    <t>SOFRONIO ESPANOLA DISTRICT HOSPITAL</t>
  </si>
  <si>
    <t>Pharmacy
Clinical Laboratory with Clinical Chemistry (electrolytes)</t>
  </si>
  <si>
    <t>Dr. Josie Linda A. Ermita (OIC)</t>
  </si>
  <si>
    <t>pgpsedh2021@gmail.com</t>
  </si>
  <si>
    <t>Narra Municipal Hospital</t>
  </si>
  <si>
    <t>4B-0022-26-I-1</t>
  </si>
  <si>
    <t>Romblon</t>
  </si>
  <si>
    <t>Cajidiocan</t>
  </si>
  <si>
    <t>Lapu-lapu</t>
  </si>
  <si>
    <t>SIBUYAN DISTRICT HOSPITAL</t>
  </si>
  <si>
    <t>Dr. Oliver A. Fetalvero (OIC)</t>
  </si>
  <si>
    <t>1, Type 1 ASP, Plate No. P5Q 335 CR# 385942701</t>
  </si>
  <si>
    <t>4B-0020-26-I-1</t>
  </si>
  <si>
    <t>Corcuera</t>
  </si>
  <si>
    <t>MALIPAYON DISTRICT HOSPITAL</t>
  </si>
  <si>
    <t>Lino Marcus M. Viola III, MD</t>
  </si>
  <si>
    <t>malipayondistricthospital@gmail.com</t>
  </si>
  <si>
    <t>Romblon Provincial Hospital</t>
  </si>
  <si>
    <t>4B-0017-26-I-1</t>
  </si>
  <si>
    <t>Looc</t>
  </si>
  <si>
    <t>Brgy. Punta</t>
  </si>
  <si>
    <t>DON MODESTO FORMILLEZA SR. MEMORIAL HOSPITAL</t>
  </si>
  <si>
    <t>Pharmacy
Clinical Laboratory
Level 1- 1. Gen. Radiography</t>
  </si>
  <si>
    <t>Dr. Renato R. Menrige</t>
  </si>
  <si>
    <t>dmfsmh_looc1992@yahoo.com</t>
  </si>
  <si>
    <t>1, Type 1 ASP, Conduction Sticker No. F5J025, CR No. 46578126-0</t>
  </si>
  <si>
    <t>4B-0033-26-I-1</t>
  </si>
  <si>
    <t>San Agustin</t>
  </si>
  <si>
    <t>Brgy. Poblacion</t>
  </si>
  <si>
    <t>TABLAS ISLAND DISTRICT HOSPITAL</t>
  </si>
  <si>
    <t>Clinical Laboratory (Primary)
Pharmacy</t>
  </si>
  <si>
    <t>Dr. Ju Maru F. Fernandez (Acting COH)</t>
  </si>
  <si>
    <t>tidh2015@gmail.com</t>
  </si>
  <si>
    <t>4B-0028-26-I-1</t>
  </si>
  <si>
    <t>San Andres</t>
  </si>
  <si>
    <t>SAN ANDRES MUNICIPAL HOSPITAL</t>
  </si>
  <si>
    <t>Dr. Pierre Josef G. Fineza</t>
  </si>
  <si>
    <t>sanandresmunicipalhospital@gmail.com</t>
  </si>
  <si>
    <t>4B-0006-26-I-1</t>
  </si>
  <si>
    <t>San Jose</t>
  </si>
  <si>
    <t>SAN JOSE DISTRICT HOSPITAL</t>
  </si>
  <si>
    <t>Dr. Eugene N. Sionosa</t>
  </si>
  <si>
    <t>sanjosedistricthospital_romblon@yahoo.com</t>
  </si>
  <si>
    <t>Don Modesto Formilleza Sr. Hospital</t>
  </si>
  <si>
    <t>4B-0031-26-I-1</t>
  </si>
  <si>
    <t>Albay</t>
  </si>
  <si>
    <t>Bacacay</t>
  </si>
  <si>
    <t>Zone 2, Cabasan, Bacacay, Albay</t>
  </si>
  <si>
    <t>CAGRARAY DISTRICT HOSPITAL</t>
  </si>
  <si>
    <t>Loreto C. Capellan, MD</t>
  </si>
  <si>
    <t>cagrarayhospital@gmail.com</t>
  </si>
  <si>
    <t>1 unit</t>
  </si>
  <si>
    <t>Dr. Lorenzo P. Ziga Memorial District Hospital</t>
  </si>
  <si>
    <t>05-0046-26-I-1</t>
  </si>
  <si>
    <t>Libon</t>
  </si>
  <si>
    <t>Purok Maya-Maya, Pantao, Libon, Albay</t>
  </si>
  <si>
    <t>PANTAO DISTRICT HOSPITAL</t>
  </si>
  <si>
    <t>X-Ray (Level 1) Clinical Laboratory (Primary) Additional Services for Clinical Laboratory Examination: AST and ALT</t>
  </si>
  <si>
    <t>Rene Aldecoa, MD</t>
  </si>
  <si>
    <t>09669158902</t>
  </si>
  <si>
    <t>pantaodistricthospital@gmail.com</t>
  </si>
  <si>
    <t>JosefINA BELMONTE DURAN ALBAY PROVINCIAL HOSPITAL</t>
  </si>
  <si>
    <t>05-0041-26-I-1</t>
  </si>
  <si>
    <t>Manito</t>
  </si>
  <si>
    <t>P-7 J. Sañez St., IT-BA, (Poblacion) Manito, Albay</t>
  </si>
  <si>
    <t>MANITO MUNICIPAL HOSPITAL</t>
  </si>
  <si>
    <t>COLLEEN R. QUINTANO, MD</t>
  </si>
  <si>
    <t>9463326193</t>
  </si>
  <si>
    <t>manitomunicipal@yahoo.com</t>
  </si>
  <si>
    <t>05-0021-26-I-1</t>
  </si>
  <si>
    <t>Pio Duran</t>
  </si>
  <si>
    <t>Caratagan, Pioduran, Albay (05/29/2026)</t>
  </si>
  <si>
    <t>PIO DURAN MEMORIAL DISTRICT HOSPITAL</t>
  </si>
  <si>
    <t>PHARMACY 
Medical X-Ray Facility (Level 1)</t>
  </si>
  <si>
    <t>Aires O. Perillo. MD</t>
  </si>
  <si>
    <t>pdmdhpioduran@gmail.com</t>
  </si>
  <si>
    <t>1, Type 1, Plate No. 030102,
 CR No. 442159336</t>
  </si>
  <si>
    <t>05-0023-26-I-1</t>
  </si>
  <si>
    <t>Transferred</t>
  </si>
  <si>
    <t>Camarines Norte</t>
  </si>
  <si>
    <t>Capalonga</t>
  </si>
  <si>
    <t>Purok 6, Catioan, 1st District, Capalonga, Camarines Norte</t>
  </si>
  <si>
    <t>CAPALONGA MEDICARE AND COMMUNITY HOSPITAL</t>
  </si>
  <si>
    <t xml:space="preserve">Clinical Laboratory (Primary)
ASP </t>
  </si>
  <si>
    <t>RACHELLE O. DIEZMO, MD</t>
  </si>
  <si>
    <t>cmch_1975@yahoo.com</t>
  </si>
  <si>
    <t>1, Type 1, Plate No. SND1494 CR. NO. 0075322762</t>
  </si>
  <si>
    <t>05-0031-26-I-1</t>
  </si>
  <si>
    <t>Santa Elena</t>
  </si>
  <si>
    <t>San Pedro, Santa Elena, Camarines Norte</t>
  </si>
  <si>
    <t>CAMARINES NORTE PROVINCIAL HOSPITAL ANNEX (STA. ELENA DISTRICT HOSPITAL)</t>
  </si>
  <si>
    <t>RAYMOND V. LUZARRAGA, MD</t>
  </si>
  <si>
    <t>9399339631</t>
  </si>
  <si>
    <t>staelenadistricthospital@gmail.com</t>
  </si>
  <si>
    <t>CAMARINES NORTE PROVINCIAL HOSPITAL</t>
  </si>
  <si>
    <t>05-0029-26-I-1</t>
  </si>
  <si>
    <t>Camarines Sur</t>
  </si>
  <si>
    <t>Caramoan</t>
  </si>
  <si>
    <t>Tawog, Caramoan, Camarines Sur</t>
  </si>
  <si>
    <t>CARAMOAN MUNICIPAL HOSPITAL</t>
  </si>
  <si>
    <t>Dr. Evelio C. Gongora</t>
  </si>
  <si>
    <t>0917-523-0466</t>
  </si>
  <si>
    <t>caramoan_mh@yahoo.com</t>
  </si>
  <si>
    <t>San Jose Medicare Community Hospital</t>
  </si>
  <si>
    <t>05-0050-26-I-1</t>
  </si>
  <si>
    <t>Garchitorena</t>
  </si>
  <si>
    <t>81 Catnob, Pambuhan, Garchitorena, Camarines Sur</t>
  </si>
  <si>
    <t>GARCHITORENA MEDICARE COMMUNITY HOSPITAL</t>
  </si>
  <si>
    <t>DR. SIMONETTE H. DE CHAVEZ</t>
  </si>
  <si>
    <t>gmch.camsur@gmail.com</t>
  </si>
  <si>
    <t>1, Type 1, Plate No. 130107, MV File No.130100001527660</t>
  </si>
  <si>
    <t>05-0047-26-I-1</t>
  </si>
  <si>
    <t>Goa</t>
  </si>
  <si>
    <t>ZONE 2, TAGONGTONG, GOA, CAMARINES SUR</t>
  </si>
  <si>
    <t>GOA MUNICIPAL INFIRMARY</t>
  </si>
  <si>
    <t>Dr. Mario T. Pan III</t>
  </si>
  <si>
    <t>goamunicipalinfirmary3@gmail.com</t>
  </si>
  <si>
    <t>05-0053-26-I-1</t>
  </si>
  <si>
    <t>Naga City</t>
  </si>
  <si>
    <t>Zone 2, Km.12, Carolina, Naga City</t>
  </si>
  <si>
    <t>OUR LADY OF LOURDES INFIRMARY</t>
  </si>
  <si>
    <t>ASP Type 1</t>
  </si>
  <si>
    <t>Dr. Ronaldo T. Amoranto</t>
  </si>
  <si>
    <t>09175803307</t>
  </si>
  <si>
    <t>ollicarolina15@gmail.com
olli@naga.gov.ph</t>
  </si>
  <si>
    <t>1, Type 1, Plate No. FOA048, CR No. 307462260</t>
  </si>
  <si>
    <t>05-0033-26-I-1</t>
  </si>
  <si>
    <t>Ocampo</t>
  </si>
  <si>
    <t>Hanawan, Ocampo, Camarines Sur</t>
  </si>
  <si>
    <t>OCAMPO MUNICIPAL HOSPITAL</t>
  </si>
  <si>
    <t>Azuero B. Baesa, MD</t>
  </si>
  <si>
    <t>ocampomunicipalhosp@yahoo.com</t>
  </si>
  <si>
    <t>05-0042-26-I-1</t>
  </si>
  <si>
    <t>Pili</t>
  </si>
  <si>
    <t>9th Infantry Division, Camp Elias Angeles Station,San Jose, Pili, Camarines Sur</t>
  </si>
  <si>
    <t>CAMP ELIAS ANGELES STATION HOSPITAL</t>
  </si>
  <si>
    <t>ASP 1 unit, Type 1</t>
  </si>
  <si>
    <t>DR. JULIAN GUALBERTO G. DELLOSA</t>
  </si>
  <si>
    <t>ceash2014@gmail.com</t>
  </si>
  <si>
    <t xml:space="preserve">1, Type 1, Plate No. TIM 371, CR No. 14127542-2
</t>
  </si>
  <si>
    <t>05-0017-26-I-1</t>
  </si>
  <si>
    <t>Ragay</t>
  </si>
  <si>
    <t>Zone 7, Poblacion Ilaod, 1st District, Ragay, Camarines Sur</t>
  </si>
  <si>
    <t>RAGAY DISTRICT HOSPITAL</t>
  </si>
  <si>
    <t>Clinical Laboratory (Primary), 
Pharmacy, X-Ray Level 1
Mobile Clinical Laboratory</t>
  </si>
  <si>
    <t>Dr. Ma. Cecilia C. Del Gallego</t>
  </si>
  <si>
    <t>ragaydistricthospital@gmail.com</t>
  </si>
  <si>
    <t>Sipocot District Hospital</t>
  </si>
  <si>
    <t>05-0025-26-I-1</t>
  </si>
  <si>
    <t>Sagñay</t>
  </si>
  <si>
    <t>San Roque, Sagñay, Camarines Sur</t>
  </si>
  <si>
    <t>SAGÑAY INFIRMARY</t>
  </si>
  <si>
    <t>ASP type 1</t>
  </si>
  <si>
    <t>Dr. Roy Crispin Jurado</t>
  </si>
  <si>
    <t>0911440679</t>
  </si>
  <si>
    <t>sagnayinfirmary@gmail.com</t>
  </si>
  <si>
    <t>AMBULANCE 1, Type 1, F3R179, CR No. 227983803</t>
  </si>
  <si>
    <t>05-0037-26-I-1</t>
  </si>
  <si>
    <t>Del Carmen, San Jose, Camarines Sur</t>
  </si>
  <si>
    <t>SAN JOSE MEDICARE COMMUNITY HOSPITAL</t>
  </si>
  <si>
    <t>Clinical Laboratory
Xray Level 2
Pharmacy
ASP 1 Type 1</t>
  </si>
  <si>
    <t>Dr. Edsel B. Caceres</t>
  </si>
  <si>
    <t>9209004923</t>
  </si>
  <si>
    <t>partido.district.hospital@gmail.com</t>
  </si>
  <si>
    <t>1, TYPE I, PLATO NO. F3J722 CR. NO.: 0016229101</t>
  </si>
  <si>
    <t>05-0054-26-I-1</t>
  </si>
  <si>
    <t>Suspension of LTO effective 26 March 2025, with services to be offered on OPD basis only, such as ER Services, Out-Patient Consultations, Pharmacy Services, Laboratory Services, X-ray Services and Ambulance Transport. Provided that patients seen at the OPD be stabilized but not admitted or if warranted, refer patient to higher level facility</t>
  </si>
  <si>
    <t>Sipocot</t>
  </si>
  <si>
    <t>National Road, South Centro, Sipocot, Camarines Sur</t>
  </si>
  <si>
    <t>SIPOCOT DISTRICT HOSPITAL</t>
  </si>
  <si>
    <t>X-Ray (Level 1)
ASP 
 Dental Clinic 
Pharmacy</t>
  </si>
  <si>
    <t>DR. STANFRED OCOMA</t>
  </si>
  <si>
    <t>0548810766</t>
  </si>
  <si>
    <t>sipocotdistricthospital2015@gmail.com/
sipocotdistricthospitalnew@yahoo.com</t>
  </si>
  <si>
    <t>Type 1, Plate No. F3R 185, CR No. 38608296-6</t>
  </si>
  <si>
    <t>05-0045-26-I-1</t>
  </si>
  <si>
    <t>Siruma</t>
  </si>
  <si>
    <t>Zone 3, Batugan St. Poblacion, Siruma, Camarines Sur</t>
  </si>
  <si>
    <t>SIRUMA MUNICIPAL HOSPITAL</t>
  </si>
  <si>
    <t>TEOBIE M. PEREZ, MD</t>
  </si>
  <si>
    <t>9260494026
9999706234</t>
  </si>
  <si>
    <t>sirumamunicipalhospital@gmail.com</t>
  </si>
  <si>
    <t>Libmanan District Hospital</t>
  </si>
  <si>
    <t>05-0012-26-I-1</t>
  </si>
  <si>
    <t>Tigaon</t>
  </si>
  <si>
    <t>Caraycayon, Tigaon, Camarines Sur</t>
  </si>
  <si>
    <t>TIGAON PRIMARY HOSPITAL</t>
  </si>
  <si>
    <t>Clinical Laboratory (Primary)
ASP 2 units, Type 1</t>
  </si>
  <si>
    <t>Dr. Eliane Madelle B. Texon</t>
  </si>
  <si>
    <t>9171128248</t>
  </si>
  <si>
    <t>tigaoninfirmary_hospital@yahoo.com</t>
  </si>
  <si>
    <t>2 units:
1, Type 1, Plate No. F3R180 CR No. 227985855
1, Type 1, Plate No. F3R183 CR No. 227985844</t>
  </si>
  <si>
    <t>05-0039-26-I-1</t>
  </si>
  <si>
    <t>Tinambac</t>
  </si>
  <si>
    <t>Zone 1, Sogod, Tinambac, Camarines Sur</t>
  </si>
  <si>
    <t>TINAMBAC MEDICARE COMMUNITY HOSPITAL</t>
  </si>
  <si>
    <t>KEESHA MARIEL ALIMON, MD</t>
  </si>
  <si>
    <t>09157762556</t>
  </si>
  <si>
    <t>tinambacmch@gmail.com</t>
  </si>
  <si>
    <t>05-0032-26-I-1</t>
  </si>
  <si>
    <t>Zone 2, Binalay, Tinambac, Camarines Sur</t>
  </si>
  <si>
    <t>TINAMBAC MUNICIPAL HOSPITAL</t>
  </si>
  <si>
    <t>ASP Type 1
Clinical Laboratory (Primary)
X-ray Level One (I)
Add-On Services for Primary Clinical Laboratory: Sodium (Na), Potassium (K), Chloride (Cl), Ionized Calcium (iCa), Ionized Magnesium (iMg), Troponin I (TropI), Aspartate Aminotransferase (AST) and Alanine Aminotransferase (ALT)</t>
  </si>
  <si>
    <t>REINA ROSE D. PEREZ, MD</t>
  </si>
  <si>
    <t>09095622599</t>
  </si>
  <si>
    <t>tinambacmunicipal_hospital@yahoo.com</t>
  </si>
  <si>
    <t>1, Type 1, Plate No. 050104, CR No. 345328233</t>
  </si>
  <si>
    <t>05-0036-26-I-1</t>
  </si>
  <si>
    <t>Catanduanes</t>
  </si>
  <si>
    <t>Bato</t>
  </si>
  <si>
    <t>Tamburan, Bato, Catanduanes</t>
  </si>
  <si>
    <t>BATO MATERNITY &amp; CHILDREN'S HOSPITAL</t>
  </si>
  <si>
    <t>Clinical Laboratory
Pharmacy
Xray Level 2</t>
  </si>
  <si>
    <t>DR. SHANGRILA MAY BERGONIO</t>
  </si>
  <si>
    <t>bmch1965@gmail.com</t>
  </si>
  <si>
    <t>Virac Municipal Health Office</t>
  </si>
  <si>
    <t>05-0028-26-I-1</t>
  </si>
  <si>
    <t>Caramoran</t>
  </si>
  <si>
    <t>San Roque St., Datag West, Caramoran, Catanduanes</t>
  </si>
  <si>
    <t>CARAMORAN MUNICIPAL HOSPITAL</t>
  </si>
  <si>
    <t>Dr. Perlasita G. Buendia</t>
  </si>
  <si>
    <t>09398910368</t>
  </si>
  <si>
    <t>cmh_datag@yahoo.com</t>
  </si>
  <si>
    <t>05-0019-26-I-1</t>
  </si>
  <si>
    <t>Gigmoto</t>
  </si>
  <si>
    <t>Magsaysay St., District II, Gigmoto, Catanduanes</t>
  </si>
  <si>
    <t>GIGMOTO DISTRICT HOSPITAL</t>
  </si>
  <si>
    <t>Clinical Laboratory 
Pharmacy</t>
  </si>
  <si>
    <t>KAYE LORAINE T. TUTANES, MD</t>
  </si>
  <si>
    <t>gigmotodistricthospital@yahoo.com</t>
  </si>
  <si>
    <t>Immaculate Heart of Mary Hospital, Inc</t>
  </si>
  <si>
    <t>05-0049-26-I-1</t>
  </si>
  <si>
    <t>Masbate</t>
  </si>
  <si>
    <t>Aroroy</t>
  </si>
  <si>
    <t>Purok 1, Jaboyoan, Aroroy, Masbate</t>
  </si>
  <si>
    <t>AROROY MUNICIPAL HOSPITAL</t>
  </si>
  <si>
    <t>Pharmacy,
Dental Clinic</t>
  </si>
  <si>
    <t>Dr. Ma. Katrina B. Almonte</t>
  </si>
  <si>
    <t>aroroymunicipalhosp@gmail.com</t>
  </si>
  <si>
    <t>Masbate Provincial Hospital</t>
  </si>
  <si>
    <t>05-0027-26-I-1</t>
  </si>
  <si>
    <t>Balud</t>
  </si>
  <si>
    <t>Estrella St., Poblacion, Balud, Masbate</t>
  </si>
  <si>
    <t>BALUD MUNICIPAL HOSPITAL</t>
  </si>
  <si>
    <t>JOAN G. AUSTERO, RN, MD</t>
  </si>
  <si>
    <t>9454017289</t>
  </si>
  <si>
    <t>baludhospital.official@gmail.com</t>
  </si>
  <si>
    <t>05-0048-26-I-1</t>
  </si>
  <si>
    <t>Cawayan</t>
  </si>
  <si>
    <t>RIVERAL STREET, POBLACION, CAWAYAN. MASBATE</t>
  </si>
  <si>
    <t>CAWAYAN MUNICIPAL HOSPITAL</t>
  </si>
  <si>
    <t xml:space="preserve">Clinical Laboratory (Primary)
PHARMACY
</t>
  </si>
  <si>
    <t>DR. AILLENE A. CONDOR-MALAGAD</t>
  </si>
  <si>
    <t>cawayan.hospital@gmail.com</t>
  </si>
  <si>
    <t>05-0035-26-I-1</t>
  </si>
  <si>
    <t>Claveria</t>
  </si>
  <si>
    <t>Poblacion, District No. 1, Claveria, Masbate</t>
  </si>
  <si>
    <t>CLAVERIA DISTRICT HOSPITAL</t>
  </si>
  <si>
    <t>Pharmacy, 
Clinical Laboratory (Primary)</t>
  </si>
  <si>
    <t>Glenn M. Andueza, MD</t>
  </si>
  <si>
    <t>09218465636/
09982874272</t>
  </si>
  <si>
    <t>claveriadistricthospital@gmail.com</t>
  </si>
  <si>
    <t>05-0022-26-I-1</t>
  </si>
  <si>
    <t>Dimasalang</t>
  </si>
  <si>
    <t>G. Aliño, Dimasalang, Masbate</t>
  </si>
  <si>
    <t>MOISES R. ESPINOSA SR. MEMORIAL MUNICIPAL HOSPITAL</t>
  </si>
  <si>
    <t xml:space="preserve">Pharmacy
Clnical Laboratory (Primary) with add-ons: Serum electrolytes, H. Pylori Ab and S. Typhi
</t>
  </si>
  <si>
    <t>BRET H. CO, MD</t>
  </si>
  <si>
    <t>moisesresmmh@gmail.com</t>
  </si>
  <si>
    <t>1, Type 1, Plate No. SND 1493 Cr. No. 0042187215</t>
  </si>
  <si>
    <t>05-0026-26-I-1</t>
  </si>
  <si>
    <t>Mandaon</t>
  </si>
  <si>
    <t>Laguinbanua, Mandaon, Masbate</t>
  </si>
  <si>
    <t>MANDAON MEDICARE COMMUNITY HOSPITAL</t>
  </si>
  <si>
    <t>Dr. Salvador C. Estipona</t>
  </si>
  <si>
    <t>mmchlaguinbanua@gmail.com</t>
  </si>
  <si>
    <t>05-0038-26-I-1</t>
  </si>
  <si>
    <t>San Jacinto</t>
  </si>
  <si>
    <t>Amican, District No. 1, San Jacinto, Masbate</t>
  </si>
  <si>
    <t>TICAO DISTRICT HOSPITAL</t>
  </si>
  <si>
    <t>Cilnical Laboratory
Pharmacy
Dental Clinic
ASP Type 1</t>
  </si>
  <si>
    <t>Dr. Jinkee T. Dejumo-Delavin</t>
  </si>
  <si>
    <t>tdhservicetothepeople@gmail.com</t>
  </si>
  <si>
    <t>1 unit, Type 1, Plate No. SND1284</t>
  </si>
  <si>
    <t>05-0007-26-I-1</t>
  </si>
  <si>
    <t>Sorsogon</t>
  </si>
  <si>
    <t>Bulan</t>
  </si>
  <si>
    <t>Sitio Pawa, Lajong, Bulan, Sorsogon</t>
  </si>
  <si>
    <t>BULAN MEDICARE HOSPITAL</t>
  </si>
  <si>
    <t>Pharmacy, Clinical Laboratory (Primary) with Add-on Services (Na,K,Cl,Ca, AST, ALT)</t>
  </si>
  <si>
    <t>JEROME G. ESCAÑO, MD</t>
  </si>
  <si>
    <t>09491344356</t>
  </si>
  <si>
    <t>bmh@sorsogon.gov.ph</t>
  </si>
  <si>
    <t>Sorsogon Provincial Hospital</t>
  </si>
  <si>
    <t>05-0009-26-I-1</t>
  </si>
  <si>
    <t>J. De Castro St., Aguada Norte , Magallanes, Sorsogon</t>
  </si>
  <si>
    <t>MAGALLANES MEDICARE HOSPITAL</t>
  </si>
  <si>
    <t>DR.  ROSARIO T. BORJA</t>
  </si>
  <si>
    <t>mgmh@sorsogon.gov.ph</t>
  </si>
  <si>
    <t>05-0003-26-I-1</t>
  </si>
  <si>
    <t>Matnog</t>
  </si>
  <si>
    <t>Purok 3, Brgy. Gadgaron, Matnog, Sorsogon</t>
  </si>
  <si>
    <t>MATNOG MEDICARE HOSPITAL</t>
  </si>
  <si>
    <t>Clinical Laboratory (Primary) with AST, ALT, Electrolytes</t>
  </si>
  <si>
    <t>Arlene D. Brinces, MD</t>
  </si>
  <si>
    <t>mtmh@sorsogon.gov.ph</t>
  </si>
  <si>
    <t>05-0001-26-I-1</t>
  </si>
  <si>
    <t>Prieto Diaz</t>
  </si>
  <si>
    <t>Burgos St., Rizal, Prieto Diaz, Sorsogon</t>
  </si>
  <si>
    <t>PRIETO DIAZ MEDICARE HOSPITAL</t>
  </si>
  <si>
    <t>Zarah Jane R. Nate, MD</t>
  </si>
  <si>
    <t>pmh@sorsogon.gov.ph</t>
  </si>
  <si>
    <t>05-0018-26-I-1</t>
  </si>
  <si>
    <t>Aklan</t>
  </si>
  <si>
    <t>Altavas</t>
  </si>
  <si>
    <t>GODOFREDO P. RAMOS HOSPITAL</t>
  </si>
  <si>
    <t>Dr. Julius R. Gonzales</t>
  </si>
  <si>
    <t>036-269-1069</t>
  </si>
  <si>
    <t>altavasdistricthospital@yahoo.com</t>
  </si>
  <si>
    <t>1/ Type II</t>
  </si>
  <si>
    <t>06-0020-26-I-1</t>
  </si>
  <si>
    <t>Buruanga</t>
  </si>
  <si>
    <t>BURUANGA MUNICIPAL HOSPITAL</t>
  </si>
  <si>
    <t>Dr. Niño Jeryl S. Dela Torre</t>
  </si>
  <si>
    <t>0966-492-3602</t>
  </si>
  <si>
    <t>buruangamh1974@yahoo.com</t>
  </si>
  <si>
    <t>MOU</t>
  </si>
  <si>
    <t>Ciriaco S. Tirol Hospital</t>
  </si>
  <si>
    <t>06-0022-26-I-1</t>
  </si>
  <si>
    <t>Ibajay</t>
  </si>
  <si>
    <t>Agbago</t>
  </si>
  <si>
    <t>IBAJAY DISTRICT HOSPITAL</t>
  </si>
  <si>
    <t>Diagnostic X-ray (Level 1), Pharmacy, Add on Services for CL: Cardiac Markers, Thyroid Function Test, Tumor Markers</t>
  </si>
  <si>
    <t>Dr. Mary Jean A.Gelito</t>
  </si>
  <si>
    <t>036-289-2011</t>
  </si>
  <si>
    <t>ibajaydistricthospital@yahoo.com</t>
  </si>
  <si>
    <t>1/ Type I</t>
  </si>
  <si>
    <t>06-0008-26-I-1</t>
  </si>
  <si>
    <t>Libacao</t>
  </si>
  <si>
    <t>9 De Mayo, Poblacion</t>
  </si>
  <si>
    <t>LIBACAO MUNICIPAL INFIRMARY</t>
  </si>
  <si>
    <t>Dr. Stig U. Valencia</t>
  </si>
  <si>
    <t>036-273-2108</t>
  </si>
  <si>
    <t>lmh.aklan@gmail.com</t>
  </si>
  <si>
    <t>Dr. Rafael S. Tumbokon Memorial Hospital</t>
  </si>
  <si>
    <t>06-0017-26-I-1</t>
  </si>
  <si>
    <t>Madalag</t>
  </si>
  <si>
    <t>Sto. Rosario Street Extension, Poblacion</t>
  </si>
  <si>
    <t>DON LEOVIGILDO N. DIAPO, SR. MUNICIPAL HOSPITAL</t>
  </si>
  <si>
    <t>Dr. Stevens N. Fuentes</t>
  </si>
  <si>
    <t>0919-501-5820</t>
  </si>
  <si>
    <t>dlndsmh85@gmail.com</t>
  </si>
  <si>
    <t>06-0016-26-I-1</t>
  </si>
  <si>
    <t>Malay</t>
  </si>
  <si>
    <t>Motag</t>
  </si>
  <si>
    <t>MALAY MUNICIPAL HOSPITAL</t>
  </si>
  <si>
    <t>Pharmacy, Add on Services for CL: ALT (SGPT), AST (SGOT), Gram Stain</t>
  </si>
  <si>
    <t>Dr. Jeneth P. Japitana</t>
  </si>
  <si>
    <t>0951-294-5402</t>
  </si>
  <si>
    <t>malaymunicipalhospital@gmail.com</t>
  </si>
  <si>
    <t>06-0007-26-I-1</t>
  </si>
  <si>
    <t>Antique</t>
  </si>
  <si>
    <t>Barbaza</t>
  </si>
  <si>
    <t>Barangay Lisub</t>
  </si>
  <si>
    <t>PEDRO L GINDAP MUNICIPAL HOSPITAL</t>
  </si>
  <si>
    <t>Diagnostic X-ray (Level 1), Pharmacy</t>
  </si>
  <si>
    <t>Dr. Rita P. Gindap</t>
  </si>
  <si>
    <t>036-641-3401</t>
  </si>
  <si>
    <t>plgmhospital@gmail.com</t>
  </si>
  <si>
    <t>06-0001-26-I-1</t>
  </si>
  <si>
    <t>Bugasong</t>
  </si>
  <si>
    <t>Ilaures</t>
  </si>
  <si>
    <t>BUGASONG MEDICARE COMMUNITY HOSPITAL</t>
  </si>
  <si>
    <t>Dr. Mary Precious M. Travina</t>
  </si>
  <si>
    <t>0936-672-9610</t>
  </si>
  <si>
    <t>bugasongmch@yahoo.com</t>
  </si>
  <si>
    <t>Pedro L. Gindap Municipal Hospital</t>
  </si>
  <si>
    <t>06-0010-26-I-1</t>
  </si>
  <si>
    <t>Pandan</t>
  </si>
  <si>
    <t>Barangay Bagumbayan</t>
  </si>
  <si>
    <t>JUSTICE CALIXTO O. ZALDIVAR MEMORIAL HOSPITAL</t>
  </si>
  <si>
    <t>Dr. Melendie H. Fabila-Sanchez</t>
  </si>
  <si>
    <t>0919-4799-696</t>
  </si>
  <si>
    <t>jcozmh_hospital@yahoo.com</t>
  </si>
  <si>
    <t>Culasi District Hospital</t>
  </si>
  <si>
    <t>06-0009-26-I-1</t>
  </si>
  <si>
    <t>Sebaste</t>
  </si>
  <si>
    <t>Azucena Extension</t>
  </si>
  <si>
    <t>SEBASTE COMMUNITY HOSPITAL</t>
  </si>
  <si>
    <t>Dr. Uldarico L. Babayen-on Jr.</t>
  </si>
  <si>
    <t>0945-136-7487</t>
  </si>
  <si>
    <t>sebastehospital@yahoo.com</t>
  </si>
  <si>
    <t xml:space="preserve">
N/A</t>
  </si>
  <si>
    <t>06-0006-26-I-1</t>
  </si>
  <si>
    <t>Tobias Fornier</t>
  </si>
  <si>
    <t>Abaca</t>
  </si>
  <si>
    <t>PRES. DIOSDADO MACAPAGAL DISTRICT HOSPITAL</t>
  </si>
  <si>
    <t>Dr. Mary Jocelyn A. Polido</t>
  </si>
  <si>
    <t>0915-532-3325</t>
  </si>
  <si>
    <t>pdmdh@yahoo.com</t>
  </si>
  <si>
    <t>Ramon Maza Sr. Memorial Hospital</t>
  </si>
  <si>
    <t>06-0003-26-I-1</t>
  </si>
  <si>
    <t>Valderrama</t>
  </si>
  <si>
    <t>Legaspi Street, Brgy. Ubos</t>
  </si>
  <si>
    <t>VALDERRAMA MUNICIPAL HOSPITAL</t>
  </si>
  <si>
    <t>Dr. Estelita Maguad</t>
  </si>
  <si>
    <t>0936-744-5362</t>
  </si>
  <si>
    <t>vmh@antique.gov.ph</t>
  </si>
  <si>
    <t>06-0002-26-I-1</t>
  </si>
  <si>
    <t>Capiz</t>
  </si>
  <si>
    <t>Jamindan</t>
  </si>
  <si>
    <t>Brgy. Jaena Norte</t>
  </si>
  <si>
    <t>CAMP PERALTA STATION HOSPITAL</t>
  </si>
  <si>
    <t>Diagnostic X-ray, Pharmacy</t>
  </si>
  <si>
    <t>LTC Jussel Parlan MC</t>
  </si>
  <si>
    <t>0970-575-1010</t>
  </si>
  <si>
    <t>campperaltastation_hospital@yahoo.com</t>
  </si>
  <si>
    <t>06-0012-26-I-1</t>
  </si>
  <si>
    <t>Tapaz</t>
  </si>
  <si>
    <t>Brgy. Switch</t>
  </si>
  <si>
    <t>TAPAZ DISTRICT HOSPITAL</t>
  </si>
  <si>
    <t>Diagnostic X-ray (Level1), Add on services for CL-Thyroid Function Test, Troponin I, HbA1c, Pharmacy</t>
  </si>
  <si>
    <t>Dr. Jean Gloria</t>
  </si>
  <si>
    <t>09637-675-425</t>
  </si>
  <si>
    <t>tapazdistricthospitalcapiz@gmail.com</t>
  </si>
  <si>
    <t>Sen. Gerardo M. Roxas Memorial District Hospital</t>
  </si>
  <si>
    <t>06-0015-26-I-1</t>
  </si>
  <si>
    <t>Guimaras</t>
  </si>
  <si>
    <t>Buenavista</t>
  </si>
  <si>
    <t>Mclain</t>
  </si>
  <si>
    <t>BUENAVISTA EMERGENCY HOSPITAL</t>
  </si>
  <si>
    <t>Dr. Estila F. Sullivan</t>
  </si>
  <si>
    <t>033-580-0309</t>
  </si>
  <si>
    <t>buenapcf@yahoo.com</t>
  </si>
  <si>
    <t>Dr. Catalino Gallego Nava Provincial Hospital</t>
  </si>
  <si>
    <t>06-0013-26-I-1</t>
  </si>
  <si>
    <t>Iloilo</t>
  </si>
  <si>
    <t>Iloilo City</t>
  </si>
  <si>
    <t>Camp Martin Teofilo Delgado, Fort San Pedro</t>
  </si>
  <si>
    <t>POLICE REGIONAL OFFICE 6 PRIMARY HEALTH CARE HOSPITAL</t>
  </si>
  <si>
    <t>PMAJ Ed Sheen Paulo Albo</t>
  </si>
  <si>
    <t>0920-409-8411</t>
  </si>
  <si>
    <t>pnphs_06@yahoo.com</t>
  </si>
  <si>
    <t>06-0011-26-I-1</t>
  </si>
  <si>
    <t>New Lucena</t>
  </si>
  <si>
    <t>Don Epifanio Sonza Sr. Avenue</t>
  </si>
  <si>
    <t>NEW LUCENA POLYTECHNIC COLLEGE MEDICAL CLINIC &amp; HOSPITAL</t>
  </si>
  <si>
    <t>Add on services for CL:Electrolytes, HBA1c, SGPT, SGOT, AFB</t>
  </si>
  <si>
    <t>Dr. Layla Catedral-Solinap</t>
  </si>
  <si>
    <t>0917-7100-445</t>
  </si>
  <si>
    <t>layrasolinap@gmail.com</t>
  </si>
  <si>
    <t>Western Visayas Sanitarium and General Hospital</t>
  </si>
  <si>
    <t>06-0021-26-I-1</t>
  </si>
  <si>
    <t>For CL: MOA with Andrew &amp; Alex Clinical Diagnostic Center</t>
  </si>
  <si>
    <t>San Joaquin</t>
  </si>
  <si>
    <t>Brgy. Baybay</t>
  </si>
  <si>
    <t>SAN JOAQUIN MOTHER AND CHILD HOSPITAL</t>
  </si>
  <si>
    <t>Diagnostic X-ray (Level 1), CT Scan, Pharmacy, Add on services for CL- HBA1C, H. Pylori, Troponin I</t>
  </si>
  <si>
    <t>Dr. Rodel G. Gedalanga</t>
  </si>
  <si>
    <t>033-316-7499</t>
  </si>
  <si>
    <t>sanjoaquinmch.ipg@gmail.com</t>
  </si>
  <si>
    <t>06-0004-26-I-1</t>
  </si>
  <si>
    <t>Bohol</t>
  </si>
  <si>
    <t>Anda</t>
  </si>
  <si>
    <t>Tawid, Poblacion, Anda, Bohol</t>
  </si>
  <si>
    <t>ANDA MUNICIPAL INFIRMARY</t>
  </si>
  <si>
    <t>Pharmacy (BNB)</t>
  </si>
  <si>
    <t>Remedios Immarie M. Teves, MD</t>
  </si>
  <si>
    <t>andamunicipalinfirmary@gmail.com</t>
  </si>
  <si>
    <t>1, Type I - 
CS No. F4E 944</t>
  </si>
  <si>
    <t>07-016-26-09-I-1</t>
  </si>
  <si>
    <t>Calape</t>
  </si>
  <si>
    <t>San Isidro, Calape, Bohol</t>
  </si>
  <si>
    <t>CALAPE MOTHER &amp; CHILD HOSPITAL</t>
  </si>
  <si>
    <t>Xray (Level 1)</t>
  </si>
  <si>
    <t>Jerome R. Rosal, MD
IMEFHEL R. CEBALLOS
Hospital Administrator</t>
  </si>
  <si>
    <t>(038) 507-8050/
09358514302
09166818330 AO</t>
  </si>
  <si>
    <t>calapemch@yahoo.com</t>
  </si>
  <si>
    <t>*1, Type I (F5I 176)</t>
  </si>
  <si>
    <t>07-076-26-12-I-1</t>
  </si>
  <si>
    <t>Candijay</t>
  </si>
  <si>
    <t>Poblacion, Candijay, Bohol</t>
  </si>
  <si>
    <t>CANDIJAY COMMUNITY HOSPITAL</t>
  </si>
  <si>
    <t>Xray (Level 1), Pharmacy</t>
  </si>
  <si>
    <t>Alex Gustavos S. Sumera, MD, MPA</t>
  </si>
  <si>
    <t>canchospital@yahoo.com;
candijayhospital@yahoo.com; candijayhospital2@gmail.com;</t>
  </si>
  <si>
    <t>1 Type 2 - 
C.S No. S2Q 049</t>
  </si>
  <si>
    <t>07-037-26-30-I-1</t>
  </si>
  <si>
    <t>Clarin</t>
  </si>
  <si>
    <t>Poblacion Norte, Clarin, Bohol</t>
  </si>
  <si>
    <t>CLARIN COMMUNITY HOSPITAL</t>
  </si>
  <si>
    <t>Noel G. Manalo, MD, RN, MPA</t>
  </si>
  <si>
    <t>(038)509-0025;
09297292361</t>
  </si>
  <si>
    <t>community.clarin@yahoo.com</t>
  </si>
  <si>
    <t>MOA w/ GMPH</t>
  </si>
  <si>
    <t>07-043-26-15-I-1</t>
  </si>
  <si>
    <t>Dimiao</t>
  </si>
  <si>
    <t>National Highway, Poblacion, Dimiao, Bohol</t>
  </si>
  <si>
    <t>DIMIAO MUNICIPAL INFIRMARY</t>
  </si>
  <si>
    <t>Bryan John A. Gonzaga, MD</t>
  </si>
  <si>
    <t>lgudimiao.dmi@gmail.com;
dimiao.lgudimiao@yahoo.com; g7isulat@gmail.com;</t>
  </si>
  <si>
    <t>MOA with RHU</t>
  </si>
  <si>
    <t>07-008-26-10-I-1</t>
  </si>
  <si>
    <t>Loon</t>
  </si>
  <si>
    <t>Basac, Loon, Bohol</t>
  </si>
  <si>
    <t>CONG. NATALIO P. CASTILLO, SR. MEMORIAL HOSPITAL</t>
  </si>
  <si>
    <t>Ma. Cyrilda B. Tallo, MD</t>
  </si>
  <si>
    <t>(038)412 0417/ 09187131143</t>
  </si>
  <si>
    <t>cncmh_loon@yahoo.com.ph; loon.cncmh@gmail.com;</t>
  </si>
  <si>
    <t>2, Type 1  F4D128, F4D075</t>
  </si>
  <si>
    <t>07-007-26-25-I-1</t>
  </si>
  <si>
    <t>Maribojoc</t>
  </si>
  <si>
    <t>Bayacabac, Maribojoc. Bohol</t>
  </si>
  <si>
    <t>MARIBOJOC COMMUNITY HOSPITAL</t>
  </si>
  <si>
    <t>Emma Perpetua F. Cahatol, MD</t>
  </si>
  <si>
    <t>(038)504-9621/ 09467222112</t>
  </si>
  <si>
    <t>mch_bohol@yahoo.com</t>
  </si>
  <si>
    <t>MOA with Loon RHU</t>
  </si>
  <si>
    <t>07-035-26-15-I-1</t>
  </si>
  <si>
    <t>President Carlos P. Garcia</t>
  </si>
  <si>
    <t>Pitogo, Pres. Carlos P. Garcia, Bohol</t>
  </si>
  <si>
    <t>PRES. CARLOS P. GARCIA MUNICIPAL HOSPITAL</t>
  </si>
  <si>
    <t>Ma. Quinna B. Barba, MD</t>
  </si>
  <si>
    <t>pgmhpitogo@yahoo.com;
pcpgmh1992@gmail.com;</t>
  </si>
  <si>
    <t>07-073-26-10-I-1</t>
  </si>
  <si>
    <t>San Miguel</t>
  </si>
  <si>
    <t>Poblacion, San Miguel, Bohol</t>
  </si>
  <si>
    <t>SAN MIGUEL HOSPITAL</t>
  </si>
  <si>
    <t>Joan Gluen P. Inobio, RMT, MD</t>
  </si>
  <si>
    <t>09076937800; 09355759616</t>
  </si>
  <si>
    <t>sanmiguelhosp2009@yahoo.com.ph</t>
  </si>
  <si>
    <t>Type I (01) F4E906</t>
  </si>
  <si>
    <t>07-009-26-10-I-1</t>
  </si>
  <si>
    <t>Tubigon</t>
  </si>
  <si>
    <t>Potohan, Tubigon, Bohol</t>
  </si>
  <si>
    <t>TUBIGON COMMUNITY HOSPITAL</t>
  </si>
  <si>
    <t>Xray (Level 1), Pharmacy, Dental Clinic</t>
  </si>
  <si>
    <t>Imelda S. Pedrero, MD</t>
  </si>
  <si>
    <t>(038) 411-4801/ 09472496029</t>
  </si>
  <si>
    <t>tubigontch1999@gmail.com</t>
  </si>
  <si>
    <t>MOA w/ Tubigon RHU/BC</t>
  </si>
  <si>
    <t>07-058-26-15-I-1</t>
  </si>
  <si>
    <t>Cebu</t>
  </si>
  <si>
    <t>Argao</t>
  </si>
  <si>
    <t>Candabong, Binlod, Argao, Cebu</t>
  </si>
  <si>
    <t>DOH TRC (ARGAO) - INFIRMARY</t>
  </si>
  <si>
    <t>Xray (Level 2)</t>
  </si>
  <si>
    <t>Florge Michael Z. Sy, MD</t>
  </si>
  <si>
    <t>(032) 485-8815</t>
  </si>
  <si>
    <t xml:space="preserve">trcchief@trcargao.doh.gov.ph;
planning@trcargao.doh.gov.ph </t>
  </si>
  <si>
    <t>c/o DATRC Ambulance</t>
  </si>
  <si>
    <t>07-060-26-10-I-1</t>
  </si>
  <si>
    <t>Bogo, Argao, Cebu</t>
  </si>
  <si>
    <t>ISIDRO C. KINTANAR MEMORIAL HOSPITAL</t>
  </si>
  <si>
    <t>Eric P. Geyrozaga, MD</t>
  </si>
  <si>
    <t>032 3678030</t>
  </si>
  <si>
    <t>isidrockmh2017@gmail.com</t>
  </si>
  <si>
    <t>1, Type I (F4T 731)</t>
  </si>
  <si>
    <t>07-025-26-25-I-1</t>
  </si>
  <si>
    <t>Asturias</t>
  </si>
  <si>
    <t>Poblacion, Asturias, Cebu</t>
  </si>
  <si>
    <t>ALAN L. ADLAWAN INFIRMARY CLINIC</t>
  </si>
  <si>
    <t>Ruby Rose R. Loquellano, MD</t>
  </si>
  <si>
    <t>0942-207-4863;
(032) 464-9103</t>
  </si>
  <si>
    <t>asturiasinfirmaryclinic@gmail.com</t>
  </si>
  <si>
    <t>MOA with CPH-Balamban</t>
  </si>
  <si>
    <t>07-081-26-10-I-1</t>
  </si>
  <si>
    <t>Badian</t>
  </si>
  <si>
    <t>Poblacion, Badian, Cebu</t>
  </si>
  <si>
    <t>BADIAN DISTRICT HOSPITAL</t>
  </si>
  <si>
    <t>XRay (Level 1), Pharmacy</t>
  </si>
  <si>
    <t>Don Porferio R. Ferolin, MD</t>
  </si>
  <si>
    <t>(032)475-9046 /  09430517709</t>
  </si>
  <si>
    <t>badiandisthosp@yahoo.com</t>
  </si>
  <si>
    <t>1, Type I (F4T 736)</t>
  </si>
  <si>
    <t>07-002-26-25-I-1</t>
  </si>
  <si>
    <t>Barili</t>
  </si>
  <si>
    <t>Maghanoy, Barili, Cebu</t>
  </si>
  <si>
    <t>BARILI DISTRICT HOSPITAL</t>
  </si>
  <si>
    <t>Maria Teresa L. Malazarte, MD</t>
  </si>
  <si>
    <t>09505233481/ 
(032)4363826</t>
  </si>
  <si>
    <t>barilidistricthospitalbarili@yahoo.com</t>
  </si>
  <si>
    <t>2, Type 1 - F4K 225 &amp; F4Z 794</t>
  </si>
  <si>
    <t>07-036-26-25-I-1</t>
  </si>
  <si>
    <t>M.  Zosa St., Poblacion, Barili, Cebu</t>
  </si>
  <si>
    <t>MARLON F. GARCIA INFIRMARY 
(formerly BARILI INFIRMARY)</t>
  </si>
  <si>
    <t>Joseph Martel F. Mahinay, MD</t>
  </si>
  <si>
    <t>(032) 5172264/
09705580536</t>
  </si>
  <si>
    <t>barili.infirmary21@gmail.com</t>
  </si>
  <si>
    <t>MOA w/ Barili District Hospital</t>
  </si>
  <si>
    <t>07-057-26-08-I-1</t>
  </si>
  <si>
    <t>Cebu City</t>
  </si>
  <si>
    <t>Brgy. Guba, Cebu City, Cebu</t>
  </si>
  <si>
    <t>GUBA COMMUNITY HOSPITAL</t>
  </si>
  <si>
    <t>Carol R. Cajegas, MD</t>
  </si>
  <si>
    <t>(032)254-0517;
0939648202; 09177732212</t>
  </si>
  <si>
    <t>gubacommunityhospital@gmail.com;
evie_cab_enad1976@yahoo.com</t>
  </si>
  <si>
    <t>1 Type 2 - S3-C568</t>
  </si>
  <si>
    <t>07-030-26-10-I-1</t>
  </si>
  <si>
    <t>Camp Sotero Cabahug, Gorordo Ave., Camputhaw, Cebu City</t>
  </si>
  <si>
    <t>PNP STATION HOSPITAL</t>
  </si>
  <si>
    <t>Xray Level 1</t>
  </si>
  <si>
    <t>PLTCOL Michelle B. Cruz</t>
  </si>
  <si>
    <t>(032)233-5614</t>
  </si>
  <si>
    <t>pnphs_07@yahoo.com; siajml@yahoo.com;</t>
  </si>
  <si>
    <t>07-049-26-10-I-1</t>
  </si>
  <si>
    <t>Daanbantayan</t>
  </si>
  <si>
    <t>National Road, Pajo, Daanbantayan, Cebu</t>
  </si>
  <si>
    <t>DAANBANTAYAN DISTRICT HOSPITAL</t>
  </si>
  <si>
    <t>Hanzel D. Ibona, MD</t>
  </si>
  <si>
    <t>(032)437-8061; 09178439403</t>
  </si>
  <si>
    <t>ddhcebuprovince@gmail.com</t>
  </si>
  <si>
    <t>Type 1, F4T 732</t>
  </si>
  <si>
    <t>07-054-26-10-I-1</t>
  </si>
  <si>
    <t>Lapu-Lapu City</t>
  </si>
  <si>
    <t>Brigadier General Benito N Ebuen Air Base, Pajo, Lapu-lapu City, Cebu</t>
  </si>
  <si>
    <t>BRIGADIER GENERAL BENITO N EBUEN AIR BASE HOSPITAL</t>
  </si>
  <si>
    <t>MAJ Rey Erwin S. Diaz</t>
  </si>
  <si>
    <t>(032)261-3010/ 09171625111</t>
  </si>
  <si>
    <t>bgbneabh2022@gmail.com; bgbneabh@gmail.com;</t>
  </si>
  <si>
    <t>Type I ASP CS No. 04011 278824</t>
  </si>
  <si>
    <t>07-020-26-15-I-1</t>
  </si>
  <si>
    <t>Talima, Olango Island, Lapu-lapu City, Cebu</t>
  </si>
  <si>
    <t>STA. ROSA COMMUNITY HOSPITAL</t>
  </si>
  <si>
    <t>Joel B. Semblante, MD</t>
  </si>
  <si>
    <t>09688773881/
09231632476</t>
  </si>
  <si>
    <t>santarosasrch6015@gmail.com</t>
  </si>
  <si>
    <t>1, Type 1 (F4Y 080)</t>
  </si>
  <si>
    <t>07-080-26-10-I-1</t>
  </si>
  <si>
    <t>Malabuyoc</t>
  </si>
  <si>
    <t>Montañeza, Malabuyoc, Cebu</t>
  </si>
  <si>
    <t>MARIANO JESUS CUENCO MEMORIAL HOSPITAL</t>
  </si>
  <si>
    <t>Francis Kim G. Capate, MD</t>
  </si>
  <si>
    <t>(032)477-8883/ 477 8311</t>
  </si>
  <si>
    <t>mjcuencomemhosp@yahoo.com</t>
  </si>
  <si>
    <t>1, Type I (F4T 803) pending</t>
  </si>
  <si>
    <t>07-004-26-25-I-1</t>
  </si>
  <si>
    <t>Minglanilla</t>
  </si>
  <si>
    <t>Sangi, Calajo-an, Minglanilla, Cebu</t>
  </si>
  <si>
    <t>MINGLANILLA DISTRICT HOSPITAL</t>
  </si>
  <si>
    <t>Ian L. Genaldo, MD</t>
  </si>
  <si>
    <t>(032)2540328</t>
  </si>
  <si>
    <t>minglanilladistricthospital@gmail.com</t>
  </si>
  <si>
    <t>1, Type I (F4T 774)</t>
  </si>
  <si>
    <t>07-003-26-40-I-1</t>
  </si>
  <si>
    <t>Brgy. East Poblacion, City of Naga, Cebu</t>
  </si>
  <si>
    <t>VICENTE MENDIOLA CENTER FOR HEALTH-INFIRMARY</t>
  </si>
  <si>
    <t>Roy Benzon D. Arevalo, MD</t>
  </si>
  <si>
    <t>(032) 3456183;
09171037746</t>
  </si>
  <si>
    <t>vmch.infirmary@gmail.com;
dr.roybenzon@gmail.com;</t>
  </si>
  <si>
    <t>1, Type II - Plate No. FOF 357</t>
  </si>
  <si>
    <t>07-072-26-15-I-1</t>
  </si>
  <si>
    <t>Oslob</t>
  </si>
  <si>
    <t>Lagundi, Oslob, Cebu</t>
  </si>
  <si>
    <t>OSLOB DISTRICT HOSPITAL</t>
  </si>
  <si>
    <t>Mary Ann Josephine A. Arsenal, MD</t>
  </si>
  <si>
    <t>(032)481-9985;
09189240427</t>
  </si>
  <si>
    <t>oslobdh@yahoo.com</t>
  </si>
  <si>
    <t>1, Type I (F4T 772)</t>
  </si>
  <si>
    <t>07-042-26-10-I-1</t>
  </si>
  <si>
    <t>Pinamungajan</t>
  </si>
  <si>
    <t>Pandacan, Pinamungajan, Cebu</t>
  </si>
  <si>
    <t>DR. JOSE MA. V. BORROMEO MEMORIAL HOSPITAL</t>
  </si>
  <si>
    <t>Feleus B. Bascon, MD</t>
  </si>
  <si>
    <t>(032) 4277675</t>
  </si>
  <si>
    <t>jose_borromeo@yahoo.com</t>
  </si>
  <si>
    <t>Type I - Plate No. F4T 724</t>
  </si>
  <si>
    <t>07-052-26-10-I-1</t>
  </si>
  <si>
    <t>Sogod</t>
  </si>
  <si>
    <t>Damolog, Sogod, Cebu</t>
  </si>
  <si>
    <t>JUAN B. DOSADO MEMORIAL  HOSPITAL</t>
  </si>
  <si>
    <t>Jackielyn Cabrera, MD</t>
  </si>
  <si>
    <t>9175636911 /
(032)431-9080</t>
  </si>
  <si>
    <t>jbdmhospital@yahoo.com</t>
  </si>
  <si>
    <t>1, Type I (F4T 735)</t>
  </si>
  <si>
    <t>07-019-26-25-I-1</t>
  </si>
  <si>
    <t>Tuburan</t>
  </si>
  <si>
    <t>Veloso St., 07 Poblacion, Tuburan, Cebu</t>
  </si>
  <si>
    <t>TUBURAN DISTRICT HOSPITAL</t>
  </si>
  <si>
    <t>Esteban C. Ligaray, MD</t>
  </si>
  <si>
    <t>(032)463-9515/ 255-6361/ 09062097933</t>
  </si>
  <si>
    <t>tuburandistricthospital@yahoo.com; tuburandistricthospital2016@gmail.com</t>
  </si>
  <si>
    <t>Type 1 (01) F4T 720</t>
  </si>
  <si>
    <t>07-031-26-25-I-1</t>
  </si>
  <si>
    <t>Eastern Samar</t>
  </si>
  <si>
    <t>Arteche</t>
  </si>
  <si>
    <t>National Highway, Brgy. Garden, Arteche, Eastern Samar</t>
  </si>
  <si>
    <t>ARTECHE DISTRICT HOSPITAL</t>
  </si>
  <si>
    <t>Dr. Ma. Ailene O. Mejica</t>
  </si>
  <si>
    <t>0917-122-5208</t>
  </si>
  <si>
    <t>adh1975@yahoo.com</t>
  </si>
  <si>
    <t>Oras Doctors Hospital
Type 1/1/NCT 8680</t>
  </si>
  <si>
    <t>08-025-26-I-1</t>
  </si>
  <si>
    <t>Balangiga</t>
  </si>
  <si>
    <t>National Highway, Brgy. 06 (Poblacion), Balangiga, Eastern Samar</t>
  </si>
  <si>
    <t>ALBINO M. DURAN MEMORIAL HOSPITAL</t>
  </si>
  <si>
    <t>Clinical Laboratory, Pharmacy, X-ray</t>
  </si>
  <si>
    <t>Dr. Charlyn C. Cabadsan</t>
  </si>
  <si>
    <t>amdmhbalangigga@yahoo.com.ph</t>
  </si>
  <si>
    <t>1, Type 1, F3R380</t>
  </si>
  <si>
    <t>08-040-26-I-1</t>
  </si>
  <si>
    <t>Can-avid</t>
  </si>
  <si>
    <t>National Road, Brgy. 04, Can-avid, Eastern Samar</t>
  </si>
  <si>
    <t>CAN-AVID MUNICIPAL HOSPITAL</t>
  </si>
  <si>
    <t>Dr. Mary Candice C. Chicano</t>
  </si>
  <si>
    <t>0906-470-5459</t>
  </si>
  <si>
    <t>canavidhospital@gmail.com</t>
  </si>
  <si>
    <t>Eastern Samar Provincial Hospital</t>
  </si>
  <si>
    <t>08-032-26-I-1</t>
  </si>
  <si>
    <t>General MacArthur</t>
  </si>
  <si>
    <t>Brgy. 05, Pambujan St., Gen. Macarthur, Eastern Samar</t>
  </si>
  <si>
    <t>GEN. MACARTHUR MUNICIPAL HOSPITAL</t>
  </si>
  <si>
    <t>Dr. Mylo C. Barcial</t>
  </si>
  <si>
    <t>0926-705-3816</t>
  </si>
  <si>
    <t>genmacmunicipalhospital@gmail.com</t>
  </si>
  <si>
    <t>Albino M. Duran Memorial Hospital
Type 1/1/F3R380</t>
  </si>
  <si>
    <t>08-002-26-I-1</t>
  </si>
  <si>
    <t>Llorente</t>
  </si>
  <si>
    <t>Rizal St., Brgy. 12, Llorente, Eastern Samar</t>
  </si>
  <si>
    <t>LLORENTE MUNICIPAL HOSPITAL</t>
  </si>
  <si>
    <t>Dr. Maria Dolores O. Grafil</t>
  </si>
  <si>
    <t>(055)560-2342</t>
  </si>
  <si>
    <t>llorentemunicipalhospital@gmail.com</t>
  </si>
  <si>
    <t>Ponferada Polymedic Hospital
Type 1/1/FIC 023</t>
  </si>
  <si>
    <t>08-039-26-I-1</t>
  </si>
  <si>
    <t>Oras</t>
  </si>
  <si>
    <t>Brgy. San Roque, Oras, Eastern Samar</t>
  </si>
  <si>
    <t>ORAS DISTRICT HOSPITAL</t>
  </si>
  <si>
    <t>Dr. Tasha Anne K. Bianes</t>
  </si>
  <si>
    <t>0915-423-8235</t>
  </si>
  <si>
    <t>odhorases6818@gmail.com</t>
  </si>
  <si>
    <t>08-021-26-I-1</t>
  </si>
  <si>
    <t>Quinapondan</t>
  </si>
  <si>
    <t>National Highway, Brgy. 03, Poblacion, Quinapondan, Eastern Samar</t>
  </si>
  <si>
    <t>QUINAPONDAN COMMUNITY HOSPITAL</t>
  </si>
  <si>
    <t>Dr. Baby Crespe A. Macabare</t>
  </si>
  <si>
    <t>qch6810@gmail.com</t>
  </si>
  <si>
    <t>08-009-26-I-1</t>
  </si>
  <si>
    <t>Taft</t>
  </si>
  <si>
    <t>National Highway, Brgy 04, Taft, Eastern Samar</t>
  </si>
  <si>
    <t>TAFT DISTRICT HOSPITAL</t>
  </si>
  <si>
    <t>Pharmacy, X-ray</t>
  </si>
  <si>
    <t>Dr. Ma. Melissa A. De Lira, FPOGS</t>
  </si>
  <si>
    <t>0968-399-9248</t>
  </si>
  <si>
    <t>tdh_6816@yahoo.com</t>
  </si>
  <si>
    <t>08-036-26-I-1</t>
  </si>
  <si>
    <t>Leyte</t>
  </si>
  <si>
    <t>Barugo</t>
  </si>
  <si>
    <t>Sto. Rosario Street, Poblacion District I, Barugo, Leyte</t>
  </si>
  <si>
    <t>BARUGO MUNICIPAL INFIRMARY</t>
  </si>
  <si>
    <t>Dr. Jakko Jake K. Dublado</t>
  </si>
  <si>
    <t>castroverdewina@gmail.com</t>
  </si>
  <si>
    <t>Carigara District Hospital
Type 1/1/F4J 691</t>
  </si>
  <si>
    <t>08-012-26-I-1</t>
  </si>
  <si>
    <t>Baybay City</t>
  </si>
  <si>
    <t>VISCA, Pangasugan, Baybay City</t>
  </si>
  <si>
    <t>VISAYAS STATE UNIVERSITY HOSPITAL</t>
  </si>
  <si>
    <t>Clinical Laboratory, X-ray</t>
  </si>
  <si>
    <t>Elwin Jay V. Yu, MD, MPH</t>
  </si>
  <si>
    <t>0943-043-0874</t>
  </si>
  <si>
    <t>usher@vsu.edu.ph</t>
  </si>
  <si>
    <t>1, Type 1, VH I342</t>
  </si>
  <si>
    <t>08-038-26-I-1</t>
  </si>
  <si>
    <t>Calubian</t>
  </si>
  <si>
    <t>Brgy. Cristina, Calubian, Leyte</t>
  </si>
  <si>
    <t>NORTHWESTERN LEYTE DISTRICT HOSPITAL</t>
  </si>
  <si>
    <t>Clinical Laboratory, Pharmacy; Xray</t>
  </si>
  <si>
    <t>Dr. Adrian C. Labanta</t>
  </si>
  <si>
    <t>0956 093 5558</t>
  </si>
  <si>
    <t>nwldhcalubian1961@gmail.com</t>
  </si>
  <si>
    <t>08-022-26-I-1</t>
  </si>
  <si>
    <t>Isabel</t>
  </si>
  <si>
    <t>Sitio Santan, Brgy. Mahayag, Isabel, Leyte</t>
  </si>
  <si>
    <t>ISABEL EMERGENCY HOSPITAL</t>
  </si>
  <si>
    <t>Dr. Liza Beth F. Tantuan</t>
  </si>
  <si>
    <t>0912 731 0684</t>
  </si>
  <si>
    <t>isabelemergencyhospital@gmail.com</t>
  </si>
  <si>
    <t>Ormoc District Hospital
Type 1/1/F4 K648</t>
  </si>
  <si>
    <t>08-019-26-I-1</t>
  </si>
  <si>
    <t>Javier</t>
  </si>
  <si>
    <t>Tandang Sora St., Zone I, Javier, Leyte</t>
  </si>
  <si>
    <t>JAVIER MUNICIPAL INFIRMARY</t>
  </si>
  <si>
    <t>Dr. Raymond A. Molon</t>
  </si>
  <si>
    <t>javainfirmary.0212@yahoo.com.ph</t>
  </si>
  <si>
    <t>1 , Type 1, P7H 343</t>
  </si>
  <si>
    <t>08-029-26-I-1</t>
  </si>
  <si>
    <t>Kananga</t>
  </si>
  <si>
    <t>Sitio Bunal Tabunok, Poblacion, Kananga, Leyte</t>
  </si>
  <si>
    <t>KANANGA MUNICIPAL HOSPITAL</t>
  </si>
  <si>
    <t>Dr. Sharon D. Awit</t>
  </si>
  <si>
    <t>0915-748-2355</t>
  </si>
  <si>
    <t>kanangamunicipal17@gmail.com</t>
  </si>
  <si>
    <t>08-010-26-I-1</t>
  </si>
  <si>
    <t>Matalom</t>
  </si>
  <si>
    <t>Brgy. Caridad Norte, Matalom, Leyte</t>
  </si>
  <si>
    <t>MATALOM COMMUNITY HOSPITAL</t>
  </si>
  <si>
    <t>Dr. Marie Jane M. Kinazo</t>
  </si>
  <si>
    <t>0999-731-8525</t>
  </si>
  <si>
    <t>matalomhospital@gmail.com</t>
  </si>
  <si>
    <t>1, Type 1, SGN 120</t>
  </si>
  <si>
    <t>08-031-26-I-1</t>
  </si>
  <si>
    <t>Palo</t>
  </si>
  <si>
    <t>Camp Ruperto Kangleon, Campetic, Palo, Leyte</t>
  </si>
  <si>
    <t>PNP PRO8 INFIRMARY</t>
  </si>
  <si>
    <t>PLTCol. Ariel M. Ibay</t>
  </si>
  <si>
    <t>rhs8_medical@yahoo.com</t>
  </si>
  <si>
    <t>1, Type 1, S5S 674</t>
  </si>
  <si>
    <t>08-028-26-I-1</t>
  </si>
  <si>
    <t>Palompon</t>
  </si>
  <si>
    <t>Mabini St., Brgy. Mazawalo, Palompon, Leyte</t>
  </si>
  <si>
    <t>DR. MANUEL B. VELOSO MEMORIAL HOSPITAL</t>
  </si>
  <si>
    <t>Clinical Laboratory, Pharmacy</t>
  </si>
  <si>
    <t>Dr. Ma. Noemi G. Tuanqui</t>
  </si>
  <si>
    <t>0998-253-5908</t>
  </si>
  <si>
    <t>mbvmhospital@yahoo.com</t>
  </si>
  <si>
    <t>08-033-26-I-1</t>
  </si>
  <si>
    <t>Tabango</t>
  </si>
  <si>
    <t>Shamrock, Poblacion, Tabango, Leyte</t>
  </si>
  <si>
    <t>TABANGO COMMUNITY HOSPITAL</t>
  </si>
  <si>
    <t>Dr. Manuel S. Pastor</t>
  </si>
  <si>
    <t>0917-701-0967</t>
  </si>
  <si>
    <t>tabango_communityhospital@yahoo.com</t>
  </si>
  <si>
    <t>1, Type 1, 030110</t>
  </si>
  <si>
    <t>08-024-26-I-1</t>
  </si>
  <si>
    <t>Villaba</t>
  </si>
  <si>
    <t>Barangay Suba, Villaba, Leyte</t>
  </si>
  <si>
    <t>VILLABA COMMUNITY HOSPITAL</t>
  </si>
  <si>
    <t>Dr. Ronald E. Flores</t>
  </si>
  <si>
    <t>0917-154-3532</t>
  </si>
  <si>
    <t>reflores_2010@yahoo.com</t>
  </si>
  <si>
    <t>Tabango Community Hospital                      1, Type 1, 030110</t>
  </si>
  <si>
    <t>08-023-26-I-1</t>
  </si>
  <si>
    <t>Northern Samar</t>
  </si>
  <si>
    <t>Biri</t>
  </si>
  <si>
    <t>Delos Reyes Street, Poblacion, Biri, Northern Samar</t>
  </si>
  <si>
    <t>BIRI DISTRICT HOSPITAL</t>
  </si>
  <si>
    <t>Dr. LucilleG. Romines</t>
  </si>
  <si>
    <t>0917-102-1602</t>
  </si>
  <si>
    <t>biridistricthospital76@gmail.com</t>
  </si>
  <si>
    <t>Allen District Hospital
Type 1/1/F2U 756</t>
  </si>
  <si>
    <t>08-026-26-I-1</t>
  </si>
  <si>
    <t>Capul</t>
  </si>
  <si>
    <t>M. Pelito St., Brgy. 5, Capul, Northern Samar</t>
  </si>
  <si>
    <t>CAPUL DISTRICT HOSPITAL</t>
  </si>
  <si>
    <t>Clinical Laboratory, Pharmacy, Xray</t>
  </si>
  <si>
    <t>Dr. Shiela O. Cula</t>
  </si>
  <si>
    <t>capuldistricthospital2018@gmail.com</t>
  </si>
  <si>
    <t>08-011-26-I-1</t>
  </si>
  <si>
    <t>Catubig</t>
  </si>
  <si>
    <t>Brgy. 1, 2nd District, Catubig, Northern Samar</t>
  </si>
  <si>
    <t>CATUBIG DISTRICT HOSPITAL</t>
  </si>
  <si>
    <t>Pharmacy, Xray</t>
  </si>
  <si>
    <t>Dr. Sheila Myr L. Tentativa</t>
  </si>
  <si>
    <t>0917-307-4047</t>
  </si>
  <si>
    <t>catubigdh1974@gmail.com</t>
  </si>
  <si>
    <t>Northern Samar Provincial Hospital
1 unit/Type 1/F1R 269</t>
  </si>
  <si>
    <t>08-018-26-I-1</t>
  </si>
  <si>
    <t>Gamay</t>
  </si>
  <si>
    <t>Flower Street, Brgy. Baybay, Gamay, Northern Samar</t>
  </si>
  <si>
    <t>GAMAY DISTRICT HOSPITAL</t>
  </si>
  <si>
    <t>Dr. Ma. Evelyn C. Olasis</t>
  </si>
  <si>
    <t>0975-891-9957</t>
  </si>
  <si>
    <t>gamaydistricthospital@gmail.com</t>
  </si>
  <si>
    <t>Mapanas RHU
1 unit/Type 1/GB 7134</t>
  </si>
  <si>
    <t>08-027-26-I-1</t>
  </si>
  <si>
    <t>Laoang</t>
  </si>
  <si>
    <t>Kahundit St., San Miguel Heights, Laoang, Northern Samar</t>
  </si>
  <si>
    <t>DR. GREGORIO B. TAN MEMORIAL HOSPITAL</t>
  </si>
  <si>
    <t>Dr. Karen Aisa S. Monje, MPH-HSD</t>
  </si>
  <si>
    <t>0919-099-0485</t>
  </si>
  <si>
    <t>gbtan.memorial.hospital@gmail.com</t>
  </si>
  <si>
    <t>08-014-26-I-1</t>
  </si>
  <si>
    <t>San Antonio</t>
  </si>
  <si>
    <t>Brgy. Ward III, San Antonio, Northern Samar</t>
  </si>
  <si>
    <t>SAN ANTONIO DISTRICT HOSPITAL</t>
  </si>
  <si>
    <t>Dr. Anita J. Cui</t>
  </si>
  <si>
    <t>0915-876-5039</t>
  </si>
  <si>
    <t>sanantoniodistricthosp@gmail.com</t>
  </si>
  <si>
    <t>08-013-26-I-1</t>
  </si>
  <si>
    <t>Samar</t>
  </si>
  <si>
    <t>Catbalogan City</t>
  </si>
  <si>
    <t>Camp General Vicente Lukban, Brgy. Maulong, Catbalogan City</t>
  </si>
  <si>
    <t>CAMP LUKBAN STATION HOSPITAL, BID PA</t>
  </si>
  <si>
    <t>LTC Christopher V. Dayag (MC) PA</t>
  </si>
  <si>
    <t>0966-451-5959</t>
  </si>
  <si>
    <t>camplukbanstationhospital@yahoo.com</t>
  </si>
  <si>
    <t>1, Type 1, TQA 441</t>
  </si>
  <si>
    <t>08-020-26-I-1</t>
  </si>
  <si>
    <t>Gandara</t>
  </si>
  <si>
    <t>Brgy. Ngoso, Gandara, Samar</t>
  </si>
  <si>
    <t>GANDARA DISTRICT HOSPITAL</t>
  </si>
  <si>
    <t>Dr. Lucia G. Muncada</t>
  </si>
  <si>
    <t>0917-100-1534</t>
  </si>
  <si>
    <t>GDH.gandara@yahoo.com</t>
  </si>
  <si>
    <t>1, Type 1, P10731</t>
  </si>
  <si>
    <t>08-007-26-I-1</t>
  </si>
  <si>
    <t>Tarangan</t>
  </si>
  <si>
    <t>Rizal St., Poblacion B, Tarangnan, Samar</t>
  </si>
  <si>
    <t>TARANGNAN COMMUNITY HOSPITAL</t>
  </si>
  <si>
    <t>Dr. Shaikh Faisal Bin Moomtaz Ahmad</t>
  </si>
  <si>
    <t>0975-814-9224</t>
  </si>
  <si>
    <t>1, Type 1, 2391</t>
  </si>
  <si>
    <t>08-008-26-I-1</t>
  </si>
  <si>
    <t>Southern Leyte</t>
  </si>
  <si>
    <t>Hinunangan</t>
  </si>
  <si>
    <t>Bangcas A., Hinunangan, Southern Leyte</t>
  </si>
  <si>
    <t>HINUNANGAN COMMUNITY HOSPITAL</t>
  </si>
  <si>
    <t>Clinical LAboratory, Pharmacy</t>
  </si>
  <si>
    <t>Dr. Osee Bryce T. amac</t>
  </si>
  <si>
    <t>0995-884-5906</t>
  </si>
  <si>
    <t>hinunangancommunityhospital@yahoo.com</t>
  </si>
  <si>
    <t>Anahawan District Hospital
Type 1/1/NEP 7424</t>
  </si>
  <si>
    <t>08-034-26-I-1</t>
  </si>
  <si>
    <t>Liloan</t>
  </si>
  <si>
    <t>Maharlika Highway, Brgy. Poblacion, Liloan, Southern Leyte</t>
  </si>
  <si>
    <t>LILOAN COMMUNITY HOSPITAL</t>
  </si>
  <si>
    <t>Dr. Linowitz C. Quillope</t>
  </si>
  <si>
    <t>0917-158-9453</t>
  </si>
  <si>
    <t>liloancommunityhospital@gmail.com</t>
  </si>
  <si>
    <t>Havilah Polymedic
Type 1/1/NBM7448</t>
  </si>
  <si>
    <t>08-035-26-I-1</t>
  </si>
  <si>
    <t>Padre Burgos</t>
  </si>
  <si>
    <t>Brgy. Santa Sofia, Padre Burgos, Southern Leyte</t>
  </si>
  <si>
    <t>PADRE BURGOS COMMUNITY HOSPITAL</t>
  </si>
  <si>
    <t>Dr. Richard M. Batalon</t>
  </si>
  <si>
    <t>0961-572-8321</t>
  </si>
  <si>
    <t>padreburgoshospital@gmail.com</t>
  </si>
  <si>
    <t>1, Type 1, A8K 717</t>
  </si>
  <si>
    <t>08-030-26-I-1</t>
  </si>
  <si>
    <t>Pintuyan</t>
  </si>
  <si>
    <t>Brgy. San Juan, Pintuyan, Southern Leyte</t>
  </si>
  <si>
    <t>PINTUYAN DISTRICT HOSPITAL</t>
  </si>
  <si>
    <t>Dr. Steve Aldrich M. Guias</t>
  </si>
  <si>
    <t>0917-329-7922</t>
  </si>
  <si>
    <t>pdh.hospital@yahoo.com</t>
  </si>
  <si>
    <t>1, Type, P5G 856</t>
  </si>
  <si>
    <t>08-015-26-I-1</t>
  </si>
  <si>
    <t>Sulu</t>
  </si>
  <si>
    <t>Jolo</t>
  </si>
  <si>
    <t>Busbus</t>
  </si>
  <si>
    <t>KUTA HENERAL TEODULFO BAUTISTA STATION HOSPITAL</t>
  </si>
  <si>
    <t>Maj Shuaib Durkheim H. Janani</t>
  </si>
  <si>
    <t>ctbstnhosp@gmail.com</t>
  </si>
  <si>
    <t>Owned ASP, Type 1, PN: TIG 391, CR #: 1380689156, OR #: 0929-000000120102</t>
  </si>
  <si>
    <t>09-0074-26-I-1</t>
  </si>
  <si>
    <t>Panamao</t>
  </si>
  <si>
    <t>Soit Lake, Panamao, Sulu</t>
  </si>
  <si>
    <t>PANAMAO DISTRICT HOSPITAL</t>
  </si>
  <si>
    <t>MOH BARMM</t>
  </si>
  <si>
    <t>Dr. Sitti Zarrah-Ann A. Asanji-Udjah, MHA</t>
  </si>
  <si>
    <t>09982891338/ 09285019469</t>
  </si>
  <si>
    <t>ppanamaodistricthospital@gmail.com</t>
  </si>
  <si>
    <t>Type I, CS No. F5 R650</t>
  </si>
  <si>
    <t>09-0060-26-I-1</t>
  </si>
  <si>
    <t>Pangutaran</t>
  </si>
  <si>
    <t>Bait-Bait Simbahan First</t>
  </si>
  <si>
    <t>PANGUTARAN DISTRICT HOSPITAL</t>
  </si>
  <si>
    <t>Dr. Emelyn Q. Bahjin-Jalani, MHA</t>
  </si>
  <si>
    <t>09173055434/09189064146</t>
  </si>
  <si>
    <t>pangutarandho@gmail.com</t>
  </si>
  <si>
    <t>Type II Plate No. SND 1093</t>
  </si>
  <si>
    <t>Sulu Provincial Hospital</t>
  </si>
  <si>
    <t>09-0051-26-I-1</t>
  </si>
  <si>
    <t>Siasi</t>
  </si>
  <si>
    <t>Sitio Muslim, Campo Islam District II</t>
  </si>
  <si>
    <t>SIASI DISTRICT HOSPITAL</t>
  </si>
  <si>
    <t>Dr. Mudimar A. Salim</t>
  </si>
  <si>
    <t>SDHospital1965@gmail.com</t>
  </si>
  <si>
    <t>1 unit Type I, CS No. F4 K247</t>
  </si>
  <si>
    <t>09-0057-26-I-1</t>
  </si>
  <si>
    <t>Tapul</t>
  </si>
  <si>
    <t>Poblacion Kalang, District 2</t>
  </si>
  <si>
    <t>TAPUL MUNICIPAL HOSPITAL</t>
  </si>
  <si>
    <t>Clinical Laboratory (Primary), Pharmacy</t>
  </si>
  <si>
    <t>Dr. Arcely S. Anni-Daud</t>
  </si>
  <si>
    <t>tapulmh@gmail.com</t>
  </si>
  <si>
    <t>09-0072-26-I-1</t>
  </si>
  <si>
    <t>Tongkil</t>
  </si>
  <si>
    <t>Dungon Proper, Dungon District 2 Bunguingui</t>
  </si>
  <si>
    <t>TONGKIL MUNICIPAL HOSPITAL</t>
  </si>
  <si>
    <t>Nhamier M. Jikiri, MD, MBA-MHA, FPCP</t>
  </si>
  <si>
    <t>tongkilmunhospital2023@gmail.com</t>
  </si>
  <si>
    <t>09-0076-26-I-1</t>
  </si>
  <si>
    <t>Zamboanga del Norte</t>
  </si>
  <si>
    <t>Labason</t>
  </si>
  <si>
    <t>LABASON DISTRICT HOSPITAL</t>
  </si>
  <si>
    <t>Clinical Lab</t>
  </si>
  <si>
    <t>Dr. Juvylisa S. 
Asentista, MPH</t>
  </si>
  <si>
    <t>0917-5006731</t>
  </si>
  <si>
    <t>labasondistrict88@gmail.com</t>
  </si>
  <si>
    <t>Gutalac Birthing Facility</t>
  </si>
  <si>
    <t>09-0021-26-I-1</t>
  </si>
  <si>
    <t>Liloy</t>
  </si>
  <si>
    <t>LILOY INTEGRATED HEALTH DISTRICT HOSPITAL</t>
  </si>
  <si>
    <t>Pharmacy,  X-Ray -Level1</t>
  </si>
  <si>
    <t>Noel C. Herrera, M.D.</t>
  </si>
  <si>
    <t>065 9189165/ 09975591993</t>
  </si>
  <si>
    <t>liloyihdhospital2014@yahoo.com</t>
  </si>
  <si>
    <t>Type I</t>
  </si>
  <si>
    <t>Liloy Birthing Clinic</t>
  </si>
  <si>
    <t>09-0071-26-I-1</t>
  </si>
  <si>
    <t>Manukan</t>
  </si>
  <si>
    <t>TRIFON SAILE MEMORIAL HOSPITAL</t>
  </si>
  <si>
    <t>Clinical Lab, ASP MOA w/ Manukan</t>
  </si>
  <si>
    <t>Dr. Nur-Hamir S. Ajijul</t>
  </si>
  <si>
    <t>0930-127-2618</t>
  </si>
  <si>
    <t>manukan_hospital@yahoo.com</t>
  </si>
  <si>
    <t>Type I, OR no. 090825000017359, CR No. 34328980, CS No. A9Z 133, Plate No. 100104</t>
  </si>
  <si>
    <t>Manukan RHU</t>
  </si>
  <si>
    <t>09-0045-26-I-1</t>
  </si>
  <si>
    <t>Piñan</t>
  </si>
  <si>
    <t>PIÑAN DISTRICT HOSPITAL</t>
  </si>
  <si>
    <t>Clinical Lab, Pharmacy and X-Ray Services</t>
  </si>
  <si>
    <t>Dr. Adonis P. Valmoria</t>
  </si>
  <si>
    <t>0956-5532693</t>
  </si>
  <si>
    <t>pinandhospital@gmail.com</t>
  </si>
  <si>
    <t>PIÑAN RHU</t>
  </si>
  <si>
    <t>09-0067-26-I-1</t>
  </si>
  <si>
    <t>Sergio Osmeña</t>
  </si>
  <si>
    <t>Highway Biayon District 2</t>
  </si>
  <si>
    <t>SERGIO OSMEÑA SR. INFIRMARY FACILITY</t>
  </si>
  <si>
    <t>MOA W/ RHU Sergio Osmeña</t>
  </si>
  <si>
    <t>Arjay A. Lao, MD, MPH</t>
  </si>
  <si>
    <t>09671529442/09858981018</t>
  </si>
  <si>
    <t>sosmhospital88@gmail.com</t>
  </si>
  <si>
    <t>09-0026-26-I-1</t>
  </si>
  <si>
    <t>Sibutad</t>
  </si>
  <si>
    <t>SIBUTAD MUNICIPAL HOSPITAL</t>
  </si>
  <si>
    <t>Clinical Lab w/ Phramacy</t>
  </si>
  <si>
    <t>Dr. Maria Margarita 
Romanillos</t>
  </si>
  <si>
    <t>065-917-6814/9177175129</t>
  </si>
  <si>
    <t>sibutadmh0621@gmail.com</t>
  </si>
  <si>
    <t>1 Type I, OR No. 090825000046467, CR No. 256766451, Plate No. 131208</t>
  </si>
  <si>
    <t>Sibutad RHU</t>
  </si>
  <si>
    <t>09-0048-26-I-1</t>
  </si>
  <si>
    <t>Sindangan</t>
  </si>
  <si>
    <t>SINDANGAN DISTRICT HOSPITAL</t>
  </si>
  <si>
    <t>ASP MOA w/ Sindangan, Pharmacy, X-ray</t>
  </si>
  <si>
    <t>Dr. Karyl Ann M. Mejorada</t>
  </si>
  <si>
    <t>sindangan.hospital@yahoo.com</t>
  </si>
  <si>
    <t>Type I, OR No. 092624000002811, CR No. 45163518-3, CS No. F4 3975</t>
  </si>
  <si>
    <t>Sindangan RHU</t>
  </si>
  <si>
    <t>09-0037-26-I-1</t>
  </si>
  <si>
    <t>Siocon</t>
  </si>
  <si>
    <t>Campaner St., Manaol</t>
  </si>
  <si>
    <t>CONSTANTINO SORIANO SR. HOSPITAL</t>
  </si>
  <si>
    <t>Dr. Ernest Adrian  L. Rafanan, MMHoA</t>
  </si>
  <si>
    <t>0916-4369250</t>
  </si>
  <si>
    <t>siocondistricthospital@yahoo.com</t>
  </si>
  <si>
    <t>09-0064-26-H1-1</t>
  </si>
  <si>
    <t>Zamboanga del Sur</t>
  </si>
  <si>
    <t>Labangan</t>
  </si>
  <si>
    <t>Pulacan</t>
  </si>
  <si>
    <t>KUTA MAJOR CESAR L. SANG-AN STATION HOSPITAL</t>
  </si>
  <si>
    <t>ASP, Pharmacy,  X-Ray</t>
  </si>
  <si>
    <t>LTC Christopher V Dayag MC (GSC)</t>
  </si>
  <si>
    <t>026 9452774/ 09663996836</t>
  </si>
  <si>
    <t>hospital1id.mil@gmail.com</t>
  </si>
  <si>
    <t>09-0065-26-I-1</t>
  </si>
  <si>
    <t>Mahayag</t>
  </si>
  <si>
    <t>MAHAYAG MUNICIPAL HOSPITAL</t>
  </si>
  <si>
    <t>ASP</t>
  </si>
  <si>
    <t>Dr. Jerald O. Ramos, MPH</t>
  </si>
  <si>
    <t>0970-0845330 / 09704483087</t>
  </si>
  <si>
    <t>mmh.official@gmail.com</t>
  </si>
  <si>
    <t>Owned ASP, Type 1- OR# 0930-000000078047, CR# 41563706-2, Plate# 130103</t>
  </si>
  <si>
    <t>09-0022-26-I-1</t>
  </si>
  <si>
    <t>Pagadian City</t>
  </si>
  <si>
    <t>Luy-a, Danlugan</t>
  </si>
  <si>
    <t>PAGADIAN CITY INFIRMARY</t>
  </si>
  <si>
    <t>Arnel  Lerias, M.D.</t>
  </si>
  <si>
    <t>0920-9380190</t>
  </si>
  <si>
    <t>pagadiancityinfirmary@yahoo.com</t>
  </si>
  <si>
    <t xml:space="preserve">Owned ASP, 1 unit, Type 1, OR No. 0937-000000006587, 
CR No. 48813223-4 Plate No. 130110
</t>
  </si>
  <si>
    <t>09-0025-26-I-1</t>
  </si>
  <si>
    <t>Zamboanga City</t>
  </si>
  <si>
    <t>Upper Calarian</t>
  </si>
  <si>
    <t>CAMP NAVARRO GENERAL HOSPITAL</t>
  </si>
  <si>
    <t>Col. Joel P. Carreon (GSC)</t>
  </si>
  <si>
    <t>0915-6533133</t>
  </si>
  <si>
    <t>cngh_nfwm@yahoo.com.ph</t>
  </si>
  <si>
    <t>09-0052-26-I-1</t>
  </si>
  <si>
    <t>Quinipot</t>
  </si>
  <si>
    <t>CRISTINO M. PARAGAS MEMORIAL HOSPITAL</t>
  </si>
  <si>
    <t>ASP, Clinical Lab, Pharmacy, X-ray</t>
  </si>
  <si>
    <t>Dr. Hussein H. Sahijuan III</t>
  </si>
  <si>
    <t>9179658095</t>
  </si>
  <si>
    <t>cmpmchospital@yahoo.com</t>
  </si>
  <si>
    <t>Owned ASP, Type 1- 2 units, OR# 0928-000000227081, CR# 38311774-4, Plate# 092803; OR# 0928-000000227087, CR# 41563701-4, Plate#  130103</t>
  </si>
  <si>
    <t>09-0010-26-I-1</t>
  </si>
  <si>
    <t>EDWIN ANDREWS AIRBASE HOSPITAL</t>
  </si>
  <si>
    <t>LTC Mark Jameson D. 
Bagos MC</t>
  </si>
  <si>
    <t>9957981640</t>
  </si>
  <si>
    <t>eaabhospital@gmail.com</t>
  </si>
  <si>
    <t xml:space="preserve">Owned ASP, Type 1- OR No. 0928-000000247760 
CR No. 195981030, Plate No. 090106
</t>
  </si>
  <si>
    <t>09-0027-26-I-1</t>
  </si>
  <si>
    <t>Zamboanga Sibugay</t>
  </si>
  <si>
    <t>ALICIA DISTRICT HOSPITAL</t>
  </si>
  <si>
    <t>ASP, Clinical Lab</t>
  </si>
  <si>
    <t>Sheinorino D. Sotto, M.D., MPH</t>
  </si>
  <si>
    <t>0977-8054646</t>
  </si>
  <si>
    <t>alicia.hospital@sibugay.gov.ph</t>
  </si>
  <si>
    <t>St. John General Hospital</t>
  </si>
  <si>
    <t>09-0054-26-I-1</t>
  </si>
  <si>
    <t>Diplahan</t>
  </si>
  <si>
    <t>WILFREDO C. PALMA MEMORIAL HOSPITAL</t>
  </si>
  <si>
    <t>X-ray, ASP MOA w/ Diplahan RHU PCF</t>
  </si>
  <si>
    <t>Dr. Mario Jr  T. Tumacmol, 
RN, MPH</t>
  </si>
  <si>
    <t>9176328592</t>
  </si>
  <si>
    <t>wcpmhdiplahan2022@gmail.com</t>
  </si>
  <si>
    <t>Owned ASP, 1 unit Type 1, OR # 0301-000000090383; CR #: 0047172764, PN: SND2859</t>
  </si>
  <si>
    <t>09-0007-26-I-1</t>
  </si>
  <si>
    <t>Malangas</t>
  </si>
  <si>
    <t>Candis</t>
  </si>
  <si>
    <t>MALANGAS EMERGENCY INFIRMARY</t>
  </si>
  <si>
    <t>ASP, Clin Lab</t>
  </si>
  <si>
    <t>Dr. Maria Lourde G. 
Pitos-Sy, DPCOM</t>
  </si>
  <si>
    <t>062-957-8401</t>
  </si>
  <si>
    <t>malangasemergencyhospital@gmail.com</t>
  </si>
  <si>
    <t>09-0041-26-I-1</t>
  </si>
  <si>
    <t>Olutanga</t>
  </si>
  <si>
    <t>Bateria</t>
  </si>
  <si>
    <t>OLUTANGA MUNICIPAL HOSPITAL</t>
  </si>
  <si>
    <t>Pharmacy,</t>
  </si>
  <si>
    <t>Dr. Janice Q. Pedroso, 
MPH</t>
  </si>
  <si>
    <t>9173014761</t>
  </si>
  <si>
    <t>omh1992@yahoo.com /janiceque_28@yahoo.com</t>
  </si>
  <si>
    <t>Owned ASP, Type 1- OR# 091225000002047, CR# 3889252-2, CS No. F4 D110</t>
  </si>
  <si>
    <t>09-0020-26-I-1</t>
  </si>
  <si>
    <t>Bukidnon</t>
  </si>
  <si>
    <t>Kalilangan</t>
  </si>
  <si>
    <t>Purok 1, West Poblacion</t>
  </si>
  <si>
    <t>BUKIDNON PROVINCIAL HOSPITAL - KALILANGAN</t>
  </si>
  <si>
    <t>Primary Clinical Laboratory, Pharmacy, Level 1 X-ray Services</t>
  </si>
  <si>
    <t>Dr. Early A. Buenaventura</t>
  </si>
  <si>
    <t>09185805198</t>
  </si>
  <si>
    <t>bph_kalilangan@yahoo.com / kalilangan92@gmail.com</t>
  </si>
  <si>
    <t>1 / Type 2 / Plate No. SKB1869 Chassis No. JN1LC4E26Z0051548</t>
  </si>
  <si>
    <t>10-0007-26-I-1</t>
  </si>
  <si>
    <t>Malitbog</t>
  </si>
  <si>
    <t>Zone 1, Imelda St., Poblacion</t>
  </si>
  <si>
    <t>BUKIDNON PROVINCIAL HOSPITAL - MALITBOG</t>
  </si>
  <si>
    <t>Primary Clinical Laboratory with add-on services: Electrolytes, SGPT, SGOT, HbA1c, Pharmacy, Level 1 X-ray Services</t>
  </si>
  <si>
    <t>Dr. Irvelle G. Bacot</t>
  </si>
  <si>
    <t>bphmalitbog@gmail.com</t>
  </si>
  <si>
    <t>1 / Type 1 / Plate No. 100109</t>
  </si>
  <si>
    <t>10-0024-26-I-1</t>
  </si>
  <si>
    <t>Maramag</t>
  </si>
  <si>
    <t>Musuan, Dologon</t>
  </si>
  <si>
    <t>CENTRAL MINDANAO UNIVERSITY HOSPITAL</t>
  </si>
  <si>
    <t>Secondary Clinical Laboratory, Pharmacy, Level 1 X-ray Services</t>
  </si>
  <si>
    <t>Dr. Jennelyn Joy C. Tizuela</t>
  </si>
  <si>
    <t>hospital@cmu.edu.ph</t>
  </si>
  <si>
    <t>none</t>
  </si>
  <si>
    <t>10-0021-26-I-1</t>
  </si>
  <si>
    <t>Balangay 3, Poblacion</t>
  </si>
  <si>
    <t>QUEZON HEALTH CENTER INFIRMARY</t>
  </si>
  <si>
    <t>Pharmacy, Level 2 X-ray Services, Primary Clinical Laboratory (with add-on services:  SGPT, SGOT, Electrolytes, HbA1c)</t>
  </si>
  <si>
    <t>Dr. Lea Paula P. Catalan</t>
  </si>
  <si>
    <t>09756236796 / (088)822-0209</t>
  </si>
  <si>
    <t>lgu.quezon.bukidnon@gmail.com / quezonhealthcenterinfirmary@gmail.com</t>
  </si>
  <si>
    <t>1 / Type 1, Conduction Sticker No. F4K574</t>
  </si>
  <si>
    <t>10-0030-26-I-1</t>
  </si>
  <si>
    <t>Existing with Changes</t>
  </si>
  <si>
    <t>Add-on Service</t>
  </si>
  <si>
    <t>initial for Primary Clinical Laboratory add-on services: Electrolytes, HbA1c - validity: 3/18/2026-12/31/2026</t>
  </si>
  <si>
    <t>San Fernando</t>
  </si>
  <si>
    <t>Purok 10, Halapitan</t>
  </si>
  <si>
    <t>BUKIDNON PROVINCIAL HOSPITAL - SAN FERNANDO</t>
  </si>
  <si>
    <t>Dr. Carlo Antonio A. Abude</t>
  </si>
  <si>
    <t>scofield_md@yahoo.com</t>
  </si>
  <si>
    <t>1 / Type 1 / Conduction Sticker No. F6S483</t>
  </si>
  <si>
    <t>10-0029-26-I-1</t>
  </si>
  <si>
    <t>Talakag</t>
  </si>
  <si>
    <t>Barangay 3</t>
  </si>
  <si>
    <t>BUKIDNON PROVINCIAL HOSPITAL - TALAKAG</t>
  </si>
  <si>
    <t>Primary Clinical Laboratory with add-on services: Electrolytes, ALT, HbA1c, Pharmacy, Level 1 X-ray Services</t>
  </si>
  <si>
    <t>Dr. Lowela R. Intud</t>
  </si>
  <si>
    <t>bphtalakag@gmail.com</t>
  </si>
  <si>
    <t>10-0016-26-I-1</t>
  </si>
  <si>
    <t>initial for Primary Clinical Laboratory add-on services: Electrolytes, ALT, HbA1c - validity: 5/11/2026-12/31/2026</t>
  </si>
  <si>
    <t>Lanao del Norte</t>
  </si>
  <si>
    <t>Balo-i</t>
  </si>
  <si>
    <t>East Poblacion</t>
  </si>
  <si>
    <t>BALO-I PROVINCIAL HOSPITAL</t>
  </si>
  <si>
    <t>Primary Clinical Laboratory, Pharmacy</t>
  </si>
  <si>
    <t>Dr. Sohainah D. Ismael</t>
  </si>
  <si>
    <t>09917405136 / 09917405137 / (063)229-1139</t>
  </si>
  <si>
    <t>balph2024@gmail.com / baloiph2010@gmail.com / sohainah@gmail.com</t>
  </si>
  <si>
    <t>10-0017-26-I-1</t>
  </si>
  <si>
    <t>Kauswagan</t>
  </si>
  <si>
    <t>Bagumbayan</t>
  </si>
  <si>
    <t>KAUSWAGAN PROVINCIAL HOSPITAL</t>
  </si>
  <si>
    <t>Primary Clinical Laboratory, Pharmacy, Level 2 X-ray Services</t>
  </si>
  <si>
    <t>Dr. Norhabib P. Paporo</t>
  </si>
  <si>
    <t>(063)227-1259 / 09177710766</t>
  </si>
  <si>
    <t>kausph@gmail.com</t>
  </si>
  <si>
    <t>1 / Type 1, Plate No. FOF 368</t>
  </si>
  <si>
    <t>10-0010-26-I-1</t>
  </si>
  <si>
    <t>Sultan Naga Dimaporo</t>
  </si>
  <si>
    <t>Brgy. Maguindanao</t>
  </si>
  <si>
    <t>SULTAN NAGA DIMAPORO PROVINCIAL HOSPITAL</t>
  </si>
  <si>
    <t>Dr. Raihani O. Batalo</t>
  </si>
  <si>
    <t>sndph82@yahoo.com</t>
  </si>
  <si>
    <t>10-0008-26-I-1</t>
  </si>
  <si>
    <t>Misamis Occidental</t>
  </si>
  <si>
    <t>Jimenez</t>
  </si>
  <si>
    <t>059 Gomez St., Nacional</t>
  </si>
  <si>
    <t>JIMENEZ MEDICARE COMMUNITY HOSPITAL</t>
  </si>
  <si>
    <t>Primary Clinical Laboratory</t>
  </si>
  <si>
    <t>Dr. Rommer V. Destura</t>
  </si>
  <si>
    <t>(088)545-1543</t>
  </si>
  <si>
    <t>jmch59@gmail.com / jmchmedicalrecords@gmail.com / jmch059@gmail.com</t>
  </si>
  <si>
    <t>10-0035-26-I-1</t>
  </si>
  <si>
    <t>Ozamiz City</t>
  </si>
  <si>
    <t>Manabay</t>
  </si>
  <si>
    <t>S.M. LAO MEMORIAL CITY GENERAL HOSPITAL</t>
  </si>
  <si>
    <t>Pharmacy, Primary Clinical Laboratory with add-on services: SGOT, SGPT</t>
  </si>
  <si>
    <t>Dr. Cheyney S. Caday</t>
  </si>
  <si>
    <t>(088)521-6698 / 09129411067</t>
  </si>
  <si>
    <t>smlaohospital@yahoo.com</t>
  </si>
  <si>
    <t>10-0019-26-I-1</t>
  </si>
  <si>
    <t>Sitio Matco, Panalsalan</t>
  </si>
  <si>
    <t>PLARIDEL COMMUNITY HOSPITAL</t>
  </si>
  <si>
    <t>Secondary Clinical Laboratory, Level 2 X-ray Services, Pharmacy</t>
  </si>
  <si>
    <t>Dr. Jocelyn L. Palionay</t>
  </si>
  <si>
    <t>09814877273</t>
  </si>
  <si>
    <t>pch.plaridel@gmail.com</t>
  </si>
  <si>
    <t>10-0022-26-I-1</t>
  </si>
  <si>
    <t>Tudela</t>
  </si>
  <si>
    <t>Centro Napu</t>
  </si>
  <si>
    <t>TUDELA MUNICIPAL HOSPITAL</t>
  </si>
  <si>
    <t>Dr. Janice C. Biete</t>
  </si>
  <si>
    <t>(088)545-0835</t>
  </si>
  <si>
    <t>tudelamunicipalhospital@gmail.com</t>
  </si>
  <si>
    <t>1 / Type 1, Conduction Sticker No. F4B830</t>
  </si>
  <si>
    <t>10-0036-26-I-1</t>
  </si>
  <si>
    <t>Misamis Oriental</t>
  </si>
  <si>
    <t>Alubijid</t>
  </si>
  <si>
    <t>Brgy. Lanao</t>
  </si>
  <si>
    <t>OWWA MISAMIS ORIENTAL PROVINCIAL HOSPITAL - ALUBIJID</t>
  </si>
  <si>
    <t>Primary Clinical Laboratory with add-on services: Electrolytes, AST, ALT, HbA1c, Pharmacy</t>
  </si>
  <si>
    <t>Dr. Aristotle G. Betita</t>
  </si>
  <si>
    <t>09778030600</t>
  </si>
  <si>
    <t>owwamisorphalubijid@gmail.com</t>
  </si>
  <si>
    <t>2 / Type 1, Conduction Sticker Nos. F3V649 and F5I231</t>
  </si>
  <si>
    <t>10-0020-26-I-1</t>
  </si>
  <si>
    <t>Cagayan de Oro City</t>
  </si>
  <si>
    <t>F. Delima St., Lumbia</t>
  </si>
  <si>
    <t>CAGAYAN DE ORO CITY HOSPITAL - LUMBIA (INFIRMARY FACILITY)</t>
  </si>
  <si>
    <t>Dr. Ferdinand D. Miranda</t>
  </si>
  <si>
    <t>(088)3270347</t>
  </si>
  <si>
    <t>cdochospital@gmail.com</t>
  </si>
  <si>
    <t>1 / Type 1, Plate No. SND6049 with Engine No. YD25106481B</t>
  </si>
  <si>
    <t>10-0027-26-I-1</t>
  </si>
  <si>
    <t>initial for Pharmacy - validity: 4/17/2026-12/31/2026; and ambulance with Plate No. SND6049 Engine No. YD25106481B - validity: 5/5/2026-12/31/2026; late renewal for Primary Clinical Laboratory - validity: 1/15/2026-12/31/2026</t>
  </si>
  <si>
    <t>MISAMIS ORIENTAL PROVINCIAL HOSPITAL - CLAVERIA</t>
  </si>
  <si>
    <t>Pharmacy, Primary Clinical Laboratory with add-on services: AST, ALT, Electrolytes, HbA1c</t>
  </si>
  <si>
    <t>Dr. Pilardo A. Ledesma Jr.</t>
  </si>
  <si>
    <t>misorclaveria@gmail.com</t>
  </si>
  <si>
    <t>2 / Type 1 / Conduction Sticker Nos. F4J892 and F5I228</t>
  </si>
  <si>
    <t>10-0034-26-I-1</t>
  </si>
  <si>
    <t>Jasaan</t>
  </si>
  <si>
    <t>Lower Jasaan</t>
  </si>
  <si>
    <t>JASAAN MUNICIPAL HOSPITAL</t>
  </si>
  <si>
    <t>Primary Clinical Laboratory, Level 1 X-ray Services, Pharmacy</t>
  </si>
  <si>
    <t>Dr. Herondio L. Ramos</t>
  </si>
  <si>
    <t>jasaanhospital1983@gmail.com</t>
  </si>
  <si>
    <t>10-0031-26-I-1</t>
  </si>
  <si>
    <t>initial for pharmacy - validity: 1/5/2026-12/31/2026</t>
  </si>
  <si>
    <t>Purok 3, Cabubuhan</t>
  </si>
  <si>
    <t>MISAMIS ORIENTAL PROVINCIAL HOSPITAL - MAGSAYSAY</t>
  </si>
  <si>
    <t>Dr. Kathleen M. Ambal</t>
  </si>
  <si>
    <t>09530012151</t>
  </si>
  <si>
    <t>mophmagsaysay@gmail.com</t>
  </si>
  <si>
    <t>2 / Type 1 / Conduction Sticker Nos. F3R222 and F5I225</t>
  </si>
  <si>
    <t>10-0004-26-I-1</t>
  </si>
  <si>
    <t>Medina</t>
  </si>
  <si>
    <t>Tangan Ragot St., North Poblacion</t>
  </si>
  <si>
    <t>FIRST MISAMIS ORIENTAL GENERAL HOSPITAL</t>
  </si>
  <si>
    <t>Secondary Clinical Laboratory, Pharmacy, Level 2 X-ray Services</t>
  </si>
  <si>
    <t>Dr. Napoleon Ray A. Talines</t>
  </si>
  <si>
    <t>(088)861-1503 , 09663357116</t>
  </si>
  <si>
    <t>mh_npm@yahoo.com / fmogh.medina@gmail.com</t>
  </si>
  <si>
    <t>2 / Type 1, Conduction Sticker No. F5I208; (and Plate No. SGA6283 with Engine No. 1GD9553036 - 06/17/2026)</t>
  </si>
  <si>
    <t>10-0015-26-I-1</t>
  </si>
  <si>
    <t>initial for additional unit of ambulance (Plate No. SGA6283 with Engine No. 1GD9553036 valid Jun. 17, 2026-Dec. 31, 2026)</t>
  </si>
  <si>
    <t>Villanueva</t>
  </si>
  <si>
    <t>Municipal Government Complex, Brgy. Looc</t>
  </si>
  <si>
    <t>NORTHEASTERN MISAMIS GENERAL HOSPITAL</t>
  </si>
  <si>
    <t>Primary Clinical Laboratory with add-on services: Electrolytes, SGPT (ALT), SGOT (AST), Bilirubinn Panel, Alkaline Phosphatase, Albumin; Level 1 X-ray Services</t>
  </si>
  <si>
    <t>Dr. Maria Magdalena A. Juan</t>
  </si>
  <si>
    <t>09171620723</t>
  </si>
  <si>
    <t>nmgh.dohx@gmail.com</t>
  </si>
  <si>
    <t>10-0028-26-I-1</t>
  </si>
  <si>
    <t>Davao City</t>
  </si>
  <si>
    <t>Naval Station Felix Apolinario, Panacan, Davao City</t>
  </si>
  <si>
    <t>CAMP PANACAN STATION HOSPITAL</t>
  </si>
  <si>
    <t>COL Virgilio Reginald M. Acain, Jr.</t>
  </si>
  <si>
    <t>082 227-4673
0928 337 0296</t>
  </si>
  <si>
    <t>cph1_hscem@yahoo.com</t>
  </si>
  <si>
    <t>11-40-26-25-I-1</t>
  </si>
  <si>
    <t>Camp Quintin M Merecido, Carlos P Garcia Highway, Buhangin, Davao City</t>
  </si>
  <si>
    <t>CAMP QUINTIN M MERECIDO HOSPITAL</t>
  </si>
  <si>
    <t>PLTCOL RITCHE LOU B. PALMA</t>
  </si>
  <si>
    <t>0995 834 5600
287-3516
0977 617 4149</t>
  </si>
  <si>
    <t>rhs11hospital_cqmmh@yahoo.com</t>
  </si>
  <si>
    <t>SND 9784 (47)
SND 9812 (48)</t>
  </si>
  <si>
    <t>11-35-26-18-I-1</t>
  </si>
  <si>
    <t>Marilog District</t>
  </si>
  <si>
    <t>Lower Kibalang, Marilog District, Davao City</t>
  </si>
  <si>
    <t>City Government of Davao - Marilog District Hospital</t>
  </si>
  <si>
    <t>Dr. Evelyno A. Buenaventura</t>
  </si>
  <si>
    <t>296-4562</t>
  </si>
  <si>
    <t>marilogdistricthospital2020@gmail.com</t>
  </si>
  <si>
    <t>11-16-26-10-I-1</t>
  </si>
  <si>
    <t>Paquibato</t>
  </si>
  <si>
    <t>Purok Orchids, Brgy. Paquibato Proper, Paquibato District, Davao City</t>
  </si>
  <si>
    <t>PAQUIBATO DISTRICT HOSPITAL</t>
  </si>
  <si>
    <t>Dr. Francisco O. Legaspi II</t>
  </si>
  <si>
    <t>0968 354 5033</t>
  </si>
  <si>
    <t>paquibatodisthospital@gmail.com</t>
  </si>
  <si>
    <t>MOA - Isaac T Robillo Hospital Corp.</t>
  </si>
  <si>
    <t>11-41-26-12-I-1</t>
  </si>
  <si>
    <t>Davao de Oro</t>
  </si>
  <si>
    <t>Mawab</t>
  </si>
  <si>
    <t>Tuboran, Mawab, Davao de Oro</t>
  </si>
  <si>
    <t>10TH STATION HOSPITAL (10TH SH)</t>
  </si>
  <si>
    <t>LTC May B Maano MC</t>
  </si>
  <si>
    <t>0917 139 2634</t>
  </si>
  <si>
    <t>cgmtyssh10id@gmail.com</t>
  </si>
  <si>
    <t>11-39-26-21-I-1</t>
  </si>
  <si>
    <t>Davao del Norte</t>
  </si>
  <si>
    <t>Sawata, San Isidro, Davao del Norte</t>
  </si>
  <si>
    <t>DAVAO REGIONAL MEDICAL CENTER WARD EXTENSION (INFIRMARY)</t>
  </si>
  <si>
    <t>Chrysteler Q. Clet, MD, FPAFP</t>
  </si>
  <si>
    <t>0933 386 2048</t>
  </si>
  <si>
    <t>drmcinfirmary@drmc.doh.gov.ph</t>
  </si>
  <si>
    <t>11-38-26-10-I-1</t>
  </si>
  <si>
    <t>Davao del Sur</t>
  </si>
  <si>
    <t>Kiblawan</t>
  </si>
  <si>
    <t>Bucabal Street, Poblacion Kiblawan, Davao del Sur</t>
  </si>
  <si>
    <t>GREGORIO MATAS DISTRICT HOSPITAL</t>
  </si>
  <si>
    <t>SGPT, HBA1C, Electrolytes</t>
  </si>
  <si>
    <t>Dr. Felipe D. dela Peña, Jr.</t>
  </si>
  <si>
    <t>0908 762 9050</t>
  </si>
  <si>
    <t>gmatashosp@gmail.com</t>
  </si>
  <si>
    <t>1,Type 1, Plate No. SAA 4439</t>
  </si>
  <si>
    <t>11-30-26-18-I-1</t>
  </si>
  <si>
    <t>Davao Occidental</t>
  </si>
  <si>
    <t>Jose Abad Santos</t>
  </si>
  <si>
    <t>Tomas Lachica St., Caburan Big, Jose Abad Santos
Davao Occidental</t>
  </si>
  <si>
    <t>TOMAS LACHICA DISTRICT HOSPITAL</t>
  </si>
  <si>
    <t>Dr. Al Gular Alfajora</t>
  </si>
  <si>
    <t>0925 257 5137</t>
  </si>
  <si>
    <t>tldhjas@gmail.com</t>
  </si>
  <si>
    <t>MOA-Malita Women's</t>
  </si>
  <si>
    <t>11-37-26-18-I-1</t>
  </si>
  <si>
    <t>Sarangani</t>
  </si>
  <si>
    <t>Mabila Sarangani, Davao Occidental</t>
  </si>
  <si>
    <t>SARANGANI MUNICIPAL HOSPITAL</t>
  </si>
  <si>
    <t>Dr. John Theodore M. Palo</t>
  </si>
  <si>
    <t>0927 362 1056</t>
  </si>
  <si>
    <t>smhdavocc@gmail.com</t>
  </si>
  <si>
    <t>11-34-26-14-I-1</t>
  </si>
  <si>
    <t>Davao Oriental</t>
  </si>
  <si>
    <t>Baganga</t>
  </si>
  <si>
    <t>Governor Generoso Street, Barangay Central,
Baganga, Davao Oriental</t>
  </si>
  <si>
    <t xml:space="preserve">AWUYON COMMUNITY MUNICIPAL HOSPITAL
</t>
  </si>
  <si>
    <t>Dr. Zoren R. Reyes</t>
  </si>
  <si>
    <t>0930 447 5621</t>
  </si>
  <si>
    <t>acmhospitalbaganga@gmail.com</t>
  </si>
  <si>
    <t xml:space="preserve">1, Type 1, Temp. Plate No. 0401-1595000 
</t>
  </si>
  <si>
    <t>11-19-26-15-I-1</t>
  </si>
  <si>
    <t>Cateel</t>
  </si>
  <si>
    <t>Hospital Road, Poblacion Cateel, Davao Oriental</t>
  </si>
  <si>
    <t>DAVAO ORIENTAL PROVINCIAL HOSPITAL - CATEEL</t>
  </si>
  <si>
    <t>Dr. Guinevere Encarnacion</t>
  </si>
  <si>
    <t>cateeldistricthospital@gmail.com</t>
  </si>
  <si>
    <t>11-32-26-15-I-1</t>
  </si>
  <si>
    <t>Gov. Gen.</t>
  </si>
  <si>
    <t>L. Prudente Street, Poblacion Governor Generoso,
Davao Oriental</t>
  </si>
  <si>
    <t>DAVAO ORIENTAL PROVINCIAL HOSPITAL - GOVERNOR GENEROSO</t>
  </si>
  <si>
    <t>Dr. Karissa May S. Go</t>
  </si>
  <si>
    <t>mho.governorgeneroso@gmail.com</t>
  </si>
  <si>
    <t>11-25-26-25-I-1</t>
  </si>
  <si>
    <t>Lupon</t>
  </si>
  <si>
    <t>Purok Townsite Poblacion Lupon, Davao Oriental</t>
  </si>
  <si>
    <t>DAVAO ORIENTAL PROVINCIAL HOSPITAL - LUPON</t>
  </si>
  <si>
    <t>Dr. Anna Camile T. Diez</t>
  </si>
  <si>
    <t>ldistricthospital@yahoo.com</t>
  </si>
  <si>
    <t>1, Type I, Plate No. BOH 315</t>
  </si>
  <si>
    <t>11-10-26-25-I-1</t>
  </si>
  <si>
    <t>Manay</t>
  </si>
  <si>
    <t>Bato Central, Manay, Davao Oriental</t>
  </si>
  <si>
    <t>DAVAO ORIENTAL PROVINCIAL HOSPITAL - MANAY</t>
  </si>
  <si>
    <t>Dr. Ariel Gustilo Maghari</t>
  </si>
  <si>
    <t>0975 057 2596
0999 368 2815
0930 417 3146
0930 746 4135</t>
  </si>
  <si>
    <t>mdh0715_1986@yahoo.com</t>
  </si>
  <si>
    <t>11-42-26-10-I-1</t>
  </si>
  <si>
    <t>North Cotabato</t>
  </si>
  <si>
    <t>Alamada</t>
  </si>
  <si>
    <t>Sitio Magsaysay, Brgy. Kitacubong</t>
  </si>
  <si>
    <t>ALAMADA PROVINCIAL COMMUNITY HOSPITAL</t>
  </si>
  <si>
    <t>Mary Joy O. Posada, MD, MSPH-HA</t>
  </si>
  <si>
    <t>apchospitall.1997@gmail.com</t>
  </si>
  <si>
    <t>Midsayap Diagnostics Center and Hospital, Inc.</t>
  </si>
  <si>
    <t>12-0013-26-I-1</t>
  </si>
  <si>
    <t>Antipas</t>
  </si>
  <si>
    <t>Brgy. Magsaysay</t>
  </si>
  <si>
    <t>ARAKAN VALLEY DISTRICT HOSPITAL</t>
  </si>
  <si>
    <t>Medical X-ray (Level 1)
Pharmacy</t>
  </si>
  <si>
    <t>Dr. Jose R.  Kanda, FPSMSI</t>
  </si>
  <si>
    <t>avdh_antipas@ymail.com</t>
  </si>
  <si>
    <t>Cotabato Provincial Hospital</t>
  </si>
  <si>
    <t>12-0014-26-I-1</t>
  </si>
  <si>
    <t>Kidapawan City</t>
  </si>
  <si>
    <t>Quezon Boulevard, Poblacion</t>
  </si>
  <si>
    <t>KIDAPAWAN CITY HOSPITAL</t>
  </si>
  <si>
    <t>Medical X-ray (Level 2)
Pharmacy</t>
  </si>
  <si>
    <t>Thaddeus M. Averilla, MD</t>
  </si>
  <si>
    <t>kidapawancityhospital@yahoo.com</t>
  </si>
  <si>
    <t>Kidapawan Doctors Hospital, Inc.</t>
  </si>
  <si>
    <t>12-0024-26-I-1</t>
  </si>
  <si>
    <t>President Roxas</t>
  </si>
  <si>
    <t>National Highway, New Cebu</t>
  </si>
  <si>
    <t>PRESIDENT ROXAS PROVINCIAL  COMMUNITY HOSPITAL</t>
  </si>
  <si>
    <t>Dr. Mary Gene T. Yuag</t>
  </si>
  <si>
    <t>prpchhospital@gmail.com</t>
  </si>
  <si>
    <t>12-0004-26-I-1</t>
  </si>
  <si>
    <t>Tulunan</t>
  </si>
  <si>
    <t>Jose Abad Santos Street, Poblacion</t>
  </si>
  <si>
    <t>FR. TULIO FAVALI MUNICIPAL HOSPITAL</t>
  </si>
  <si>
    <t>Sherlito M. Pineda, MD</t>
  </si>
  <si>
    <t>tuliofavali@gmail.com</t>
  </si>
  <si>
    <t>M'lang District Hospital</t>
  </si>
  <si>
    <t>12-0007-26-I-1</t>
  </si>
  <si>
    <t>Maasim</t>
  </si>
  <si>
    <t>St. Louie Street, Poblacion</t>
  </si>
  <si>
    <t>SARANGANI PROVINCIAL HOSPITAL-MAASIM</t>
  </si>
  <si>
    <t>Rosalie D. Sobretodo, MD</t>
  </si>
  <si>
    <t>maasimmunicipalhospital@gmail.com</t>
  </si>
  <si>
    <t>1/Type 1/, F5T584/Cr no. 47428114-6</t>
  </si>
  <si>
    <t>12-0023-26-I-1</t>
  </si>
  <si>
    <t>Maitum</t>
  </si>
  <si>
    <t>Nation Highway, Purok Liwliwa Brgy. Malalag</t>
  </si>
  <si>
    <t>SARANGANI PROVINCIAL HOSPITAL-MAITUM</t>
  </si>
  <si>
    <t>Helen Grace P. Abando</t>
  </si>
  <si>
    <t>maitum.hospital@gmail.com</t>
  </si>
  <si>
    <t>1/Type 1/P7X818, Cr no. 40112544-3</t>
  </si>
  <si>
    <t>12-0003-26-I-1</t>
  </si>
  <si>
    <t>South Cotabato</t>
  </si>
  <si>
    <t>Lake Sebu</t>
  </si>
  <si>
    <t>Prk. Rosas, Brgy. Poblacion</t>
  </si>
  <si>
    <t>LAKE SEBU COMMUNITY HEALTH CARE COMPLEX (GONO MULUNG)</t>
  </si>
  <si>
    <t>Pharmacy
Additional test for CL - Electrolytes</t>
  </si>
  <si>
    <t>Jay-ar M. Belgera, MD</t>
  </si>
  <si>
    <t>gonomulung16@gmail.com</t>
  </si>
  <si>
    <t>1/Type 1/ F4Y-004, Cr no. 454255045</t>
  </si>
  <si>
    <t>12-0037-26-I-1</t>
  </si>
  <si>
    <t>Polomolok</t>
  </si>
  <si>
    <t>Purok Maligaya I, Pagalungan</t>
  </si>
  <si>
    <t>POLOMOLOK MUNICIPAL HOSPITAL</t>
  </si>
  <si>
    <t xml:space="preserve">Kryshelle Pilar J. Fundar, RN, MD, MHA
(May 2, 2026)
</t>
  </si>
  <si>
    <t>pmh_922@yahoo.com</t>
  </si>
  <si>
    <t>1/Type 1/F45081/Cr no. 454255130</t>
  </si>
  <si>
    <t>12-0028-26-I-1</t>
  </si>
  <si>
    <t>Tampakan</t>
  </si>
  <si>
    <t>Purok Upper San Isidro , Poblacion, Tampakan, South Cotabato</t>
  </si>
  <si>
    <t>TAMPAKAN GENERAL HOSPITAL</t>
  </si>
  <si>
    <t>Joanne Rosaire C. Liboon, MD</t>
  </si>
  <si>
    <t>tampakangeneralhospital2024@gmail.com</t>
  </si>
  <si>
    <t>12-0035-26-I-1</t>
  </si>
  <si>
    <t>Tupi</t>
  </si>
  <si>
    <t>Purok 3-A, Brgy. Poblacion</t>
  </si>
  <si>
    <t>ROEL I. SENADOR MD, MEMORIAL HOSPITAL</t>
  </si>
  <si>
    <t>Romeo S. Tamayo</t>
  </si>
  <si>
    <t>rishmh_18@yahoo.com</t>
  </si>
  <si>
    <t>1/Type 1/0332-366829, Cr no. 48735253-0</t>
  </si>
  <si>
    <t>12-0031-26-I-1</t>
  </si>
  <si>
    <t>Sultan Kudarat</t>
  </si>
  <si>
    <t>Purok Laurel, Poblacion</t>
  </si>
  <si>
    <t>BAGUMBAYAN INFIRMARY</t>
  </si>
  <si>
    <t>Rex l. Tranquillero , MD, MPH</t>
  </si>
  <si>
    <t>infirmarybagumbayan@gmail.com</t>
  </si>
  <si>
    <t>Matias Clinic and Hospital</t>
  </si>
  <si>
    <t>12-0015-26-I-1</t>
  </si>
  <si>
    <t>Columbio</t>
  </si>
  <si>
    <t>Itable Street,Poblacion</t>
  </si>
  <si>
    <t>COLUMBIO INFIRMARY</t>
  </si>
  <si>
    <t>Dr. Marc Angelo D. Delas LLagas</t>
  </si>
  <si>
    <t>columbioinfirmary@gmail.com</t>
  </si>
  <si>
    <t>Sultan Kudarat Provincial Hospital</t>
  </si>
  <si>
    <t>12-0027-26-I-1</t>
  </si>
  <si>
    <t>Lambayong</t>
  </si>
  <si>
    <t>Brgy. Maligaya</t>
  </si>
  <si>
    <t>LAMBAYONG DISTRICT HOSPITAL</t>
  </si>
  <si>
    <t>Hernie D. Baraquia, MD, FPSMS, MHA</t>
  </si>
  <si>
    <t>lambayongdistricthospital@gmail.com</t>
  </si>
  <si>
    <t>St. Louis Hospital</t>
  </si>
  <si>
    <t>12-0025-26-I-1</t>
  </si>
  <si>
    <t>Senator Nino Aquino</t>
  </si>
  <si>
    <t>Purok Sampaguita, Poblacion</t>
  </si>
  <si>
    <t>SENATOR NINOY AQUINO MUNICIPAL HOSPITAL</t>
  </si>
  <si>
    <t>Eufer John P. Arroza, MD</t>
  </si>
  <si>
    <t>snamunicipalhospital@gmail.com</t>
  </si>
  <si>
    <t>12-0021-26-I-1</t>
  </si>
  <si>
    <t>Cabadbaran City</t>
  </si>
  <si>
    <t>Tolosa, Cabadbaran, Agusan del Norte</t>
  </si>
  <si>
    <t>CABADBARAN DISTRICT HOSPITAL</t>
  </si>
  <si>
    <t>Shirley T. Barrosa, MD., DFM</t>
  </si>
  <si>
    <t>cabad_dist_hosp08@yahoo.com</t>
  </si>
  <si>
    <t>Type 1, SAA 6191 CR No. 266932761</t>
  </si>
  <si>
    <t>16-15-26-I-1</t>
  </si>
  <si>
    <t>Jabonga</t>
  </si>
  <si>
    <t>P-1, Pob. Jabonga, Agusan del Norte</t>
  </si>
  <si>
    <t>JABONGA COMMUNITY INFIRMARY</t>
  </si>
  <si>
    <t>Dr. Jane Frances Jimenez</t>
  </si>
  <si>
    <t>jcinfirmary@gmail.com</t>
  </si>
  <si>
    <t>MOA With ADNPH</t>
  </si>
  <si>
    <t>16-14-26-I-1</t>
  </si>
  <si>
    <t>Mayugda, Purok 1-A, Poblacion, Jabonga, Agusan del Norte</t>
  </si>
  <si>
    <t>JABONGA MUNICIPAL HOSPITAL</t>
  </si>
  <si>
    <t>DR. HEDY GALELA-RACINES</t>
  </si>
  <si>
    <t>jabongamunicipal_hospital@yahoo.com</t>
  </si>
  <si>
    <t>16-18-26-I-1</t>
  </si>
  <si>
    <t>Kitcharao</t>
  </si>
  <si>
    <t>Kitcharao, Agusan del Norte</t>
  </si>
  <si>
    <t>KITCHARAO DISTRICT HOSPITAL</t>
  </si>
  <si>
    <t>Dr. Laliane Agnes P. Postrano</t>
  </si>
  <si>
    <t>kdhagusannorte@yahoo.com</t>
  </si>
  <si>
    <t>Type 1, Plate No. SHK514 CR No. 155227962 MOA w/ ADNPH</t>
  </si>
  <si>
    <t>16-21-26-I-1</t>
  </si>
  <si>
    <t>Las Nieves</t>
  </si>
  <si>
    <t>Poblacion, Las Nieves, Agusan del Norte</t>
  </si>
  <si>
    <t>LAS NIEVES MUNICIPAL HOSPITAL</t>
  </si>
  <si>
    <t>Dr. Hazel c. Matutino</t>
  </si>
  <si>
    <t>lnieveshosp@yahoo.com.ph</t>
  </si>
  <si>
    <t>MOA with Cabadbaran Dist. Hosp</t>
  </si>
  <si>
    <t>16-20-26---1</t>
  </si>
  <si>
    <t>Nasipit</t>
  </si>
  <si>
    <t>Kinabjangan, Nasipit, Agusan del Norte</t>
  </si>
  <si>
    <t>NASIPIT DISTRICT HOSPITAL</t>
  </si>
  <si>
    <t>Dr. Gertrudes R. Cembrano</t>
  </si>
  <si>
    <t>nasipitdistricthospital@yahoo.com.ph</t>
  </si>
  <si>
    <t>MOA with ADNPH</t>
  </si>
  <si>
    <t>16-5-26-I-1</t>
  </si>
  <si>
    <t>Agusan del Sur</t>
  </si>
  <si>
    <t>Bayugan City</t>
  </si>
  <si>
    <t>Kasoy St., Bayugan, Agusan del Sur</t>
  </si>
  <si>
    <t>BAYUGAN COMMUNITY HOSPITAL</t>
  </si>
  <si>
    <t>Dr. Nenita B. Cometa-M.O. IV</t>
  </si>
  <si>
    <t>085-8305288</t>
  </si>
  <si>
    <t>new_bch@yahoo.com</t>
  </si>
  <si>
    <t>MOA W/ BAYUGAN DOCTORS HOSPITAL</t>
  </si>
  <si>
    <t>16-2-26-I-1</t>
  </si>
  <si>
    <t>Esperanza</t>
  </si>
  <si>
    <t>P-11, Poblacion, Esperanza, Agusan del Sur</t>
  </si>
  <si>
    <t>ESPERANZA MEDICARE COMMUNITY HOSPITAL</t>
  </si>
  <si>
    <t>Dr. Elsa C. Gunay</t>
  </si>
  <si>
    <t>emcheads2020@gmail.com</t>
  </si>
  <si>
    <t>MOA W/ DO Plaza Mem. Hosp</t>
  </si>
  <si>
    <t>16-16-26-I-1</t>
  </si>
  <si>
    <t>La Paz</t>
  </si>
  <si>
    <t>Poblacion, La Paz, Agusan del Sur</t>
  </si>
  <si>
    <t>LA PAZ MUNICIPAL HOSPITAL</t>
  </si>
  <si>
    <t>Dr. Jay AR O. Esencia</t>
  </si>
  <si>
    <t>lapazmunicipalhospital@gmail.com</t>
  </si>
  <si>
    <t>MOA W/ Talacogon Dist. Hospital</t>
  </si>
  <si>
    <t>16-10-26-I-1</t>
  </si>
  <si>
    <t>Loreto</t>
  </si>
  <si>
    <t>Casal St., Loreto, Agusan del Sur</t>
  </si>
  <si>
    <t>LORETO DISTRICT HOSPITAL</t>
  </si>
  <si>
    <t>Dr. Ma. Alma P. Bernardo, M.O. IV</t>
  </si>
  <si>
    <t>09516880004/09176355436</t>
  </si>
  <si>
    <t>almamd07.mab@gmail.com</t>
  </si>
  <si>
    <t>MOA With DO Plaza Mem. Hospital</t>
  </si>
  <si>
    <t>16-11-26-I-1</t>
  </si>
  <si>
    <t>Dinagat Islands</t>
  </si>
  <si>
    <t>Dinagat</t>
  </si>
  <si>
    <t>Brgy. Escolta, Dinagat Island</t>
  </si>
  <si>
    <t>DINAGAT DISTRICT HOSPITAL</t>
  </si>
  <si>
    <t>Vin Johan P. Sanchez-Manlapaz, MD</t>
  </si>
  <si>
    <t>ddhpdi2018@gmail.com</t>
  </si>
  <si>
    <t>MOA w/ CRH</t>
  </si>
  <si>
    <t>16-24-26-I-1</t>
  </si>
  <si>
    <t>Libjo</t>
  </si>
  <si>
    <t>Albor, Libjo, Dinagat Island</t>
  </si>
  <si>
    <t>ALBOR DISTRICT HOSPITAL</t>
  </si>
  <si>
    <t>Dr. Jordan A. De Sagon, Jr.</t>
  </si>
  <si>
    <t>albordistrict.hospital@gmail.com</t>
  </si>
  <si>
    <t>16-23-26-I-1</t>
  </si>
  <si>
    <t>Loreto, Dinagat Island</t>
  </si>
  <si>
    <t>Ken C. Bentulan, MD</t>
  </si>
  <si>
    <t>loretodistricthospital.pdi@gmail.com</t>
  </si>
  <si>
    <t>16-22-26-I-1</t>
  </si>
  <si>
    <t>Mainit</t>
  </si>
  <si>
    <t>Mupas St., Magsaysay, Mainit, Surigao del Norte</t>
  </si>
  <si>
    <t>MAINIT DISTRICT HOSPITAL</t>
  </si>
  <si>
    <t>Dr. Esterlina L. Tan</t>
  </si>
  <si>
    <t>mainitmedicarehospital@yahoo.com</t>
  </si>
  <si>
    <t>MOA with SDPH</t>
  </si>
  <si>
    <t>16-12-26-I-1</t>
  </si>
  <si>
    <t>Malimono</t>
  </si>
  <si>
    <t>Malimono, Surigao del Norte</t>
  </si>
  <si>
    <t>MALIMONO DISTRICT HOSPITAL</t>
  </si>
  <si>
    <t>Dr. Ma. Kareen G. Pepito</t>
  </si>
  <si>
    <t>malimonodh@gmail.com</t>
  </si>
  <si>
    <t>16-31-26-I-1</t>
  </si>
  <si>
    <t>Virgin del Socorro, Navarro (Pob.)</t>
  </si>
  <si>
    <t>SOCORRO DISTRICT HOSPITAL</t>
  </si>
  <si>
    <t>Aljun M. Consigna, MD</t>
  </si>
  <si>
    <t>socorrodistricthospital@gmail.com</t>
  </si>
  <si>
    <t>16-6-26-I-1</t>
  </si>
  <si>
    <t>Carrascal</t>
  </si>
  <si>
    <t>Trugillo, Cultural St., Brgy. Baybay, Carrasacal, Surigao del Sur</t>
  </si>
  <si>
    <t>CARRASCAL PRIMARY HEALTH CARE</t>
  </si>
  <si>
    <t>Dr. Rosaflor C. Guazon</t>
  </si>
  <si>
    <t>cphcfofficial@gmail.com</t>
  </si>
  <si>
    <t>MOA w/ Madrid Dist. Hosp</t>
  </si>
  <si>
    <t>16-8-26-I-1</t>
  </si>
  <si>
    <t>Cortes</t>
  </si>
  <si>
    <t>Cortes, Surigao del Sur</t>
  </si>
  <si>
    <t>CORTES MUNICIPAL HOSPITAL</t>
  </si>
  <si>
    <t>Dr. Lilibeth H. Ongayo</t>
  </si>
  <si>
    <t>cortesmunhosp1995@gmail.com</t>
  </si>
  <si>
    <t>Plate No P4-N759 CR No. 36820522-4</t>
  </si>
  <si>
    <t>16-17-26-I-1</t>
  </si>
  <si>
    <t>Lingig</t>
  </si>
  <si>
    <t>P-2 A, Peñanueva St., Lingig, Surigao del Sur</t>
  </si>
  <si>
    <t>LINGIG COMMUNITY HOSPITAL</t>
  </si>
  <si>
    <t>Dr. Julius E. Bastillada</t>
  </si>
  <si>
    <t>lingigch2020@gmail.com</t>
  </si>
  <si>
    <t>1, Type1, Plate No. 13010 CR No. 238956115</t>
  </si>
  <si>
    <t>16-25-26-I-1</t>
  </si>
  <si>
    <t>P-7, Tina, San Miguel, Surigao del Sur</t>
  </si>
  <si>
    <t>SAN MIGUEL COMMUNITY HOSPITAL</t>
  </si>
  <si>
    <t>Dr. Sylva F. Dime-OIC</t>
  </si>
  <si>
    <t>sanmiguelcommunityhospital@gmail.com</t>
  </si>
  <si>
    <t>MOA w/Adela Serra Ty Mem. Medical Center</t>
  </si>
  <si>
    <t>16-3-26-I-1</t>
  </si>
  <si>
    <t>DOH000000000012776</t>
  </si>
  <si>
    <t>Metro Manila</t>
  </si>
  <si>
    <t>Manila</t>
  </si>
  <si>
    <t>1939 Mendoza Guazon, Ermita, Malacañang Park, Manila</t>
  </si>
  <si>
    <t>PRESIDENTIAL SECURITY COMMAND STATION HOSPITAL</t>
  </si>
  <si>
    <t>Specialized X-ray Facility: Computed Tomography; Microbiology - KOH, Gram Staining</t>
  </si>
  <si>
    <t>Colonel Dionido C. Napalang MC (GSC)</t>
  </si>
  <si>
    <t>8689-7879/0995-736-8909</t>
  </si>
  <si>
    <t>psgsh2014@gmail.com</t>
  </si>
  <si>
    <t>1, Type 1, CS No. F2 1977</t>
  </si>
  <si>
    <t>13-0020-26-I-1</t>
  </si>
  <si>
    <t>DOH000000000003467</t>
  </si>
  <si>
    <t>Quezon City</t>
  </si>
  <si>
    <t>Camp General Emilio Aguinaldo, Murphy, Quezon City</t>
  </si>
  <si>
    <t>CAMP GENERAL EMILIO AGUINALDO STATION HOSPITAL</t>
  </si>
  <si>
    <t>Immunolory/Serology - Dengue, Hepa B, Syphilis Screening and HIV Screening</t>
  </si>
  <si>
    <t>Col. Domingo A. Chua, Jr. MC (GSC)</t>
  </si>
  <si>
    <t>09954814352/9116001 loc. 4600/4601</t>
  </si>
  <si>
    <t>cgeash22@gmail.com</t>
  </si>
  <si>
    <t>Type I - NEO 6456, Type II-SNB 1086</t>
  </si>
  <si>
    <t>13-0013-26-I-1</t>
  </si>
  <si>
    <t>DOH000000000006092</t>
  </si>
  <si>
    <t>J.P. Laurel St., U.P. Campus, Diliman, Quezon City</t>
  </si>
  <si>
    <t>UP HEALTH SERVICE</t>
  </si>
  <si>
    <t>With Microbiology - KOH, Gram staining</t>
  </si>
  <si>
    <t>Myrissa Melinda L. Alip, M.D., MHA, FPAFP</t>
  </si>
  <si>
    <t>9818500 loc.2701</t>
  </si>
  <si>
    <t>uphsdirector.upd@up.edu.ph</t>
  </si>
  <si>
    <t>13-0018-26-I-2</t>
  </si>
  <si>
    <t>DOH000000000000801</t>
  </si>
  <si>
    <t>Valenzuela City</t>
  </si>
  <si>
    <t>G. Lazaro St., Dalandanan, Valenzuela City</t>
  </si>
  <si>
    <t>VALENZUELA CITY EMERGENCY HOSPITAL</t>
  </si>
  <si>
    <t>Microbiology- Gram staining &amp; TB Direct Sputum Smear Microscopy Anatomic Pathology - Pap smear</t>
  </si>
  <si>
    <t>Dr. Rolando B. Tecson</t>
  </si>
  <si>
    <t>vcemergencyhospital@gmail.com</t>
  </si>
  <si>
    <t>Type 1, Plate No. UPQ 309, CR No. 18935453</t>
  </si>
  <si>
    <t>13-0019-26-I-1</t>
  </si>
  <si>
    <t>Negros Occidental</t>
  </si>
  <si>
    <t>Binalbagan</t>
  </si>
  <si>
    <t>Rizal Street, Brgy. San Pedro</t>
  </si>
  <si>
    <t>BINALBAGAN INFIRMARY</t>
  </si>
  <si>
    <t>Clinical Laboratory (Secondary) 
HbA1c 
Troponin I
Thyroid Function Test 
Tumor Markers
Diagnostic X-ray Services (Level 1) 
Pharmacy</t>
  </si>
  <si>
    <t>Dr. Jocelyn T. Rapista</t>
  </si>
  <si>
    <t>034-388-8770</t>
  </si>
  <si>
    <t>infirmarybinalbagan@yahoo.com</t>
  </si>
  <si>
    <t>1, Type I, C.S, B1 6422 C.R No. 302413661</t>
  </si>
  <si>
    <t>18-0010-26-I-1</t>
  </si>
  <si>
    <t>Calatrava</t>
  </si>
  <si>
    <t>Barangay Suba</t>
  </si>
  <si>
    <t>CALATRAVA MUNICIPAL HOSPITAL</t>
  </si>
  <si>
    <t>Clinical Laboratory (Secondary)</t>
  </si>
  <si>
    <t>Dr. Ellen C. Lumanog</t>
  </si>
  <si>
    <t>0916-505-1699</t>
  </si>
  <si>
    <t>hospitalcalatrava@yahoo.com</t>
  </si>
  <si>
    <t>San Carlos   Hospital</t>
  </si>
  <si>
    <t>18-0019-26-I-1</t>
  </si>
  <si>
    <t>Cauayan City</t>
  </si>
  <si>
    <t>Fulton Street, Brgy Isio</t>
  </si>
  <si>
    <t>CAUAYAN DISTRICT HOSPITAL</t>
  </si>
  <si>
    <t>Clinical Laboratory (Primary) , Diagnostic X-ray Services (Level 2), Pharmacy</t>
  </si>
  <si>
    <t>Dr. Marice D. Dida</t>
  </si>
  <si>
    <t>034-467-2465</t>
  </si>
  <si>
    <t>cauayandistricthospital@gmail.com</t>
  </si>
  <si>
    <t>1, Type 1, CS No. F1 AO42, CR No. 337565955</t>
  </si>
  <si>
    <t>18-0006-26-I-1</t>
  </si>
  <si>
    <t>Hinigaran</t>
  </si>
  <si>
    <t>Burgos St., Brgy III</t>
  </si>
  <si>
    <t>HINIGARAN MEDICAL CLINIC</t>
  </si>
  <si>
    <t>Clinical Laboratory (Secondary) 
Diagnostic X-ray Services (Level 1) 
Pharmacy</t>
  </si>
  <si>
    <t>Dr. Liezel I. Lizades</t>
  </si>
  <si>
    <t>034-391-7129</t>
  </si>
  <si>
    <t>hinigaranmedicalclinic@gmail.com</t>
  </si>
  <si>
    <t>Dr. Gumersindo Garcia Sr. Memorial Hospital</t>
  </si>
  <si>
    <t>18-0021-26-I-1</t>
  </si>
  <si>
    <t>Hinoba-an</t>
  </si>
  <si>
    <t>Zone 2, Brgy Bacuyangan</t>
  </si>
  <si>
    <t>HINOBA-AN DISTRICT HOSPITAL</t>
  </si>
  <si>
    <t>Clinical Laboratory (Secondary), Diagnostic X-ray Services (Level 1), Pharmacy</t>
  </si>
  <si>
    <t>Dr. Ma. Lalaine L. Teorima</t>
  </si>
  <si>
    <t>0918-572-1946</t>
  </si>
  <si>
    <t>drigzcubid_etdmh@yahoo.com</t>
  </si>
  <si>
    <t>1, Type I, CR No. 340866936, C.S F1 K414I</t>
  </si>
  <si>
    <t>18-0003-26-I-1</t>
  </si>
  <si>
    <t>Brgy. Rumirang</t>
  </si>
  <si>
    <t>IGNACIO LACSON ARROYO SR. MEMORIAL DISTRICT HOSPITAL</t>
  </si>
  <si>
    <t>Clinical Laboratory (Secondary), Diagnostic X-ray Services (Level I), Pharmacy</t>
  </si>
  <si>
    <t>Dr. Gabby Palacios</t>
  </si>
  <si>
    <t>034-387-2691</t>
  </si>
  <si>
    <t>ilasmdh@yahoo.com</t>
  </si>
  <si>
    <t>1, Type 1, Plate No. 131205, CR No. 35423178-0, CS No. F1 N896</t>
  </si>
  <si>
    <t>18-0011-26-I-1</t>
  </si>
  <si>
    <t>Sipalay</t>
  </si>
  <si>
    <t>Barangay Canturay</t>
  </si>
  <si>
    <t>MERCEDITAS J. MONTILLA DISTRICT HOSPITAL</t>
  </si>
  <si>
    <t>Clinical Laboratory (Secondary) , Diagnostic X-ray Services (Level 1), Pharmacy</t>
  </si>
  <si>
    <t>Dr. Nheva Gene C. Capariño</t>
  </si>
  <si>
    <t>0963-618-4002</t>
  </si>
  <si>
    <t>mmdh121613hospital@yahoo.com</t>
  </si>
  <si>
    <t>Eleuterio T. Decena Memorial Hospital</t>
  </si>
  <si>
    <t>18-0002-26-I-1</t>
  </si>
  <si>
    <t>Negros Oriental</t>
  </si>
  <si>
    <t>Bayawan City</t>
  </si>
  <si>
    <t>Brgy. Dawis, Bayawan City, Negros Oriental</t>
  </si>
  <si>
    <t>DAWIS COMMUNITY PRIMARY HOSPITAL</t>
  </si>
  <si>
    <t>Dr. Mary Joy Lacuña</t>
  </si>
  <si>
    <t>9162347585</t>
  </si>
  <si>
    <t>dawiscph@gmail.com</t>
  </si>
  <si>
    <t>MOA with Bayawan District Hospital</t>
  </si>
  <si>
    <t>18-0016-26-I-1</t>
  </si>
  <si>
    <t>Purok 5 Brgy. Kalumboyan, Bayawan City, Negros Oriental</t>
  </si>
  <si>
    <t>KALUMBOYAN COMMUNITY PRIMARY HOSPITAL</t>
  </si>
  <si>
    <t>Sergio C. Avestrus III, MD</t>
  </si>
  <si>
    <t>9553269175</t>
  </si>
  <si>
    <t>kalumboyancph@yahoo.com</t>
  </si>
  <si>
    <t>18-0015-26-I-1</t>
  </si>
  <si>
    <t>Canlaon City</t>
  </si>
  <si>
    <t>Sitio Lucap, Mabigo, Canlaon City, Negros Oriental</t>
  </si>
  <si>
    <t>CANLAON DISTRICT HOSPITAL</t>
  </si>
  <si>
    <t>Dr. Liland Zoila B. Estacion</t>
  </si>
  <si>
    <t>0917 1166220</t>
  </si>
  <si>
    <t>canlaondistricthospital@gmail.com</t>
  </si>
  <si>
    <t>MOA with GWVMH</t>
  </si>
  <si>
    <t>18-0018-26-I-1</t>
  </si>
  <si>
    <t>Gihulngan City</t>
  </si>
  <si>
    <t>Brgy. Luz, Guihulngan City, Negros Oriental</t>
  </si>
  <si>
    <t>LUZ-SIKATUNA COMMUNITY PRIMARY HOSPITAL</t>
  </si>
  <si>
    <t>Dr. Reginald Crisjon B. Calumba</t>
  </si>
  <si>
    <t>9075313789</t>
  </si>
  <si>
    <t>lscph@yahoo.com</t>
  </si>
  <si>
    <t>18-0007-26-I-1</t>
  </si>
  <si>
    <t>La Libertad</t>
  </si>
  <si>
    <t>Poblacion, La Libertad, Negros Oriental</t>
  </si>
  <si>
    <t>LA LIBERTAD MUNICIPAL INFIRMARY</t>
  </si>
  <si>
    <t>Fontini Cristi F. Cruz, MD</t>
  </si>
  <si>
    <t>9617563333</t>
  </si>
  <si>
    <t xml:space="preserve">
laliinfirmary@gmail.com</t>
  </si>
  <si>
    <t>18-0020-26-I-1</t>
  </si>
  <si>
    <t>Pacuan, La Libertad, Negros Oriental</t>
  </si>
  <si>
    <t>PACUAN COMMUNITY PRIMARY HOSPITAL</t>
  </si>
  <si>
    <t>Christiansen D. Sevilleno, MD</t>
  </si>
  <si>
    <t>9484774495</t>
  </si>
  <si>
    <t>pacuancph@gmail.com</t>
  </si>
  <si>
    <t>18-0017-26-I-1</t>
  </si>
  <si>
    <t>Mabinay</t>
  </si>
  <si>
    <t>Purok Bula, Inapoy, Mabinay, Negros Oriental</t>
  </si>
  <si>
    <t>INAPOY COMMUNITY PRIMARY HOSPITAL</t>
  </si>
  <si>
    <t>Dr. Nico Anthony A. Tumapang</t>
  </si>
  <si>
    <t>0926-301-5743</t>
  </si>
  <si>
    <t>icph_negros97@yahoo.com; kim.jax21@gmail.com;</t>
  </si>
  <si>
    <t>18-0008-26-I-1</t>
  </si>
  <si>
    <t>Poblacion, Mabinay, Negros Oriental</t>
  </si>
  <si>
    <t>MABINAY MEDICARE COMMUNITY HOSPITAL</t>
  </si>
  <si>
    <t>Dr. Rimel Von B. Patula</t>
  </si>
  <si>
    <t>(035) 541-1070; 09474653388; 09171074204</t>
  </si>
  <si>
    <t>medicare_hospital@yahoo.com; 
mabmedicare2020@gmail.com</t>
  </si>
  <si>
    <t>MOA with Bindoy District Hospital</t>
  </si>
  <si>
    <t>18-0004-26-I-1</t>
  </si>
  <si>
    <t>Sta. Catalina</t>
  </si>
  <si>
    <t>Proper Amio, Sta. Catalina, Negros Oriental</t>
  </si>
  <si>
    <t>AMIO COMMUNITY PRIMARY HOSPITAL</t>
  </si>
  <si>
    <t>Dr. Alvin B. Basadre</t>
  </si>
  <si>
    <t>amiocommunityprimaryhospital@yahoo.com</t>
  </si>
  <si>
    <t>MOA w/ Bayawan District Hospital</t>
  </si>
  <si>
    <t>Tayasan</t>
  </si>
  <si>
    <t>Tambulan, Tayasan, Negros Oriental</t>
  </si>
  <si>
    <t>NABILOG COMMUNITY PRIMARY HOSPITAL</t>
  </si>
  <si>
    <t>Cedrick Louis S. Antiquina, MD</t>
  </si>
  <si>
    <t>9051838021</t>
  </si>
  <si>
    <t>nabilog.cph@gmail.com</t>
  </si>
  <si>
    <t>18-0013-26-I-1</t>
  </si>
  <si>
    <t>Siquijor</t>
  </si>
  <si>
    <t>Nagerong, Lazi. Siquijor</t>
  </si>
  <si>
    <t>LAZI MEDICARE COMMUNITY</t>
  </si>
  <si>
    <t>Dr. Jeff Lorenz Booc</t>
  </si>
  <si>
    <t>9175856410</t>
  </si>
  <si>
    <t>sharonarcamo@yahoo.com</t>
  </si>
  <si>
    <t>Type I (F4 E567)</t>
  </si>
  <si>
    <t>18-0009-26-I-1</t>
  </si>
  <si>
    <t>Abra</t>
  </si>
  <si>
    <t>Bucay</t>
  </si>
  <si>
    <t>Siblong</t>
  </si>
  <si>
    <t>BUCAY MUNICIPAL HOSPITAL</t>
  </si>
  <si>
    <t>Dr. Conchitina C. Beroña</t>
  </si>
  <si>
    <t>09655165686 / 
09272150948</t>
  </si>
  <si>
    <t>bucaymunhosp@gmail.com</t>
  </si>
  <si>
    <t>Abra Provincial Hospital</t>
  </si>
  <si>
    <t>14-0030-26-I-1</t>
  </si>
  <si>
    <t>LA PAZ DISTRICT HOSPITAL</t>
  </si>
  <si>
    <t>Dr. Louie Jon B. Enerva</t>
  </si>
  <si>
    <t>09564573024</t>
  </si>
  <si>
    <t>lapaz_district_hospital@yahoo.com</t>
  </si>
  <si>
    <t>14-0024-26-I-1</t>
  </si>
  <si>
    <t>Villaviciosa</t>
  </si>
  <si>
    <t>Ap-apaya</t>
  </si>
  <si>
    <t>VILLAVICIOSA MEDICARE AND COMMUNITY HOSPITAL</t>
  </si>
  <si>
    <t>Dr. Christian Euclid Einstein B. Azurin</t>
  </si>
  <si>
    <t>09173834204</t>
  </si>
  <si>
    <t>vmchospital2008@yahoo.com</t>
  </si>
  <si>
    <t>14-0028-26-I-1</t>
  </si>
  <si>
    <t>Apayao</t>
  </si>
  <si>
    <t>Calanasan</t>
  </si>
  <si>
    <t>APAYAO DISTRICT HOSPITAL</t>
  </si>
  <si>
    <t>Clinical Labratory, HIV Testing Laboratory, Clinical Chemistry(Special);  1 Unit-Type I Ambulance</t>
  </si>
  <si>
    <t>Dr. Ruben Rullan E. delos Reyes</t>
  </si>
  <si>
    <t>09169530268</t>
  </si>
  <si>
    <t>adhcalanasan@yahoo.com</t>
  </si>
  <si>
    <t>1/Type 1/CS 9663</t>
  </si>
  <si>
    <t>14-0010-26-I-1</t>
  </si>
  <si>
    <t>Flora</t>
  </si>
  <si>
    <t>Bagutong</t>
  </si>
  <si>
    <t>FLORA DISTRICT HOSPITAL</t>
  </si>
  <si>
    <t>w/ Hemodialysis Clinic (9 stations) ; Clinical Chemistry-Special; Immunology/Serology; Diagnostic X-ray (Level 1); 1 Unit-Type I Ambulance</t>
  </si>
  <si>
    <t>Dr. Amy Liza V. Maruquin</t>
  </si>
  <si>
    <t>09287301508</t>
  </si>
  <si>
    <t>floradisthosp@gmail.com</t>
  </si>
  <si>
    <t>1/Type 1/ SAA 9209</t>
  </si>
  <si>
    <t>14-0016-26-I-1</t>
  </si>
  <si>
    <t>Kabugao</t>
  </si>
  <si>
    <t>APAYAO PROVINCIAL HOSPITAL</t>
  </si>
  <si>
    <t>Clinical Laboratory,Clinical Chemistry (Special: HbA1c), HIV Testing Laboratory (Screening), Pharmacy; X-ray (Level 1); 1 Unit-Type I Ambulance</t>
  </si>
  <si>
    <t>Dr. Jarette Bermejo-Agana</t>
  </si>
  <si>
    <t>09658479618</t>
  </si>
  <si>
    <t>aph_kabugao@yahoo.com</t>
  </si>
  <si>
    <t>1/Type 1/Z4U 091,</t>
  </si>
  <si>
    <t>14-0011-26-I-1</t>
  </si>
  <si>
    <t>Pudtol</t>
  </si>
  <si>
    <t>AMMA JADSAC DISTRICT HOSPITAL</t>
  </si>
  <si>
    <t>w/ Mobile Clinical Laboratory; Clinical Chemistry -Special; 1 Unit-Type I Ambulance</t>
  </si>
  <si>
    <t>Dr. Mary Elisa S. Galleon</t>
  </si>
  <si>
    <t>09161292808</t>
  </si>
  <si>
    <t>ajdh.hospital@gmail.com</t>
  </si>
  <si>
    <t>1/Type 1/F5 J004</t>
  </si>
  <si>
    <t>14-0001-26-I-1</t>
  </si>
  <si>
    <t>Santa Marcela</t>
  </si>
  <si>
    <t>San Carlos</t>
  </si>
  <si>
    <t>STA. MARCELA DISTRICT HOSPITAL</t>
  </si>
  <si>
    <t>Clinical Laboratory, Coagulation Studies—APTT,PT (Wondfo)        Immunology/Serology—fT4, fT3, TSH (Finecare);Clinical Chemistry: Special ;Serum Electrolytes (DH505)            Troponin I (Finecare) HbA1c (URIT/Finecare)
Pharmacy</t>
  </si>
  <si>
    <t>Dr. Roy C. Julian</t>
  </si>
  <si>
    <t>09177703602/  0926 087 0526</t>
  </si>
  <si>
    <t>smdh1975@yahoo.com</t>
  </si>
  <si>
    <t>1/Type 1/F5 J872</t>
  </si>
  <si>
    <t>14-0013-26-I-1</t>
  </si>
  <si>
    <t>Benguet</t>
  </si>
  <si>
    <t>Baguio City</t>
  </si>
  <si>
    <t>Fort del Pilar, Loakan</t>
  </si>
  <si>
    <t>FORT DEL PILAR STATION HOSPITAL</t>
  </si>
  <si>
    <t>w/ Clinical Chemistry - Special; Immunology / Serology-Special; Diagnostic X-ray (Level 2); Pharmacy; HIV testing Lab; 1 Unit-Type I Ambulance</t>
  </si>
  <si>
    <t>Col. Nealon Eugene P. Batalla, MC (GSC)</t>
  </si>
  <si>
    <t>09985851815</t>
  </si>
  <si>
    <t>fdpsh.pmash@gmail.com</t>
  </si>
  <si>
    <t xml:space="preserve">1 Type I, CBT 7523
</t>
  </si>
  <si>
    <t>14-0020-26-I-1</t>
  </si>
  <si>
    <t>Itogon</t>
  </si>
  <si>
    <t>Tinongdan</t>
  </si>
  <si>
    <t>ITOGON DISTRICT HOSPITAL</t>
  </si>
  <si>
    <t>w/ Clinical Chemistry - Special; Immunology / Serology-Special; Diagnostic X-ray (Level 1);  Pharmacy; 1 Unit-Type I Ambulance</t>
  </si>
  <si>
    <t>Dr. Eden B. Dangwa</t>
  </si>
  <si>
    <t>09421970306</t>
  </si>
  <si>
    <t>itogonmunicipalhospital@gmail.com</t>
  </si>
  <si>
    <t>1/Type 1/010106</t>
  </si>
  <si>
    <t>14-0018-26-I-1</t>
  </si>
  <si>
    <t>Kapangan</t>
  </si>
  <si>
    <t>KAPANGAN DISTRICT HOSPITAL</t>
  </si>
  <si>
    <t>Diagnostic X-ray (Level 1); Pharmacy; 1 Unit-Type I Ambulance</t>
  </si>
  <si>
    <t>Dr. Reynelle C. del Amor</t>
  </si>
  <si>
    <t>09212322823</t>
  </si>
  <si>
    <t>kmch_kapangan@yahoo.com.ph</t>
  </si>
  <si>
    <t>1/Type 1/Z4N 737</t>
  </si>
  <si>
    <t>14-0005-26-I-1</t>
  </si>
  <si>
    <t>La Trinidad</t>
  </si>
  <si>
    <t>Alapang</t>
  </si>
  <si>
    <t>CAMP BADO DANGWA HOSPITAL</t>
  </si>
  <si>
    <t>PCOL Lemuel P. Nalangan</t>
  </si>
  <si>
    <t>09957846724</t>
  </si>
  <si>
    <t>pnphs_cor@yahoo.com</t>
  </si>
  <si>
    <t>1/Type 1/ S6 0594</t>
  </si>
  <si>
    <t>14-0025-26-I-1</t>
  </si>
  <si>
    <t>Ifugao</t>
  </si>
  <si>
    <t>Aguinaldo</t>
  </si>
  <si>
    <t>Ngawngaw, Talite</t>
  </si>
  <si>
    <t>AGUINALDO PEOPLE'S HOSPITAL</t>
  </si>
  <si>
    <t>Dr. Bernardo B. Bulintao</t>
  </si>
  <si>
    <t>09672361245</t>
  </si>
  <si>
    <t>aguinaldo_ph@yahoo.com</t>
  </si>
  <si>
    <t>1/Type 1/020104</t>
  </si>
  <si>
    <t>14-0004-26-I-1</t>
  </si>
  <si>
    <t>Hungduan</t>
  </si>
  <si>
    <t>Mabak, Hapao</t>
  </si>
  <si>
    <t>HUNGDUAN MUNICIPAL HOSPITAL</t>
  </si>
  <si>
    <t>Clinical Laboratory, 
Pharmacy</t>
  </si>
  <si>
    <t>Dr. Gina A. Buyucan</t>
  </si>
  <si>
    <t>09063381620</t>
  </si>
  <si>
    <t>hungduanmunicipalhospital@yahoo.com.ph</t>
  </si>
  <si>
    <t>1/Type 1/ F4D485</t>
  </si>
  <si>
    <t>14-0012-26-I-1</t>
  </si>
  <si>
    <t>Mayoyao</t>
  </si>
  <si>
    <t>Acacoy St., Bato-alatbang</t>
  </si>
  <si>
    <t>MAYOYAO DISTRICT HOSPITAL</t>
  </si>
  <si>
    <t>Dr. Cyrrel Gay H. Bangachon</t>
  </si>
  <si>
    <t>mayoyaohospital@gmail.com</t>
  </si>
  <si>
    <t>2/Type 1/131210; F4 E466</t>
  </si>
  <si>
    <t>14-0027-26-I-1</t>
  </si>
  <si>
    <t>Tinoc</t>
  </si>
  <si>
    <t>Pantal Street, Impugong, Tinoc</t>
  </si>
  <si>
    <t>TINOC DISTRICT HOSPITAL</t>
  </si>
  <si>
    <t>Clinical Laboratory,
Serology / Immunology (Special),
Pharmacy</t>
  </si>
  <si>
    <t>Dr. Hector U. Pugong</t>
  </si>
  <si>
    <t>tinocdistricthospital@yahoo.com</t>
  </si>
  <si>
    <t>1 Type /F5 J833</t>
  </si>
  <si>
    <t>14-0009-26-I-1</t>
  </si>
  <si>
    <t>Kalinga</t>
  </si>
  <si>
    <t>Balbalan</t>
  </si>
  <si>
    <t>Cadamayan, Poblacion, Balbalan</t>
  </si>
  <si>
    <t>WESTERN KALINGA DISTRICT HOSPITAL</t>
  </si>
  <si>
    <t>Clinical Laboratory, Clinical Chemistry: Special—Serum Electrolytes (Poweam EL-1100 Plus A)
Pharmacy</t>
  </si>
  <si>
    <t>Dr. Claire P. Bawalan</t>
  </si>
  <si>
    <t>hospbalbalan@gmail.com</t>
  </si>
  <si>
    <t>1/Type 1/D2 C069</t>
  </si>
  <si>
    <t>14-0008-26-I-1</t>
  </si>
  <si>
    <t>Lubuagan</t>
  </si>
  <si>
    <t>Poblacion, Lubuagan</t>
  </si>
  <si>
    <t>KALINGA DISTRICT HOSPITAL</t>
  </si>
  <si>
    <t>Pharmacy, 
Clinical Laboratory</t>
  </si>
  <si>
    <t>Dr. Reicha Jan O. Dickpus</t>
  </si>
  <si>
    <t>kdhlubuagan@gmail.com</t>
  </si>
  <si>
    <t>Kalinga Provincial Hospital</t>
  </si>
  <si>
    <t>14-0019-26-I-1</t>
  </si>
  <si>
    <t>Pinukpuk</t>
  </si>
  <si>
    <t>Junction, Pinukpuk</t>
  </si>
  <si>
    <t>PINUKPUK DITRICT HOSPITAL</t>
  </si>
  <si>
    <t>Dr. Beatriz R. Ala-ao</t>
  </si>
  <si>
    <t>pdh.gov@gmail.com</t>
  </si>
  <si>
    <t>14-0026-26-I-1</t>
  </si>
  <si>
    <t>Babalag West, Rizal</t>
  </si>
  <si>
    <t>JUAN M. DUYAN MEMORIAL DISTRICT HOSPITAL</t>
  </si>
  <si>
    <t xml:space="preserve">Clinical Laboratory, Clinical Chemistry: Special – Electrolytes: Na, K, Cl (Easylyte Expand) - AST, ALT (Ichem535),
Pharmacy,
Diagnostic X-ray Services (level 1)
</t>
  </si>
  <si>
    <t>Dr. Beda Malecdan</t>
  </si>
  <si>
    <t>jmdmdh_2016@yahoo.com</t>
  </si>
  <si>
    <t xml:space="preserve">
1/Type 1/F5 J076</t>
  </si>
  <si>
    <t>14-0007-26-I-1</t>
  </si>
  <si>
    <t>Tabuk City</t>
  </si>
  <si>
    <t>Purok 2, Agbannawag, Tabuk City</t>
  </si>
  <si>
    <t>KALINGA-GABRIELA MIJA KIM MEDICAL CENTER</t>
  </si>
  <si>
    <t>Dr. Ruth B. Duguiang</t>
  </si>
  <si>
    <t>09479917823 / 
09177708131</t>
  </si>
  <si>
    <t>rduguiang@yahoo.com.ph</t>
  </si>
  <si>
    <t>1/Type 1/F5 J873</t>
  </si>
  <si>
    <t>14-0003-26-I-1</t>
  </si>
  <si>
    <t>Mountain Province</t>
  </si>
  <si>
    <t>Barlig</t>
  </si>
  <si>
    <t>Gawana, Barlig</t>
  </si>
  <si>
    <t>BARLIG DISTRICT HOSPITAL</t>
  </si>
  <si>
    <t>Clinical Laboratory,
HIV Testing Laboratory (Screening)</t>
  </si>
  <si>
    <t>Dr. Janice Ann M. Sepulchre</t>
  </si>
  <si>
    <t>BarDH1964@yahoo.com</t>
  </si>
  <si>
    <t>1/ Type 1/ F5J793</t>
  </si>
  <si>
    <t>14-0029-26-I-1</t>
  </si>
  <si>
    <t>Natonin</t>
  </si>
  <si>
    <t>Poblacion, Natonin</t>
  </si>
  <si>
    <t>ANASTACIA RAFAEL-SAGEL MEMORIAL HOSPITAL</t>
  </si>
  <si>
    <t>Clinical Laboratory,
Diagnostic X-ray Services (Level 1),
Pharmacy</t>
  </si>
  <si>
    <t>Dr. Babilyne G. Agagon-Pogloy</t>
  </si>
  <si>
    <t>arsmh2017@yahoo.com</t>
  </si>
  <si>
    <t>1/ Type 1/ Plate No. A64707</t>
  </si>
  <si>
    <t>14-0023-26-I-1</t>
  </si>
  <si>
    <t>Basilan</t>
  </si>
  <si>
    <t>Sumisip</t>
  </si>
  <si>
    <t>SUMISIP DISTRICT HOSPITAL</t>
  </si>
  <si>
    <t>Sharifa Ann C. Abbas-Alvarez, MD, MPH</t>
  </si>
  <si>
    <t>0906-811-4481</t>
  </si>
  <si>
    <t>sumisipdistricthospital@gmail.com</t>
  </si>
  <si>
    <t>1, Type 1, Conduction Sticker No. FG X634</t>
  </si>
  <si>
    <t>15-0221-26-I-1</t>
  </si>
  <si>
    <t>NO PHARMACY FOR 2026
ADD-ON: 1 AMBULANCE UNIT</t>
  </si>
  <si>
    <t>Lanao del Sur</t>
  </si>
  <si>
    <t>Marawi City</t>
  </si>
  <si>
    <t>3rd St., Brgy. Lomidong</t>
  </si>
  <si>
    <t>MSU - MEDICAL SERVICE AND HOSPITAL</t>
  </si>
  <si>
    <t>UNIVERSITY/SCHOOL</t>
  </si>
  <si>
    <t>Sohra M. Nuska-Bato, MD</t>
  </si>
  <si>
    <t>0948-104-1549</t>
  </si>
  <si>
    <t>msumedicalhospital@gmail.com</t>
  </si>
  <si>
    <t>1, Type I, Plate No. F6 A107</t>
  </si>
  <si>
    <t>15-0182-26-I-1</t>
  </si>
  <si>
    <t>FROM RAMLI V. USMAN, MD TO SOHRA M. NUSKA-BATO, MD</t>
  </si>
  <si>
    <t>New Capitol Complex, Brgy. Buadi Sacayo</t>
  </si>
  <si>
    <t>RANAW INFIRMARY</t>
  </si>
  <si>
    <t>Princess Elham A. Sacar, RMT, MD, DPPS, DPIDSP</t>
  </si>
  <si>
    <t>0917-718-0675</t>
  </si>
  <si>
    <t>pho.lgu.lanaodelsur@gmail.com</t>
  </si>
  <si>
    <t>1, Type 1, Plate No. ZR, 396A</t>
  </si>
  <si>
    <t>15-0239-26-I- 1</t>
  </si>
  <si>
    <t>Maguindanao del Norte</t>
  </si>
  <si>
    <t>Datu Odin Sinsuat</t>
  </si>
  <si>
    <t>Dalican</t>
  </si>
  <si>
    <t>MINDANAO STATE UNIVERSITY - MAGUINDANAO INFIRMARY HOSPITAL</t>
  </si>
  <si>
    <t>Firkhan A. Estrella, RN, MD</t>
  </si>
  <si>
    <t>15-0185-26-I-1</t>
  </si>
  <si>
    <t>Parang</t>
  </si>
  <si>
    <t>Camp Brig. Gen. Salipada K Pendatun</t>
  </si>
  <si>
    <t>CAMP BRIGIDER GENERAL SALIPADA K. PENDATUN INFIRMARY</t>
  </si>
  <si>
    <t>Pmaj Kathleen A. Arias-Angngasing, MD</t>
  </si>
  <si>
    <t>0915-565-2062</t>
  </si>
  <si>
    <t>rhsarmm@gmail.com</t>
  </si>
  <si>
    <t>COTABATO REGIONAL MEDICAL CENTER</t>
  </si>
  <si>
    <t>15-0147-26-I-1</t>
  </si>
  <si>
    <t>Tawi-Tawi</t>
  </si>
  <si>
    <t>Languyan</t>
  </si>
  <si>
    <t>Darul Akram, Languyan, Tawi-tawi</t>
  </si>
  <si>
    <t>LANGUYAN MUNICIPAL HOSPITAL</t>
  </si>
  <si>
    <t>Sangkula G. Laja, MPH, MHA, CESE, CSEE</t>
  </si>
  <si>
    <t>0997-443-2343</t>
  </si>
  <si>
    <t>lmhofficial01@gmail.com</t>
  </si>
  <si>
    <t>15-0223-26-I-1</t>
  </si>
  <si>
    <t>Back to initial Applicatiom</t>
  </si>
  <si>
    <t>Mapun</t>
  </si>
  <si>
    <t>Brgy. Lupa Pula</t>
  </si>
  <si>
    <t>CAGAYAN DE TAWI-TAWI DISTRICT HOSPITAL</t>
  </si>
  <si>
    <t>Marilou S. Sta. Cruz, MD, MHA</t>
  </si>
  <si>
    <t>0917-993-7830 
 0951-363-8692</t>
  </si>
  <si>
    <t>cagayandetawidistricthospital@gmail.com</t>
  </si>
  <si>
    <t>1, Type 1, CS No. F4T-716</t>
  </si>
  <si>
    <t>15-0070-26-I-1</t>
  </si>
  <si>
    <t>Sapa-Sapa</t>
  </si>
  <si>
    <t>Brgy. Sapa Sapa</t>
  </si>
  <si>
    <t>TUAN LIGADDUNG LIPAE MEMORIAL HOSPITAL</t>
  </si>
  <si>
    <t>Alih A. Burahim, MD</t>
  </si>
  <si>
    <t>0917-713-2712</t>
  </si>
  <si>
    <t>tllmhsapasapa@gmail.com 
docaliburahim@gmail.com</t>
  </si>
  <si>
    <t>1, Type 1, Plate No. F4T 769</t>
  </si>
  <si>
    <t>15-0177-26-I-1</t>
  </si>
  <si>
    <t>Sibutu</t>
  </si>
  <si>
    <t>Brgy. Hadji Bidin, Poblacion Sibutu</t>
  </si>
  <si>
    <t>DATU ALAWADDIN SR. MEMORIAL HOSPITAL</t>
  </si>
  <si>
    <t>Ahmad Falmi M. Usman, MD, MHA</t>
  </si>
  <si>
    <t>0917-776-1713</t>
  </si>
  <si>
    <t>sibutuhospital@gmail.com</t>
  </si>
  <si>
    <t>1, Type 1, CS No. F4T-804</t>
  </si>
  <si>
    <t>15-0154-26-I-1</t>
  </si>
  <si>
    <r>
      <rPr>
        <rFont val="Arial"/>
        <b/>
        <color rgb="FFFFFFFF"/>
        <sz val="11.0"/>
      </rPr>
      <t>CLINICAL LAB CLASSIFICATION 
(</t>
    </r>
    <r>
      <rPr>
        <rFont val="Arial"/>
        <b/>
        <color rgb="FFFFFFFF"/>
        <sz val="11.0"/>
      </rPr>
      <t>If Applicable</t>
    </r>
    <r>
      <rPr>
        <rFont val="Arial"/>
        <b/>
        <color rgb="FFFFFFFF"/>
        <sz val="11.0"/>
      </rPr>
      <t>)</t>
    </r>
  </si>
  <si>
    <t>Batac</t>
  </si>
  <si>
    <t>#35 Washington Street, Bil-loca</t>
  </si>
  <si>
    <t>BUMANGLAG SPECIALTY HOSPITAL</t>
  </si>
  <si>
    <t>Castor B. Bumanglag, MD</t>
  </si>
  <si>
    <t>077-617-1572/ 
09198218626</t>
  </si>
  <si>
    <t>bumanglagspecialtyhospital2012@gmail.com</t>
  </si>
  <si>
    <t>Gaoat Hospital</t>
  </si>
  <si>
    <t>01-0005-26-I-2</t>
  </si>
  <si>
    <t>Decrease ABC (From 11 to 5)</t>
  </si>
  <si>
    <t>3297</t>
  </si>
  <si>
    <t>Laoag</t>
  </si>
  <si>
    <t>Brgy. 7-As-Hernandez Avenue</t>
  </si>
  <si>
    <t>RANADA MEDICAL AND DIAGNOSTIC CENTER</t>
  </si>
  <si>
    <t>Joni L. Ranada-Camaquin, MD</t>
  </si>
  <si>
    <t>077-770-5172/
09167948718</t>
  </si>
  <si>
    <t>ranada_antonio@yahoo.com.ph</t>
  </si>
  <si>
    <t>Dr. Bonifacia Albano Memorial Hospital</t>
  </si>
  <si>
    <t>01-0015-26-I-2</t>
  </si>
  <si>
    <t>06746</t>
  </si>
  <si>
    <t>Laoag City</t>
  </si>
  <si>
    <t>Balintawak St., Brgy. 9 , Sta. Angela</t>
  </si>
  <si>
    <t>RANADA GENERAL HOSPITAL</t>
  </si>
  <si>
    <t xml:space="preserve">Clinical Laboratory
</t>
  </si>
  <si>
    <t>Vincent R. Bumatay, MD (New appointed  OIC Med. Director-08-22-25)</t>
  </si>
  <si>
    <t>077(770049-11)/ 
09175702192</t>
  </si>
  <si>
    <t>ranada_gen_hospital@yahoo.com</t>
  </si>
  <si>
    <t>Laoag City General Hospital</t>
  </si>
  <si>
    <t>01-0021-26-I-2</t>
  </si>
  <si>
    <t>32066</t>
  </si>
  <si>
    <t>#64 Gomburza cor. Zacarias Flores Street, Barangay #6 San Agustin</t>
  </si>
  <si>
    <t>SAINT CAMILLUS DE LELLIS GENERAL HOSPITAL</t>
  </si>
  <si>
    <t xml:space="preserve">-Pharmacy
-Clinical Laboratory Add on (6-16-2025)
1. Clinical Chemistry 
-HBAIC
-Troponin I (Quantitative)
-Alkaline Phosphate
-Total Protein
-Albumin
-Ionized Calcium
-Magnesium
-Lipase
-Amylase
-UACR
2. Immunology/Serology
-Anti-HAV, Anti HCV (Rapid Test Kits)
-Ferritin
-Estradiol
-Anti Treponema Pallidum Rapid Test Kit
-Salmonella Typhi Test Kit
-NT-pro MBP, CK-MB
-Thyroid Function Tests (TSH, FT3, FT4)
-CRP, CEA
3. Others: Arterial Blood Gas
</t>
  </si>
  <si>
    <t>Alan B. Taylan, MD, FPCP</t>
  </si>
  <si>
    <t>077-770-5507/
09159281605/ (077)-600-1125(Laboratory)</t>
  </si>
  <si>
    <t>saintcamillus_laoagcity@yahoo.com</t>
  </si>
  <si>
    <t>Black Nazarene Hospital</t>
  </si>
  <si>
    <t>01-0020-26-I-2</t>
  </si>
  <si>
    <t>51370</t>
  </si>
  <si>
    <t>Pagudpud</t>
  </si>
  <si>
    <t>Zamora St., Poblacion</t>
  </si>
  <si>
    <t>PAGUDPUD ADVENTIST WELLNESS CENTER</t>
  </si>
  <si>
    <t xml:space="preserve">-Pharmacy
-Diagnostic X-Ray (Level 1)
-Add-on  Clinical Laboratory: 
1. Clinical chemistry
-CKMB 
-Troponin-I
2. Immunology/Serology
-Thyroid Function Tests (TSH, FT4, FT3)
-PSA, CRP
</t>
  </si>
  <si>
    <t>Raymond B. Dabalos, MD</t>
  </si>
  <si>
    <t>9457260383/ 09457200383</t>
  </si>
  <si>
    <t>pagudpudawc@gmail.com</t>
  </si>
  <si>
    <t>MOA with Pagudpud RHU</t>
  </si>
  <si>
    <t>01-0011-26-I-2</t>
  </si>
  <si>
    <t>37945</t>
  </si>
  <si>
    <t>Pinili</t>
  </si>
  <si>
    <t>Manila Road, Barangay Apatut-Lubong</t>
  </si>
  <si>
    <t>KARMELLI CLINIC &amp; HOSPITAL PINILI INC.</t>
  </si>
  <si>
    <t xml:space="preserve">-Pharmacy
-X-Ray (level 1)
-Clinical Laboratory Add on:
1. Clinical Chemistry
--HBAIC
2. Immunology/Serology:
--Thyroid Function Tests (TSH, FT4, FT3)
--Troponin-I (Quantitative)
PSA
</t>
  </si>
  <si>
    <t>Norman Panfilo G. Rabago, MD, FPCP, MHCA</t>
  </si>
  <si>
    <t>077-774-3227/ 
09272674233/ 
09454710481 (Laboratory)</t>
  </si>
  <si>
    <t>kchpi2016@gmail.com/ kchpilaboratory@gmail.com</t>
  </si>
  <si>
    <t>Mariano Marcos Memorial Hospital and Medical Center</t>
  </si>
  <si>
    <t>01-0001-26-I-2</t>
  </si>
  <si>
    <t>00024</t>
  </si>
  <si>
    <t>San Nicolas</t>
  </si>
  <si>
    <t>#100 Ventura Street, Barangay 15 San Jose</t>
  </si>
  <si>
    <t>GERTES CLINIC AND HOSPITAL</t>
  </si>
  <si>
    <t>-Clinical Laboratory Add on (07-29-2025):
1. Clinical Chem.:
--HBAIC
--Amylase
--Troponin I
2. Immunology/Serology:
--PSA
--Typhi Dot</t>
  </si>
  <si>
    <t>Geminiano G. Gertes, MD</t>
  </si>
  <si>
    <t>077-670-6438/
09392464630</t>
  </si>
  <si>
    <t>gertesclinicandhospital@yahoo.com</t>
  </si>
  <si>
    <t>01-0004--26-I-2</t>
  </si>
  <si>
    <t>Narvacan</t>
  </si>
  <si>
    <t>Sitio, Limmansangan, Margaay</t>
  </si>
  <si>
    <t>HOLY NATIVITY MEDICAL CLINIC &amp; INFIRMARY</t>
  </si>
  <si>
    <t>&gt;Clinical Laboratory (05-05-2026)</t>
  </si>
  <si>
    <t>Karen S. Cabigas, MD</t>
  </si>
  <si>
    <t>holynativitymcandli@yahoo.com</t>
  </si>
  <si>
    <t>ISDH-Narvacan</t>
  </si>
  <si>
    <t>01-0034-26-I-2</t>
  </si>
  <si>
    <t>Initial with Changes</t>
  </si>
  <si>
    <t>Add on  CL as OSS
w/ updated LTO: May 05, 2026</t>
  </si>
  <si>
    <t>3958</t>
  </si>
  <si>
    <t>Santo Domingo</t>
  </si>
  <si>
    <t>National Highway, San Pablo</t>
  </si>
  <si>
    <t>TOLENTINO CLINIC AND HOSPITAL</t>
  </si>
  <si>
    <t xml:space="preserve">-Diagnostic X-Ray (Level 2)
-Clinical Laboratory Add on : 
1. Clinical Chemistry: HBAIC
</t>
  </si>
  <si>
    <t>Benjamin S. Tolentino Jr., MD</t>
  </si>
  <si>
    <t>077-674-6122/
09272710197</t>
  </si>
  <si>
    <t>tolentinoclinic@gmail.com</t>
  </si>
  <si>
    <t>Suero General Hospital</t>
  </si>
  <si>
    <t>01-0022-26-I-2</t>
  </si>
  <si>
    <t>04267</t>
  </si>
  <si>
    <t>Dakota Street, Poblacion Sur</t>
  </si>
  <si>
    <t>JUDGE CELESTINO GUERRERO MEMORIAL HOSPITAL</t>
  </si>
  <si>
    <t xml:space="preserve">-Pharmacy
-Clinical Laboratory </t>
  </si>
  <si>
    <t>Mila P. Guerrero, MD</t>
  </si>
  <si>
    <t>guerrerohospital@yahoo.com.ph</t>
  </si>
  <si>
    <t>Reyes - Ulep Hospital</t>
  </si>
  <si>
    <t>01-0028-26-I-2</t>
  </si>
  <si>
    <t>7055</t>
  </si>
  <si>
    <t>#4 Baliw Laud</t>
  </si>
  <si>
    <t>STO. NIÑO HOSPITAL</t>
  </si>
  <si>
    <t>-Diagnostic X-Ray (level 1)
-Pharmacy
-Clinical Laboratory
-HIV Testing Lab</t>
  </si>
  <si>
    <t>Aurea Alicia Dagdag-Matias, MD</t>
  </si>
  <si>
    <t>077-604-15-95/
09454575960</t>
  </si>
  <si>
    <t>draumatias@yahoo.com</t>
  </si>
  <si>
    <t>01-0026-26-I-2</t>
  </si>
  <si>
    <t>42881</t>
  </si>
  <si>
    <t>Tagudin</t>
  </si>
  <si>
    <t>Mac Arthur Hi-way, Brgy. Lacong</t>
  </si>
  <si>
    <t>LACASANDILE MEDICAL CLINIC AND DIAGNOSTIC CENTER</t>
  </si>
  <si>
    <t>-Diagnostic X-Ray (Level 2)
-Add-on  Clinical Laboratory:
1. CC-HBAIC 
2. Immunology/
Serology
-Troponin I, 
-HAV,HCV, H. Pylori
-Leptospira
-T3, T4, TSH
(08-15-2024)
-HIV Testing Lab
-RHIVda (02-16-24)</t>
  </si>
  <si>
    <t>Kareen Alna L. Lacasandile-Sanchez, MD</t>
  </si>
  <si>
    <t>09062518009</t>
  </si>
  <si>
    <t>lacasandilemcdc@gmail.com</t>
  </si>
  <si>
    <t>01-0003-25-I-2</t>
  </si>
  <si>
    <t>06558</t>
  </si>
  <si>
    <t>#59 Rizal Street, Barangay 7</t>
  </si>
  <si>
    <t>RABARA CLINIC AND HOSPITAL</t>
  </si>
  <si>
    <t xml:space="preserve">-Diagnostic X-Ray (level 1)
-Clinical Laboratory </t>
  </si>
  <si>
    <t>Charles Hubert R. Rabara, MD</t>
  </si>
  <si>
    <t>077-632-0123/
09176100279</t>
  </si>
  <si>
    <t>allotrbr@yahoo.com / rabara.clinic@yahoo.com</t>
  </si>
  <si>
    <t>Metro Vigan Hospital</t>
  </si>
  <si>
    <t>01-0023-26-I-2</t>
  </si>
  <si>
    <t>42866</t>
  </si>
  <si>
    <t>La Union</t>
  </si>
  <si>
    <t>Agoo</t>
  </si>
  <si>
    <t>#138 Consolacion</t>
  </si>
  <si>
    <t>KOOP-MEDICAL CLINIC</t>
  </si>
  <si>
    <t>-Clinical Laboratory</t>
  </si>
  <si>
    <t>Allan John V. de Aquino, MD</t>
  </si>
  <si>
    <t>072-206-4659/
09129827211</t>
  </si>
  <si>
    <t>koopmedicalcliniclumpc@gmail.com</t>
  </si>
  <si>
    <t>Type I/ 
PIate No.: IAE 3599 
Cr No.: 453595671</t>
  </si>
  <si>
    <t>01-0019-26-I-2</t>
  </si>
  <si>
    <t>06708</t>
  </si>
  <si>
    <t>Balungao</t>
  </si>
  <si>
    <t>National Road, 40 Pugaro</t>
  </si>
  <si>
    <t>PROCARE MEDICAL CLINIC &amp; INFIRMARY</t>
  </si>
  <si>
    <t xml:space="preserve">-Clinical Laboratory
</t>
  </si>
  <si>
    <t>Carmelita L. Ordoñez,MD</t>
  </si>
  <si>
    <t>075-633-3650/
09060218963</t>
  </si>
  <si>
    <t>pcmch2015@gmail.com</t>
  </si>
  <si>
    <t>Del Carmen Medical Clinic &amp; Hospital</t>
  </si>
  <si>
    <t>01-0013-26-I-2</t>
  </si>
  <si>
    <t>6866</t>
  </si>
  <si>
    <t>Binalonan</t>
  </si>
  <si>
    <t>Delos Reyes Street, Poblacion</t>
  </si>
  <si>
    <t>SABALLA-ROSARIO MEDICAL CLINIC</t>
  </si>
  <si>
    <t>Audrey Viduya, MD,CFP, MHA / Mr. Angel S. Rosario, Jr.</t>
  </si>
  <si>
    <t>075-562-4375/
09217947676</t>
  </si>
  <si>
    <t>saballarosario.hospital@yahoo.com</t>
  </si>
  <si>
    <t>Tayug Family Hospital</t>
  </si>
  <si>
    <t>01-0014-26-I-2</t>
  </si>
  <si>
    <t>2767</t>
  </si>
  <si>
    <t>Bolinao</t>
  </si>
  <si>
    <t>Arosan Street, Germinal</t>
  </si>
  <si>
    <t>RILLERA MEDICAL HOSPITAL</t>
  </si>
  <si>
    <t xml:space="preserve">
 -Diagnostic X-ray (Level 1)
-Clin Lab. Add-on (06-17-2025): 
1. Immunology/Serology:
--Thyroid Function Test (TSH, FT3, FT4)
--PSA
</t>
  </si>
  <si>
    <t>Fredelyn B. Rillera, MD</t>
  </si>
  <si>
    <t xml:space="preserve">075-653-4787/
09189376914
</t>
  </si>
  <si>
    <t>rmhbolinao@yahoo.com</t>
  </si>
  <si>
    <t>Bolinao Community Hospital</t>
  </si>
  <si>
    <t>01-0006-26-I-2</t>
  </si>
  <si>
    <t>Lingayen</t>
  </si>
  <si>
    <t>Avenida Rizal West</t>
  </si>
  <si>
    <t>STO. NIÑO DE CASIPIT GENERAL HOSPITAL</t>
  </si>
  <si>
    <t xml:space="preserve">&gt;Diagnostic X-ray (Level 1)
&gt;Pharmacy
</t>
  </si>
  <si>
    <t>Raymond Norman G. Casipit, MD</t>
  </si>
  <si>
    <t>9662154473</t>
  </si>
  <si>
    <t>stoninodecasipit81@gmail.com</t>
  </si>
  <si>
    <t>Luzon Medical center</t>
  </si>
  <si>
    <t>01-0036-26-I-2</t>
  </si>
  <si>
    <t>32268</t>
  </si>
  <si>
    <t>Manaoag</t>
  </si>
  <si>
    <t>Barangay Licsi</t>
  </si>
  <si>
    <t>SAINT CAMILLUS MATERNITY AND POLYCLINIC</t>
  </si>
  <si>
    <t>Jaime A. Roa, MD</t>
  </si>
  <si>
    <t>075-529-1909/
09491537570</t>
  </si>
  <si>
    <t>st.camillusmanaoag@gmail.com</t>
  </si>
  <si>
    <t>Medical Centrum Dagupan</t>
  </si>
  <si>
    <t>01-0016-26-I-2</t>
  </si>
  <si>
    <t>6861</t>
  </si>
  <si>
    <t>Mangatarem</t>
  </si>
  <si>
    <t>#3 Mabini Street</t>
  </si>
  <si>
    <t>VELASQUEZ MEDICAL CLINIC AND HOSPITAL</t>
  </si>
  <si>
    <t xml:space="preserve">-Diagnostic X-Ray (level 1)
-Clinical Laboratory
</t>
  </si>
  <si>
    <t>Ronald C. Velasquez, MD</t>
  </si>
  <si>
    <t>075-632-3316/
09425755808</t>
  </si>
  <si>
    <t>mackay_maricel@yahoo.com</t>
  </si>
  <si>
    <t>Señor Sto Niño Hospital Inc. (Camiling Tarlac ) LTO # 03-0002-24-H2-2</t>
  </si>
  <si>
    <t>01-0024-26-I-2</t>
  </si>
  <si>
    <t>51371</t>
  </si>
  <si>
    <t>San Carlos City</t>
  </si>
  <si>
    <t>Binalonan, Pagal</t>
  </si>
  <si>
    <t>CHRIST-BEARER INFIRMARY</t>
  </si>
  <si>
    <t>-Pharmacy
-Diagnostic X-ray (Level 1)
-Clinical Laboratory Add-on (06-19-2025):
1. Clinical Chemistry:
-HBAIC
2. Immunology/Serology:
-Troponin-I
-Thyroid Function Tests (FT3, FT4, TSH)</t>
  </si>
  <si>
    <t>Christopher A. Cancino, MD</t>
  </si>
  <si>
    <t>(075) 529-7181/
09339161096</t>
  </si>
  <si>
    <t>christbearerinfirmary@gmail.com</t>
  </si>
  <si>
    <t>Type I/ 
PIate No.: AOA7468
Cr No.: 0003117765</t>
  </si>
  <si>
    <t>01-0002-26-I-2</t>
  </si>
  <si>
    <t>32269</t>
  </si>
  <si>
    <t>San Quintin</t>
  </si>
  <si>
    <t>#54 Rizal Street, Zone II, Poblacion</t>
  </si>
  <si>
    <t>EL CORAZON DE JESUS MEDICAL &amp; DIAGNOSTIC CLINIC</t>
  </si>
  <si>
    <t>Gilda Medenilla, MD</t>
  </si>
  <si>
    <t>elcorazondejesus12@gmail.com</t>
  </si>
  <si>
    <t>01-0018-26-I-2</t>
  </si>
  <si>
    <t>Ramirez St., Pob. Zone I</t>
  </si>
  <si>
    <t>SAN QUINTIN POLYCLINIC AND LABORATORY</t>
  </si>
  <si>
    <t>&gt;Clin. Lab. Additional services:
1.Clinical Chemistry: 
--HBAIC (05-28-2026)</t>
  </si>
  <si>
    <t>Roxanne R. Difuntorum, MD</t>
  </si>
  <si>
    <t>polyclinicandlaboratory@gmail.com</t>
  </si>
  <si>
    <t>Eastern Pangasinan District Hospital</t>
  </si>
  <si>
    <t>01-0033-26-I-2</t>
  </si>
  <si>
    <t>Clin. Lab. Additional services:
1.Clinical Chemistry: 
--HBAIC
 w/ updated LTO: May 28, 2026</t>
  </si>
  <si>
    <t>38511</t>
  </si>
  <si>
    <t>Urbiztondo</t>
  </si>
  <si>
    <t>88 Rizal St., Poblacion</t>
  </si>
  <si>
    <t>JESUS HEALING HANDS INFIRMARY INC.</t>
  </si>
  <si>
    <t xml:space="preserve">-Diagnostic X-Ray (Level 1)
-Clinical Laboratory 
</t>
  </si>
  <si>
    <t xml:space="preserve"> Francis Therese E. Bachar, MD, 
FPCP, MHA</t>
  </si>
  <si>
    <t>075-632-6085/
09171940426/
09989980239</t>
  </si>
  <si>
    <t>jhhhospital@yahoo.com</t>
  </si>
  <si>
    <t>Pangasinan Doctors Hospital</t>
  </si>
  <si>
    <t>01-0027-26-I-2</t>
  </si>
  <si>
    <t>2811</t>
  </si>
  <si>
    <t>Villasis</t>
  </si>
  <si>
    <t>Zone V, Poblacion</t>
  </si>
  <si>
    <t>ORDOÑEZ MEDICAL HOSPITAL</t>
  </si>
  <si>
    <t>Reynaldo Ordoñez, MD</t>
  </si>
  <si>
    <t>075-632-1965/
09178888323</t>
  </si>
  <si>
    <t>ordonez.mike@yahoo.com</t>
  </si>
  <si>
    <t>Del Carmen Medical Clinic &amp; Hospital Inc.</t>
  </si>
  <si>
    <t>01-0010-26-I-2</t>
  </si>
  <si>
    <t>351</t>
  </si>
  <si>
    <t>088 Poblacion zone II, McArthur Highway,</t>
  </si>
  <si>
    <t>VILLASIS POLYMEDIC HOSPITAL AND TRAUMA HOSPITAL</t>
  </si>
  <si>
    <t>-Diagnostic X-Ray (level 1)</t>
  </si>
  <si>
    <t>Francisco L. Olivar, MD</t>
  </si>
  <si>
    <t>75-564-388</t>
  </si>
  <si>
    <t>vphtc@yahoo.com</t>
  </si>
  <si>
    <t>Rosales Chua Pun Memorial Hospital</t>
  </si>
  <si>
    <t>01-0025-26-I-2</t>
  </si>
  <si>
    <t>Rosemarie Reyes Street, Prenza</t>
  </si>
  <si>
    <t>CAUAYAN FAMILY HOSPITAL</t>
  </si>
  <si>
    <t>Dr. Marlene C. Aquino</t>
  </si>
  <si>
    <t>09328645759 (078) 652-2411</t>
  </si>
  <si>
    <t>cfhmay2008@gmail.com</t>
  </si>
  <si>
    <t>Isabela United Doctors Medical Center</t>
  </si>
  <si>
    <t>02-03-26-I-2</t>
  </si>
  <si>
    <t>#109 Quezon Street, District 1</t>
  </si>
  <si>
    <t>THE ROSS MAURICIO MEMORIAL HOSPITAL</t>
  </si>
  <si>
    <t>Dr. Edwin B. Mauricio</t>
  </si>
  <si>
    <t>therossmauriciomh@yahoo.com</t>
  </si>
  <si>
    <t>Cauayan Medical Specialists Hospital</t>
  </si>
  <si>
    <t>02-02-26-I-2</t>
  </si>
  <si>
    <t>Zone 6, San Antonio</t>
  </si>
  <si>
    <t>GAMBALAN HOSPITAL</t>
  </si>
  <si>
    <t>Dr. Maximo C. Gambalan</t>
  </si>
  <si>
    <t>09452598231 09178881835</t>
  </si>
  <si>
    <t>gambalan.hospital@yahoo.com</t>
  </si>
  <si>
    <t>1/Type 1/UAI 610</t>
  </si>
  <si>
    <t>02-30-26-I-2</t>
  </si>
  <si>
    <t>Ramon</t>
  </si>
  <si>
    <t># 11 Bonifacio Steet, Bugallon Proper</t>
  </si>
  <si>
    <t>DEMANO'S MEDICAL AND PEDIATRIC CLINIC</t>
  </si>
  <si>
    <t>Pharmacy, Diagnostic X-Ray (Level 1),Clinical Laboratory (Primary) Electrolytes (Na, K, Cl, iCa) Special Chemistry (ALT)</t>
  </si>
  <si>
    <t>Dr. Joyce M. Demano</t>
  </si>
  <si>
    <t>09772784383 (078) 3253-263</t>
  </si>
  <si>
    <t>demanoclinicramon@gmail.com</t>
  </si>
  <si>
    <t>Tomas-Cacal Medical Clinic &amp; Hospital</t>
  </si>
  <si>
    <t>02-11-26-I-2</t>
  </si>
  <si>
    <t>Additional Services (11/5/2025- 4th Quarter)</t>
  </si>
  <si>
    <t>National Highway, Barangay 3</t>
  </si>
  <si>
    <t>JUVELO FAMILY CLINIC</t>
  </si>
  <si>
    <t>Pharmacy, Clinical Laboratory- Add ons: Electrolytes ( Na, K, Cl) Special Chemistry (AST, ALT, HbA1c) Tumor Markers ( PSA)</t>
  </si>
  <si>
    <t>Dr. Melanio V. Lazaro</t>
  </si>
  <si>
    <t>(078) 323-1683 09266472110</t>
  </si>
  <si>
    <t>juvelofamilyclinic@gmail.com</t>
  </si>
  <si>
    <t>San Mateo Multicare Hospital, Inc.</t>
  </si>
  <si>
    <t>02-13-26-I-2</t>
  </si>
  <si>
    <t>Quirino Street, Barangay 3</t>
  </si>
  <si>
    <t>SEVILLEJA MEDICAL CLINIC INC</t>
  </si>
  <si>
    <t>Pharmacy, Clinical Laboratory Add Ons: Special Chemistry (AST, ALT), Diagnostic X-ray (Level 1)</t>
  </si>
  <si>
    <t>Dr. Ceasar L. Sevilleja</t>
  </si>
  <si>
    <t>sevillejamedicalclinic@gmail.com</t>
  </si>
  <si>
    <t>1, Type 1, BAG 9950</t>
  </si>
  <si>
    <t>02-01-26-I-2</t>
  </si>
  <si>
    <t>Initial Ambulance Unit (6/15/2026-3rd Quarter)</t>
  </si>
  <si>
    <t>#17 Laman Street, District 2</t>
  </si>
  <si>
    <t>QUE MEDICAL CLINIC, LYING-IN AND PHARMACY</t>
  </si>
  <si>
    <t xml:space="preserve">Pharmacy,  Electrolytes (Ionized Calcium) 
Special Serology (Typhidot) 
Thyroid Function Test (TSH, fT3, fT4) 
Tumor Markers (CEA, PSA) Special Chemistry (HbA1c, CK-MB) Special Serology (Typhidot, Trop I) </t>
  </si>
  <si>
    <t>Dr. Rizelle Marie A. Que- Daquioag OIC, Medical Director</t>
  </si>
  <si>
    <t>09177747674 (078) 323-0309</t>
  </si>
  <si>
    <t>quemedicalclinic@yahoo.com</t>
  </si>
  <si>
    <t>Tumauini Community Hospital</t>
  </si>
  <si>
    <t>02-32-26-I-2</t>
  </si>
  <si>
    <t>Clinical Laboratory Add ons- Special Chemistry &amp; Special Serology- 2/6/2026- 1st Quarter</t>
  </si>
  <si>
    <t>Aritao</t>
  </si>
  <si>
    <t>Ozanam Village, Banganan</t>
  </si>
  <si>
    <t>INDIGENOUS PEOPLES' HOSPITAL FOUNDATION OF THE DIOCESE OF BAYOMBONG, INC.</t>
  </si>
  <si>
    <t>Diagnostic X-ray (Level 2), Pharmacy</t>
  </si>
  <si>
    <t>Dr. Karen Cecille T. Tambuyat</t>
  </si>
  <si>
    <t>(078) 362 8791 09171698762</t>
  </si>
  <si>
    <t>indigenouspeopleshospital17@gmail.com</t>
  </si>
  <si>
    <t>Aritao Rural Health Unit</t>
  </si>
  <si>
    <t>02-29-26-I-2</t>
  </si>
  <si>
    <t>Dinalupihan</t>
  </si>
  <si>
    <t>#13 Rizal St., Sta. Isabel</t>
  </si>
  <si>
    <t>STO. ROSARIO MATERNITY AND MEDICAL CLINIC</t>
  </si>
  <si>
    <t>Dr. Graciella Celia A. Roxas</t>
  </si>
  <si>
    <t>(047) 6361618 
 (047) 6361379</t>
  </si>
  <si>
    <t>storosario_clinic@yahoo.com</t>
  </si>
  <si>
    <t>Jose Payumo Memorial Hospital</t>
  </si>
  <si>
    <t>03-0219-26-I-2</t>
  </si>
  <si>
    <t>Balagtas</t>
  </si>
  <si>
    <t>#255 Burol 2nd,</t>
  </si>
  <si>
    <t>GUBATAN MEDICAL CLINIC</t>
  </si>
  <si>
    <t xml:space="preserve">Clinical Laboratory
Diagnostic Xray Level 1 </t>
  </si>
  <si>
    <t>Dr. Carlos R. Gubatan, Jr.</t>
  </si>
  <si>
    <t>(044) 
 8168648
09177007347</t>
  </si>
  <si>
    <t>gubatanmedicalclinic92@yahoo.com</t>
  </si>
  <si>
    <t>United Balagtas Doctors Hospital Corporation</t>
  </si>
  <si>
    <t>03-0099-26-I-2</t>
  </si>
  <si>
    <t>Bulakan</t>
  </si>
  <si>
    <t>#71 Malusak Street, Sta. Ana,</t>
  </si>
  <si>
    <t>OUR LADY OF THE ASSUMPTION HOSPITAL OPC</t>
  </si>
  <si>
    <t>Dr. Barbara A. Gatiera</t>
  </si>
  <si>
    <t>(044)792-0084
0917-871-9290</t>
  </si>
  <si>
    <t>olahosp2021@gmail.com</t>
  </si>
  <si>
    <t>Santos General Hospital of Malolos, Inc.</t>
  </si>
  <si>
    <t>03-0152-26-I-2</t>
  </si>
  <si>
    <t>Guiguinto</t>
  </si>
  <si>
    <t>#23 Ilang Ilang St., Violeta Village, Sta. Cruz</t>
  </si>
  <si>
    <t>MAGPOC MATERNITY HOSPITAL, INC.</t>
  </si>
  <si>
    <t>Ricardo O. Magpoc</t>
  </si>
  <si>
    <t>(044) 7943335
09216907183</t>
  </si>
  <si>
    <t>mmhi15@yahoo.com.ph</t>
  </si>
  <si>
    <t>Guiguinto Polymedic Hospital</t>
  </si>
  <si>
    <t>03-0037-26-I-2</t>
  </si>
  <si>
    <t>San Ildefonso</t>
  </si>
  <si>
    <t>Sapang Putol, San Ildefonso</t>
  </si>
  <si>
    <t>M.S. MAGBITANG OSPITAL NG SAN ILDEFONSO</t>
  </si>
  <si>
    <t>Dr. Medina S. Magbitang</t>
  </si>
  <si>
    <t>044-762-0311</t>
  </si>
  <si>
    <t>msmagbitangospital@gmail.com</t>
  </si>
  <si>
    <t>1/Type I/ Plate# JTS909</t>
  </si>
  <si>
    <t>03-0125-26-I-2</t>
  </si>
  <si>
    <t>San Jose del Monte City</t>
  </si>
  <si>
    <t>Brgy. San Pedro, Area F, Sapang Palay, City of San Jose del Monte, Bulacan</t>
  </si>
  <si>
    <t>DR. EDUARDO V. ROQUERO MEMORIAL HOSPITAL</t>
  </si>
  <si>
    <t>Dr. Isabelita S. Roquero</t>
  </si>
  <si>
    <t>(044) 
 8153562</t>
  </si>
  <si>
    <t>evrmemorialhospital@yahoo.com</t>
  </si>
  <si>
    <t>Nazarenus Hospital</t>
  </si>
  <si>
    <t>03-0229-26-I-2</t>
  </si>
  <si>
    <t>LATE RENEWAL; NO LONGER RENEWED DIALYSIS</t>
  </si>
  <si>
    <t>Block 25 Lot 9, San Martin IV, Area C</t>
  </si>
  <si>
    <t>HOLISTIC CARE GENERAL HOSPITAL</t>
  </si>
  <si>
    <t>Jhovina Cruz-Ceballos, MD, MMHOA</t>
  </si>
  <si>
    <t>(044)9135418
09557239312</t>
  </si>
  <si>
    <t>holisticgenhospital@gmail.com</t>
  </si>
  <si>
    <t>03-0223-25-I-2</t>
  </si>
  <si>
    <t>Daang Barrio, Poblacion I, District I, City of San Jose del Monte, Bulacan</t>
  </si>
  <si>
    <t>SJP INFIRMARY DIAGNOSTIC AND PHARMACY</t>
  </si>
  <si>
    <t>Clinical Laboratory; Pharmacy, Diagnostic X-ray Services Level 1</t>
  </si>
  <si>
    <t>Dr. Carina F. Concepcion</t>
  </si>
  <si>
    <t>sjpinfirmary@gmail.com</t>
  </si>
  <si>
    <t>Dr. Cabuco Hospital</t>
  </si>
  <si>
    <t>03-0016-26-I-2</t>
  </si>
  <si>
    <t>J.P. Rizal St., Poblacion, Sta. Maria, Bulacan</t>
  </si>
  <si>
    <t>ST. MARY'S MEDICAL SERVICES, INC.</t>
  </si>
  <si>
    <t>Clinical Laboratory; Dialysis clinic 7 stations(Garcia Health Center); Pharmacy; Diagnostic X-ray Services Level 2</t>
  </si>
  <si>
    <t>Dr. Leticia H. Fuentebella</t>
  </si>
  <si>
    <t>(044) 7691703
09189573057</t>
  </si>
  <si>
    <t>email.smmsi@gmail.com</t>
  </si>
  <si>
    <t>Mendoza General Hospital</t>
  </si>
  <si>
    <t>03-0087-26-I-2</t>
  </si>
  <si>
    <t>#803 Rizal St., Malapit, San Isidro, Nueva Ecija</t>
  </si>
  <si>
    <t>TOLENTINO-GOMEZ MEDICAL CLINIC</t>
  </si>
  <si>
    <t>Dr. Ophelia G. Tolentino</t>
  </si>
  <si>
    <t>(044) 
 4860083</t>
  </si>
  <si>
    <t>tolentino.gomezmedicalclinic@yahoo.com</t>
  </si>
  <si>
    <t>Dr. Apollo Q. Duque Memorial Hospital</t>
  </si>
  <si>
    <t>03-0005-26-I-2</t>
  </si>
  <si>
    <t>San Jose City</t>
  </si>
  <si>
    <t>Cadhit At., Brgy. Canuto Ramos</t>
  </si>
  <si>
    <t>SANTOS INFIRMARY</t>
  </si>
  <si>
    <t>Clinical Laboratory Pharmacy (St. Joseph's Health Services)</t>
  </si>
  <si>
    <t>Dr. Valerio Jonathan Santos</t>
  </si>
  <si>
    <t>stjosephhsmedlab@yahoo.com</t>
  </si>
  <si>
    <t>San Jose City General Hospital</t>
  </si>
  <si>
    <t>03-0088-26-I-2</t>
  </si>
  <si>
    <t>Executive Ave, CLSU Compound, Brgy. Bantug</t>
  </si>
  <si>
    <t>CENTRAL LUZON STATE UNIVERSITY INFIRMARY</t>
  </si>
  <si>
    <t>Clinical Laboratory (Limited Service Capability), Dental Clinic, Pharmacy</t>
  </si>
  <si>
    <t>Limited Service Capability</t>
  </si>
  <si>
    <t>Dr. Marivel S. Dumale</t>
  </si>
  <si>
    <t>clsu_hospital@clsu.edu.ph</t>
  </si>
  <si>
    <t>Talavera General Hospital</t>
  </si>
  <si>
    <t>03-0054-26-I-2</t>
  </si>
  <si>
    <t>Angeles City</t>
  </si>
  <si>
    <t>5038, Rizal St. Agapito Del Rosario</t>
  </si>
  <si>
    <t>RS CLINIC AND HOSPITAL</t>
  </si>
  <si>
    <t>DR. FLORENCE NIKKO MALLILLIN</t>
  </si>
  <si>
    <t>0925-695-1112</t>
  </si>
  <si>
    <t>rsclinic.hospital@gnail.com</t>
  </si>
  <si>
    <t>Dr. Amando L. Garcia Medical Center Inc.</t>
  </si>
  <si>
    <t>03-0206-26-I-2</t>
  </si>
  <si>
    <t>Sitio 1 Bahay Pare</t>
  </si>
  <si>
    <t>SAINT PIO INFIRMARY</t>
  </si>
  <si>
    <t>Diagnostic X-ray Services Level 1, Pharmacy; Clinical Laboratory</t>
  </si>
  <si>
    <t>Dr. Alfredo C. Manarang</t>
  </si>
  <si>
    <t>0923-909-2973</t>
  </si>
  <si>
    <t>saintpiohospital@gmail.com</t>
  </si>
  <si>
    <t>Sagrada Familia Hospital</t>
  </si>
  <si>
    <t>03-0214-26-I-2</t>
  </si>
  <si>
    <t>Magalang</t>
  </si>
  <si>
    <t>Ninoy Aquino Highway, Sta. Cruz, Magalang, Pampanga</t>
  </si>
  <si>
    <t>RICARDO L. LAXAMANA GENERAL HOSPITAL, INC.</t>
  </si>
  <si>
    <t>ELIROSE B. LAXAMANA, MD</t>
  </si>
  <si>
    <t>09307907233/ 09917256587
09209243617/ 09235208892</t>
  </si>
  <si>
    <t>rlgh.hrdept2023@gmail.com</t>
  </si>
  <si>
    <t>Arayat Doctor's Hospital</t>
  </si>
  <si>
    <t>03-0230-26-I-2</t>
  </si>
  <si>
    <t>San Juan Highway, Sta. Ana, Pampanga</t>
  </si>
  <si>
    <t>HTC SPECIALTY CLINIC AND DIAGNOSTIC LABORATORY</t>
  </si>
  <si>
    <t>Dr. Michael Dennis G. Gallardo</t>
  </si>
  <si>
    <t>0917-146-1062, 0917-706-8403</t>
  </si>
  <si>
    <t>drgengoliveros@yahoo.com htcclinic@yahoo.com</t>
  </si>
  <si>
    <t>Arayat Doctors' Hospital</t>
  </si>
  <si>
    <t>03-0171-26-I-2</t>
  </si>
  <si>
    <t>Camiling</t>
  </si>
  <si>
    <t xml:space="preserve">Burgos st., Poblacion
</t>
  </si>
  <si>
    <t>DR. JOHN A. IGLESIA MEDICAL CLINIC</t>
  </si>
  <si>
    <t>Clinical Laboratory; Diagnostic X-ray Services Level 1; Pharmacy</t>
  </si>
  <si>
    <t>John A. Iglesia,MD</t>
  </si>
  <si>
    <t>045-934-1876
09158587589</t>
  </si>
  <si>
    <t>driglesiamedicalclinic2015@gmail.com</t>
  </si>
  <si>
    <t>Salvador General Hospital</t>
  </si>
  <si>
    <t>03-0142-26-I-2</t>
  </si>
  <si>
    <t>Capas</t>
  </si>
  <si>
    <t>M.H. Del Pilar St., Sto. Rosario</t>
  </si>
  <si>
    <t>STA. CATALINA HOSPITAL</t>
  </si>
  <si>
    <t>Dr. Mary Karen O. Atanacio, MD, MHA, FPOGS, FSUOG</t>
  </si>
  <si>
    <t>1, Type I Plate No. CCG 8687</t>
  </si>
  <si>
    <t>03-0031-26-I-2</t>
  </si>
  <si>
    <t>Concepcion</t>
  </si>
  <si>
    <t>Sta. Rita</t>
  </si>
  <si>
    <t>M. NAPENAS MULTISPECIALTY</t>
  </si>
  <si>
    <t>Clinical Laboratory; Diagnostic X-ray Services Level 2</t>
  </si>
  <si>
    <t>Dr. Marites Napeñas,CFP</t>
  </si>
  <si>
    <t>0917-514-4256</t>
  </si>
  <si>
    <t>dm_nap@yahoo.com</t>
  </si>
  <si>
    <t>1/Type I/ Plate# PWQ729</t>
  </si>
  <si>
    <t>03-0127-26-I-2</t>
  </si>
  <si>
    <t>#1 Magallanes Street, Brgy. Coral</t>
  </si>
  <si>
    <t>JOWELL GENERAL HOSPITAL</t>
  </si>
  <si>
    <t>Pharmacy, Diagnostic Xray (Level 2), Clinical Laboratory</t>
  </si>
  <si>
    <t>Jowell Nielsen A. Yu, MD</t>
  </si>
  <si>
    <t> 09175928009</t>
  </si>
  <si>
    <t>jowellgeneralh@gmail.com</t>
  </si>
  <si>
    <t>1/ Type I/ AMA 4398</t>
  </si>
  <si>
    <t>03-0154-26-I-2</t>
  </si>
  <si>
    <t>Tarlac City</t>
  </si>
  <si>
    <t>505 Quezon St.,San Miguel</t>
  </si>
  <si>
    <t>HOLY TRINITY HOSPITAL OF TARLAC CITY, INC</t>
  </si>
  <si>
    <t>Clinical Laboratory, Diagnostic X-ray Services Level 1, Pharmacy</t>
  </si>
  <si>
    <t>Dr. Jose S. Domingo</t>
  </si>
  <si>
    <t>(045) 4932738</t>
  </si>
  <si>
    <t>hospital_hth@yahoo.com</t>
  </si>
  <si>
    <t>Tarlac Medical Center</t>
  </si>
  <si>
    <t>03-0179-26-I-2</t>
  </si>
  <si>
    <t>SR8 Buliding Brgy. Maligaya, Tarlac City</t>
  </si>
  <si>
    <t>TUCAY MULTI SPECIALTY HOSPITAL</t>
  </si>
  <si>
    <t>Clinical Laboratory (Saint Zacharia clinical Laboratory); Diagnostix X-ray Services Level 1 (Saint Zacharia clinical Laboratory)</t>
  </si>
  <si>
    <t>Dr. Rommel Macaraeg Tucay</t>
  </si>
  <si>
    <t>045-491-3103/0928-488-6015</t>
  </si>
  <si>
    <t>tucaymultispecialtyhospital@gmail.com</t>
  </si>
  <si>
    <t>Talon General Hospital</t>
  </si>
  <si>
    <t>03-0140-26-I-2</t>
  </si>
  <si>
    <t>Sta. Cruz</t>
  </si>
  <si>
    <t>Purok Niyog, Brgy. Biay, Sta Cruz</t>
  </si>
  <si>
    <t>STA. CRUZ DOCTORS MANILA HOSPITAL, INC</t>
  </si>
  <si>
    <t>Pharmacy, Diagnostic X-ray Services Level 1; Specilaized Diagnostic X-ray Service: Computed Tomography, Clinical Laboratory</t>
  </si>
  <si>
    <t>Dr. Carmela Manila</t>
  </si>
  <si>
    <t>09770933555; 09051379388</t>
  </si>
  <si>
    <t>sta.cruzdoctorsmanilaamb.clinic@gmail.com</t>
  </si>
  <si>
    <t>Ospital ng Sta. Cruz</t>
  </si>
  <si>
    <t>03-0121-26-I-2</t>
  </si>
  <si>
    <t>Calatagan</t>
  </si>
  <si>
    <t>Apacible st., poblacion 2, calatagan, batangas</t>
  </si>
  <si>
    <t>CALATAGAN MEDICARE HOSPITAL</t>
  </si>
  <si>
    <t xml:space="preserve">Pharmacy
Diagnostic X-ray Services (Level 1)
</t>
  </si>
  <si>
    <t>DR. ALESSANDRO D. CORONEL</t>
  </si>
  <si>
    <t>(043) 419-0160/0917-817-7310</t>
  </si>
  <si>
    <t>calatagan_medicare@yahoo.com</t>
  </si>
  <si>
    <t>Type I, F5 J819</t>
  </si>
  <si>
    <t>4A-0011-26-I-1</t>
  </si>
  <si>
    <t>Lemery</t>
  </si>
  <si>
    <t>Ilustre avenue, lemery, batangas</t>
  </si>
  <si>
    <t>LITTLE ANGELS MEDICAL HOSPITAL</t>
  </si>
  <si>
    <t>DR. FERDINAND M. MACABABBAD</t>
  </si>
  <si>
    <t>(043)740-1177 / 09179485426</t>
  </si>
  <si>
    <t>lamh1997@yahoo.com</t>
  </si>
  <si>
    <t>4A-0002-26-I-2</t>
  </si>
  <si>
    <t>Mataas na kahoy</t>
  </si>
  <si>
    <t>#49 rafael lubis st., brgy.ii-a, mataasnakahoy, batangas</t>
  </si>
  <si>
    <t>MATAAS NA KAHOY COMMUNITY HOSPITAL</t>
  </si>
  <si>
    <t>May M. Manguiat, MD</t>
  </si>
  <si>
    <t>(043) 702-1588 / 09085564522</t>
  </si>
  <si>
    <t>mkchhospital@yahoo.com</t>
  </si>
  <si>
    <t>4A-0030-26-I-2</t>
  </si>
  <si>
    <t>Dasmariñas City</t>
  </si>
  <si>
    <t>Block 1 lot 4 &amp; 5 fatima 1, city of dasmariñas, cavite</t>
  </si>
  <si>
    <t>FABELLA-NARCISO MEDICAL &amp; MATERNITY CLINIC</t>
  </si>
  <si>
    <t>CHARLENE FABELLA-NARCISO, MD, FPAFP, MMHoA, CHA</t>
  </si>
  <si>
    <t>(046)8511453/8510703/09209389775</t>
  </si>
  <si>
    <t>codojr.ccnhealthcare@gmail.com</t>
  </si>
  <si>
    <t>4A-0014-26-I-2</t>
  </si>
  <si>
    <t>Pag-asa st., f. Manalo rd., brgy. Navarro, gen. Trias, cavite</t>
  </si>
  <si>
    <t>MAMA RACHEL'S HOSPITAL OF MERCY INC.</t>
  </si>
  <si>
    <t>DR. MARLISA N. CALMA</t>
  </si>
  <si>
    <t>(046) 4565786/09207652694</t>
  </si>
  <si>
    <t>mamarachelshospitalofmercy@yahoo.com</t>
  </si>
  <si>
    <t>4A-0010-26-I-2</t>
  </si>
  <si>
    <t>92 kabulusan magallanes cavite</t>
  </si>
  <si>
    <t>OLW HOSPITAL</t>
  </si>
  <si>
    <t>LEONA CARMEN R. SISANTE</t>
  </si>
  <si>
    <t>olw.clinicoffice@gmail.com</t>
  </si>
  <si>
    <t>4A-0022-26-I-2</t>
  </si>
  <si>
    <t>Silang</t>
  </si>
  <si>
    <t>Puting kahoy silang, cavite</t>
  </si>
  <si>
    <t>ADVENTIST UNIVERSITY OF THE PHILIPPINES HEALTH SERVICE</t>
  </si>
  <si>
    <t>Dr. Prudencio Z. Sta. Lucia Jr.</t>
  </si>
  <si>
    <t>049-541-1211 loc 6901</t>
  </si>
  <si>
    <t>hsdepartment@aup.edu.ph</t>
  </si>
  <si>
    <t>Type I, NDQ 1985</t>
  </si>
  <si>
    <t>4A-0039-26-I-2</t>
  </si>
  <si>
    <t>Km. 43 aguinaldo hi-way, san miguel 2, silang, cavite</t>
  </si>
  <si>
    <t>CAVITE SPECIALIST GROUP INC.</t>
  </si>
  <si>
    <t>Dr. Roger Aquino/Dr. Angel Estrella/Dr. Paolo Belen</t>
  </si>
  <si>
    <t>fpestrella22@gmail.com</t>
  </si>
  <si>
    <t>4A-0038-26-I-2</t>
  </si>
  <si>
    <t>218 j.p.. Rizal st., calamba city laguna</t>
  </si>
  <si>
    <t>GAMEZ HOSPITAL</t>
  </si>
  <si>
    <t>Diagnostic X-ray Services (Level 2)</t>
  </si>
  <si>
    <t>DIGNA M. GAMEZ,MD.</t>
  </si>
  <si>
    <t>gamezeman@yahoo.com</t>
  </si>
  <si>
    <t>Type 1</t>
  </si>
  <si>
    <t>4A-0041-26-I-2</t>
  </si>
  <si>
    <t>Paete</t>
  </si>
  <si>
    <t>J.p. Rizal st. Brgy. Quinale, paete, laguna</t>
  </si>
  <si>
    <t>PAETE GENERAL HOSPITAL, INC.</t>
  </si>
  <si>
    <t>REX E. NUNES,MD MHM</t>
  </si>
  <si>
    <t>(049) 557-0005</t>
  </si>
  <si>
    <t>paetegeneralhospital@yahoo.com</t>
  </si>
  <si>
    <t>4A-0027-26-I-2</t>
  </si>
  <si>
    <t>Sariaya</t>
  </si>
  <si>
    <t>Gen. Luna st. Corner dalitiwan st. Poblacion 1, sariaya, quezon</t>
  </si>
  <si>
    <t>GREG HOSPITAL- SARIAYA, INC.</t>
  </si>
  <si>
    <t>JONATHAN M. GARCIA</t>
  </si>
  <si>
    <t>greghospital_agc@yahoo.com</t>
  </si>
  <si>
    <t>4A-0012-26-I-2</t>
  </si>
  <si>
    <t>Mabini st, barangay 6 pob., sariaya, quezon, calabarzon, phl</t>
  </si>
  <si>
    <t>SOLER MEDICAL CLINIC AND INFIRMARY</t>
  </si>
  <si>
    <t>Ana Mia J. Soler, MD</t>
  </si>
  <si>
    <t>042-7171195 / 09386486761</t>
  </si>
  <si>
    <t>solerinfirmary_sariaya@yahoo.com</t>
  </si>
  <si>
    <t>4A-0007-26-I-2</t>
  </si>
  <si>
    <t>Tiaong</t>
  </si>
  <si>
    <t>01 mayo street, barangay poblacion ii, tiaong, quezon</t>
  </si>
  <si>
    <t>LIWAG MEDICAL CLINIC, INC.</t>
  </si>
  <si>
    <t>Ram Jehan Aquino, M.D.</t>
  </si>
  <si>
    <t>lmcgh_77@yahoo.com</t>
  </si>
  <si>
    <t>4A-0026-26-I-2</t>
  </si>
  <si>
    <t>Antipolo City</t>
  </si>
  <si>
    <t>Cogeo gate 2, marcos highway, bagong nayon i, antipolo city, rizal</t>
  </si>
  <si>
    <t>ST. JOSEPH OF NAZARETH HOSPITAL</t>
  </si>
  <si>
    <t>DR. CONSUELO S. FERRER</t>
  </si>
  <si>
    <t>st.josephofnazareth13@gmail.com</t>
  </si>
  <si>
    <t>4A-0016-26-I-2</t>
  </si>
  <si>
    <t>Binangonan</t>
  </si>
  <si>
    <t>Quarry road palangoy binangonan rizal</t>
  </si>
  <si>
    <t>ST. BERNARD INFIRMARY AND MULTI-SPECIALTY CLINIC, INC.</t>
  </si>
  <si>
    <t>ROSEMARIE S. BLANCO, MD.</t>
  </si>
  <si>
    <t>84701521/09062853926</t>
  </si>
  <si>
    <t>sbimsc2017@gmail.com</t>
  </si>
  <si>
    <t>4A-0017-26-I-2</t>
  </si>
  <si>
    <t>Cardona</t>
  </si>
  <si>
    <t>911 manila east road looc cardona rizal</t>
  </si>
  <si>
    <t>CARLOS MEDICAL AND MATERNITY CLINIC</t>
  </si>
  <si>
    <t>Marie Evangeline Tan-De Leon</t>
  </si>
  <si>
    <t>87272731/09178552753</t>
  </si>
  <si>
    <t>carlosmedical1976@gmail.com</t>
  </si>
  <si>
    <t>Type I, NOX 2464</t>
  </si>
  <si>
    <t>4A-0019-26-I-2</t>
  </si>
  <si>
    <t>Gomez St., Brgy. I</t>
  </si>
  <si>
    <t>WESTMIN UNITED DOCTORS HOSPITAL CO.</t>
  </si>
  <si>
    <t>Dr. Eleanor S. Costibolo</t>
  </si>
  <si>
    <t>westminudh@gmail.com</t>
  </si>
  <si>
    <t>Not Applicable</t>
  </si>
  <si>
    <t>San Jose Public Health and DIagnostic Center</t>
  </si>
  <si>
    <t>4B-0026-26-I-2</t>
  </si>
  <si>
    <t>Pinamalayan</t>
  </si>
  <si>
    <t>Aguinaldo St., Zone II</t>
  </si>
  <si>
    <t>DELOS REYES MEDICAL CLINIC</t>
  </si>
  <si>
    <t>Clinical Laboratory 
Level 1 Gen. Radiography</t>
  </si>
  <si>
    <t>Dr. Antonio M. delos Reyes</t>
  </si>
  <si>
    <t>mcdlr030655@gmail.com</t>
  </si>
  <si>
    <t>Maria Estrella General Hospital</t>
  </si>
  <si>
    <t>4B-0008-26-1-2</t>
  </si>
  <si>
    <t>0073 Quezon St., Zone III</t>
  </si>
  <si>
    <t>ST. PAUL GENERAL HOSPITAL</t>
  </si>
  <si>
    <t>Dr. Theresa T Atienza</t>
  </si>
  <si>
    <t>jfm072583@gmail.com</t>
  </si>
  <si>
    <t>Grace Mission Hospital</t>
  </si>
  <si>
    <t>4B-0023-26-I-2</t>
  </si>
  <si>
    <t>0218 Bonifacio St., Brgy. Poblacion III</t>
  </si>
  <si>
    <t>ST. MAGDALENE HOSPITAL</t>
  </si>
  <si>
    <t>Dr. Mary Sharon A. Asilo</t>
  </si>
  <si>
    <t>smh.sjom@gmail.com</t>
  </si>
  <si>
    <t>4B-0013-26-I-2</t>
  </si>
  <si>
    <t>Victoria</t>
  </si>
  <si>
    <t>Poblacion, Victoria</t>
  </si>
  <si>
    <t>SAINT LAWRENCE HOSPITAL</t>
  </si>
  <si>
    <t>Dr. Laurence S. Esteban</t>
  </si>
  <si>
    <t>slhvictoria1997@gmail.com</t>
  </si>
  <si>
    <t>Victoria Rural Health Unit</t>
  </si>
  <si>
    <t>4B-0030-26-I-2</t>
  </si>
  <si>
    <t>Brgy. IV</t>
  </si>
  <si>
    <t>PALAWAN BAPTIST HOSPITAL, INC</t>
  </si>
  <si>
    <t xml:space="preserve">
Clinical Laboratory (Secondary)
Level 1 Gen. Radiography</t>
  </si>
  <si>
    <t>Dr. Jeremiah Butch T. Gemarino</t>
  </si>
  <si>
    <t>palawanbap@gmail.com</t>
  </si>
  <si>
    <t>Palawan Medical Mission Group Multipurpose Cooperative (PMMGMPC)</t>
  </si>
  <si>
    <t>4B-0025-26-I-2</t>
  </si>
  <si>
    <t>Odiongan</t>
  </si>
  <si>
    <t>Torrel Dapawan</t>
  </si>
  <si>
    <t>ROVILLOS HOSPITAL</t>
  </si>
  <si>
    <t>Dr. Joy E. Rovillos</t>
  </si>
  <si>
    <t>hospitalrovillos@gmail.com</t>
  </si>
  <si>
    <t>4B-0034-26-I-2</t>
  </si>
  <si>
    <t>Liwayway</t>
  </si>
  <si>
    <t>TABLAS DOCTORS HOSPITAL</t>
  </si>
  <si>
    <t>Dr. Venizar F. Maravilla</t>
  </si>
  <si>
    <t>drvenizarmaravilla@yahoo.com</t>
  </si>
  <si>
    <t>4B-0015-26-I-2</t>
  </si>
  <si>
    <t>Barreda Barangay 10 (Pob.), Bacacay, Albay</t>
  </si>
  <si>
    <t>BETHESDA MISSION INFIRMARY AND TRAINING CENTER INC.</t>
  </si>
  <si>
    <t>Julie Beth P. Barrameda, MD</t>
  </si>
  <si>
    <t>bethesdainfirmary2025@gmail.com</t>
  </si>
  <si>
    <t>Municipal  Government of Bacacay</t>
  </si>
  <si>
    <t>05-0055-26-I-2</t>
  </si>
  <si>
    <t>Guinobatan</t>
  </si>
  <si>
    <t>Rizal St., Iraya, Guinobatan, Albay</t>
  </si>
  <si>
    <t>RETUERMA GENERAL HOSPITAL</t>
  </si>
  <si>
    <t>Dr. Rene Oriel S.  Retuerma</t>
  </si>
  <si>
    <t>retuermahospital@yahoo.com</t>
  </si>
  <si>
    <t>Zone Medical and Internvention Hospital, Inc</t>
  </si>
  <si>
    <t>05-0020-26-I-2</t>
  </si>
  <si>
    <t>Ligao City</t>
  </si>
  <si>
    <t>CONCEPCION STREET, DUNAO, LIGAO CITY</t>
  </si>
  <si>
    <t>DR. SOFRONIO B. GARCIA MEMORIAL HOSPITAL</t>
  </si>
  <si>
    <t>Xray Level 2</t>
  </si>
  <si>
    <t>Susan G. Garcia, MD</t>
  </si>
  <si>
    <t>820-0491 / 0942-609-9115</t>
  </si>
  <si>
    <t>dr.sbg_memhosp@yahoo.com</t>
  </si>
  <si>
    <t>05-0030-26-I-2</t>
  </si>
  <si>
    <t>Pavia Boulevard, Barangay IV, Pioduran, Albay</t>
  </si>
  <si>
    <t>DR. ERLINDA B. ESTANISLAO MEMORIAL HOSPITAL</t>
  </si>
  <si>
    <t>Dr. Rener B. Estanislao</t>
  </si>
  <si>
    <t>renerestanislao@outlook.com</t>
  </si>
  <si>
    <t>05-0040-26-I-2</t>
  </si>
  <si>
    <t>Polangui</t>
  </si>
  <si>
    <t>Gabon, Polangui, Albay</t>
  </si>
  <si>
    <t>ISIP GENERAL HOSPITAL</t>
  </si>
  <si>
    <t>Elmo D. Isip, MD</t>
  </si>
  <si>
    <t>isipgeneralhospital@gmail.com</t>
  </si>
  <si>
    <t>JOSEfINA BELMONTE DURAN ALBAY PROVINCIAL HOSPITAL</t>
  </si>
  <si>
    <t>05-0044-26-I-2</t>
  </si>
  <si>
    <t>Tabaco City</t>
  </si>
  <si>
    <t>BOCALBOS ST. BASUD, TABACO CITY, ALBAY</t>
  </si>
  <si>
    <t>CABREDO GENERAL HOSPITAL</t>
  </si>
  <si>
    <t>XRAY LEVEL 1, CLINICAL LABORATORY (PRIMARY)
ASP - MOA WITH LGU TABACO CITY</t>
  </si>
  <si>
    <t>Juan Cabredo III, MD</t>
  </si>
  <si>
    <t>cabredo_gen@yahoo.com</t>
  </si>
  <si>
    <t>Local Government of Tabaco City</t>
  </si>
  <si>
    <t>05-0010-26-I-2</t>
  </si>
  <si>
    <t>Purok 1, San Antonio, First, Tabaco City, Albay</t>
  </si>
  <si>
    <t>ST. ANTHONY INFIRMARY</t>
  </si>
  <si>
    <t>Dr. Pedro V. Rico</t>
  </si>
  <si>
    <t>arroyocliniczone1@gmail.com</t>
  </si>
  <si>
    <t>Dr. Amando D. Cope Memorial Hospital, Inc</t>
  </si>
  <si>
    <t>05-0006-26-I-2</t>
  </si>
  <si>
    <t>#5 Tomas Cabiles Ave., Baranghawon, Tabaco City, Albay</t>
  </si>
  <si>
    <t>TABACO COLLEGE HOSPITAL</t>
  </si>
  <si>
    <t>Rolando B. Braga, md</t>
  </si>
  <si>
    <t>tabacocollegehospital@gmail.com</t>
  </si>
  <si>
    <t>Main Health Center Lying-In K-linik</t>
  </si>
  <si>
    <t>05-0052-26-I-2</t>
  </si>
  <si>
    <t>tiwi</t>
  </si>
  <si>
    <t>San Lorenzo St, Brgy. Tigri, Tiwi, Albay</t>
  </si>
  <si>
    <t>CORRAL MEDICAL HOSPITAL</t>
  </si>
  <si>
    <t>ASP MOA with LGU Tiwi</t>
  </si>
  <si>
    <t>Bernardo Joseph C. Corral, Jr., RMT, MD</t>
  </si>
  <si>
    <t>dbbcorral_bernardocorrl@yahoo.com</t>
  </si>
  <si>
    <t>Local Government Unit of Tiwi</t>
  </si>
  <si>
    <t>05-0008-26-I-2</t>
  </si>
  <si>
    <t>change in name (previously Dr. Bernardo B. Corral Memorial Hospital)</t>
  </si>
  <si>
    <t>Tiwi</t>
  </si>
  <si>
    <t>Naga, Tiwi, Albay</t>
  </si>
  <si>
    <t>GENEROSA I. GONZALEZ MEMORIAL HOSPITAL</t>
  </si>
  <si>
    <t>ASP MOA with Dr. Amando D. Cope Memorial Hospital</t>
  </si>
  <si>
    <t>Rochelle B. Gonzalez, MD, FPPS</t>
  </si>
  <si>
    <t>gigmh@yahoo.com</t>
  </si>
  <si>
    <t>Dr. Amando D. Cope Memorial Hospital</t>
  </si>
  <si>
    <t>05-0011-26-I-2</t>
  </si>
  <si>
    <t>Purok 1, Libtong, Tiwi, Albay</t>
  </si>
  <si>
    <t>LB CRUEL MEDICAL CLINIC</t>
  </si>
  <si>
    <t>Ambulance Type 1 (MOA with LGU Tiwi)
 Clinical Laboratory MOA with Medical Mission Group Multipurpose Cooperative-Albay</t>
  </si>
  <si>
    <t>Leonides B. Cruel, Sr., MD</t>
  </si>
  <si>
    <t>lb.cruelmedicalclinic@yahoo.com</t>
  </si>
  <si>
    <t>LGU of Tiwi</t>
  </si>
  <si>
    <t>05-0004-26-I-2</t>
  </si>
  <si>
    <t>Jose Panganiban</t>
  </si>
  <si>
    <t>Purok 1, Sta. Rosa Norte, Jose Panganiban, Camarines Norte</t>
  </si>
  <si>
    <t>BARRIOS-BUSINOS MEDICAL CLINIC AND HOSPITAL</t>
  </si>
  <si>
    <t>X-Ray (Level 1) Claire's X-Ray
Pharmacy (BBMCH Pharmacy)
Clinical Laboratory - Secondary (BBMC Clinical Laboratory)</t>
  </si>
  <si>
    <t>Eden B. Busiños, MD</t>
  </si>
  <si>
    <t>bbmchofficial@gmail.com</t>
  </si>
  <si>
    <t>Daet Doctors Hospital, Inc</t>
  </si>
  <si>
    <t>05-0034-26-I-2</t>
  </si>
  <si>
    <t>Angat St., North Poblacion, Jose Panganiban, Camarines Norte</t>
  </si>
  <si>
    <t>JOSE PANGANIBAN PRIMARY HOSPITAL SERVICE COOPERATIVE</t>
  </si>
  <si>
    <t>Clinical Laboratory (Secondary)
Pharmacy
Xray Level 1</t>
  </si>
  <si>
    <t>Leonides A. Aragdon, MD</t>
  </si>
  <si>
    <t>09479989597</t>
  </si>
  <si>
    <t>jpphsc@yahoo.com</t>
  </si>
  <si>
    <t>Daet Doctors Hospital Incorporated</t>
  </si>
  <si>
    <t>05-0043-26-I-2</t>
  </si>
  <si>
    <t>Labo</t>
  </si>
  <si>
    <t>BURGOS ST., GUMAMELA, LABO, CAMARINES NORTE</t>
  </si>
  <si>
    <t>DR. MIGUEL V. ALEGRE HOSPITAL</t>
  </si>
  <si>
    <t>X-RAY, LEVEL 1
PRIMARY CLINICAL LABORATORY WITH ADD-ON SERVICES:
CLINICAL CHEMISTRY - ALT/SGPT, SGOT (02/18/26)
CLINICAL CHEMISTRY - ELECTROLYTES (Na, K, Cl)</t>
  </si>
  <si>
    <t>Henry M. Moreno, MD</t>
  </si>
  <si>
    <t>(054) 585 - 2287 / 09100632701</t>
  </si>
  <si>
    <t>dmvah.official21@gmail.com</t>
  </si>
  <si>
    <t>05-0014-26-I-2</t>
  </si>
  <si>
    <t>385 Villaflores Street, Gumamela, Labo, Camarines Norte</t>
  </si>
  <si>
    <t>LIZASO HOSPITAL</t>
  </si>
  <si>
    <t>Clinical Laboratory 
Xray Level 1</t>
  </si>
  <si>
    <t>Erlinda P. Lizaso, MD</t>
  </si>
  <si>
    <t>054-8851017</t>
  </si>
  <si>
    <t>lizasohospital@gmail.com</t>
  </si>
  <si>
    <t>05-0015-26-I-2</t>
  </si>
  <si>
    <t>VILLAFLORES ST. SAN FRANCISCO, LABO, CAMARINES NORTE</t>
  </si>
  <si>
    <t>RACELIS-TIONGSON MEDICAL CLINIC</t>
  </si>
  <si>
    <t>Dr. Justina R. Tiongson</t>
  </si>
  <si>
    <t>09183535201</t>
  </si>
  <si>
    <t>drajosie.tiongson@gmail.com</t>
  </si>
  <si>
    <t>Camarines Norte Provincial Hospital</t>
  </si>
  <si>
    <t>05-0013-26-I-2</t>
  </si>
  <si>
    <t>424 Dimasalang St., San Francisco, Naga City</t>
  </si>
  <si>
    <t>DR. NILO O. ROA MEMORIAL FOUNDATION HOSPITAL</t>
  </si>
  <si>
    <t xml:space="preserve">Xray (Level 2), 
Primary Clinical Laboratory, add-on: SGPT, SGOT, Na, K, Cl, HbA1c, Trop-I, Albumin and Phosporus
Blood Station, 
Dialysis Clinic (8 Stations), 
Ambulatory Surgical Clinic: General Ambulatory Surgery and Colorectal Ambulatory Surgery. Ambulatory Surgery (Incision and Drainage, Fistulotomy, Partial Lateral Internal Sphincterotomy, and Hemorrhoidectomy)                                                         </t>
  </si>
  <si>
    <t>Nilo A. Reazon, MD</t>
  </si>
  <si>
    <t>dr.niloroahospital@gmail.com</t>
  </si>
  <si>
    <t>Bicol Access Heath Centrum</t>
  </si>
  <si>
    <t>05-0005-26-I-2</t>
  </si>
  <si>
    <t>Panganiban</t>
  </si>
  <si>
    <t>Bagong Bayan, Panganiban, Catanduanes</t>
  </si>
  <si>
    <t>OUR LADY OF FATIMA HOSPITAL</t>
  </si>
  <si>
    <t>Dr. Luz S. Valerio</t>
  </si>
  <si>
    <t>9542451173</t>
  </si>
  <si>
    <t>olofhpanganiban1980@gmail.com</t>
  </si>
  <si>
    <t>05-0051-26-I-2</t>
  </si>
  <si>
    <t>Milagros</t>
  </si>
  <si>
    <t>09 Fontelar St., Poblacion East, Milagros, Masbate</t>
  </si>
  <si>
    <t>DE CASTRO HOSPITAL FOUNDATION, INC.</t>
  </si>
  <si>
    <t xml:space="preserve">Clinical Laboratory (Primary)
Pharmacy
X-Ray Level 1 </t>
  </si>
  <si>
    <t>Angel Emil C. De Castro III, MD</t>
  </si>
  <si>
    <t>0915-240-6461</t>
  </si>
  <si>
    <t>agodecastro@gmail.com</t>
  </si>
  <si>
    <t>Diocesan Medical Foundation of San Antonio De Padua, Inc</t>
  </si>
  <si>
    <t>05-0002-26-I-2</t>
  </si>
  <si>
    <t>#630 L. Grafilo St., Zone 7, Bulan, Sorsogon</t>
  </si>
  <si>
    <t>NEW BULAN ST. JUDE MEDICAL CLINIC</t>
  </si>
  <si>
    <t>ASP MOA with Sorsogon Medical Mission Group and Health Services Cooperative</t>
  </si>
  <si>
    <t>Christy P. Villegas, MD</t>
  </si>
  <si>
    <t>newbulanstjudemedical@gmail.com</t>
  </si>
  <si>
    <t>Sorsogon Medical Mission Group of Hospital and Health Services Cooperative</t>
  </si>
  <si>
    <t>05-0024-26-I-2</t>
  </si>
  <si>
    <t>Irosin</t>
  </si>
  <si>
    <t>MAHARLLIKA HIGHWAY, BRGY. BUENAVISTA, IROSIN, SORSOGON</t>
  </si>
  <si>
    <t>IROSIN GENERAL HOSPITAL, INC</t>
  </si>
  <si>
    <t>CLINICAL LABORATORY (SECONDARY)
ADD-ON SERVICE  (TSH, FT3, FT4, T3, T4, PSA, B-Hcg and TROPONIN I, TROPONIN T, TOTAL PROTEIN, ALBUMIN, BILIRUBIN (TOTAL, DIRECT AND INDIRECT)                                                    AMBULANCE MOA with (Metro Health Specialist Hospital, Inc.)</t>
  </si>
  <si>
    <t>Dr. Eva-Marie Esther Clemente-Ortile</t>
  </si>
  <si>
    <t>0933-877-2053</t>
  </si>
  <si>
    <t>igen.hospital@gmail.com</t>
  </si>
  <si>
    <t>MetroHealth Specialists Hospital</t>
  </si>
  <si>
    <t>05-0016-26-I-2</t>
  </si>
  <si>
    <t>Manoc-manoc, Boracay Island</t>
  </si>
  <si>
    <t>SAINT GABRIEL MEDICAL CENTER, INC.</t>
  </si>
  <si>
    <t>Diagnostic X-ray (Level 1), Pharmacy, Hemodialysis Unit-3 stations</t>
  </si>
  <si>
    <t>Dr. Rachelle Mae D. Legaspi</t>
  </si>
  <si>
    <t>036-288-9911</t>
  </si>
  <si>
    <t>stgabrielmedicalcenterboracay@gmail.com</t>
  </si>
  <si>
    <t>Saint Gabriel Medical Center, Inc. (Kalibo, Aklan)</t>
  </si>
  <si>
    <t>06-0005-26-I-2</t>
  </si>
  <si>
    <t>Brgy. Pojo</t>
  </si>
  <si>
    <t>STA. ROMANA Y-SON MEMORIAL HOSPITAL</t>
  </si>
  <si>
    <t>Dr. Julius Caesar Y. Sta. Romana</t>
  </si>
  <si>
    <t>0917-541-3071</t>
  </si>
  <si>
    <t>staromanaysonmemhospital@gmail.com</t>
  </si>
  <si>
    <t>Antique Medical Center</t>
  </si>
  <si>
    <t>06-0018-26-I-2</t>
  </si>
  <si>
    <t>Justice Calixto Zaldivar St., Baybay</t>
  </si>
  <si>
    <t>TUGON MEDICAL CLINIC AND HOSPITAL</t>
  </si>
  <si>
    <t>Diagnostic X-ray (Level 2), Pharmac</t>
  </si>
  <si>
    <t>Dr. Mary Renebe R. Tugon</t>
  </si>
  <si>
    <t>036-278-9108</t>
  </si>
  <si>
    <t>tugonrenephoebe@yahoo.com.ph</t>
  </si>
  <si>
    <t>06-0014-26-I-2</t>
  </si>
  <si>
    <t>Semirara</t>
  </si>
  <si>
    <t>Brgy. Semirara</t>
  </si>
  <si>
    <t>SEMIRARA MINING AND POWER CORPORATION HOSPITAL</t>
  </si>
  <si>
    <t>Diagnostic X-ray (Level 1), Pharmacy, Add on Services for CL: AST. ALT,  Electrolytes,</t>
  </si>
  <si>
    <t>Dr. Arleen Joy Vallejo</t>
  </si>
  <si>
    <t>032-888-3097</t>
  </si>
  <si>
    <t>smpch@semirarampcsite.com</t>
  </si>
  <si>
    <t>Antique Medical Center, Inc</t>
  </si>
  <si>
    <t>06-0019-26-I-2</t>
  </si>
  <si>
    <t>Carcar City</t>
  </si>
  <si>
    <t>San Vicente St., Poblacion I, Cogon, Carcar City, Cebu</t>
  </si>
  <si>
    <t>BACALSO MEDICAL SERVICES INC. (former DR. JOSEPH REY BACALSO MEDICAL CLINIC &amp; INFIRMNARY)</t>
  </si>
  <si>
    <t>Joseph Rey C. Bacalso, MD</t>
  </si>
  <si>
    <t>(032) 4217032</t>
  </si>
  <si>
    <t>jrbmci2015@gmail.com</t>
  </si>
  <si>
    <t>MOA w/ Deiparine Community Hospital</t>
  </si>
  <si>
    <t>07-050-26-06-I-2</t>
  </si>
  <si>
    <t>Baracca, Poblacion II, Carcar City, Cebu</t>
  </si>
  <si>
    <t>CARCAR WOMEN AND CHILDREN POLYCLINIC AND LYING-IN CLINIC</t>
  </si>
  <si>
    <t>Lyndon R. Villegas, MD</t>
  </si>
  <si>
    <t>(032) 261 2569; 09173077447</t>
  </si>
  <si>
    <t>lyndonvillegas@yahoo.com; wclpl_a1@yahoo.com.ph</t>
  </si>
  <si>
    <t>1, Type I (GAT3154)</t>
  </si>
  <si>
    <t>07-079-26-10-I-2</t>
  </si>
  <si>
    <t>Dalaguete</t>
  </si>
  <si>
    <t>San Guillermo Street, Poblacion, Dalaguete, Cebu</t>
  </si>
  <si>
    <t>CARDINAL ROSALES MEMORIAL HOSPITAL, INC.</t>
  </si>
  <si>
    <t>XRay (Level 2), Pharmacy</t>
  </si>
  <si>
    <t>Sr. Rachelle P. Way-yas, SPC</t>
  </si>
  <si>
    <t>09090099172
(032) 427 3042; 415 6058</t>
  </si>
  <si>
    <t>jcrmh_spc@yahoo.com</t>
  </si>
  <si>
    <t>MOA with PSH</t>
  </si>
  <si>
    <t>07-010-26-15-I-2</t>
  </si>
  <si>
    <t>Sarmiento St., Poblacion, Dalaguete, Cebu</t>
  </si>
  <si>
    <t>DR. ILDEFONSO ALCANTARA MEMORIAL HOSPITAL</t>
  </si>
  <si>
    <t>Ensoñacion H. Alcantara, MD</t>
  </si>
  <si>
    <t>(032) 4848223 / (032) 4848681</t>
  </si>
  <si>
    <t>ilde_alc@yahoo.com.ph</t>
  </si>
  <si>
    <t>MOA with Carcar Womens</t>
  </si>
  <si>
    <t>07-027-26-15-I-2</t>
  </si>
  <si>
    <t>Danao City</t>
  </si>
  <si>
    <t>National Road cor. Rizal St., Poblacion, Danao City, Cebu</t>
  </si>
  <si>
    <t>DANAO MOTHER AND CHILD HOSPITAL</t>
  </si>
  <si>
    <t>Manuel V. Momongan Jr., MD</t>
  </si>
  <si>
    <t>(032) 260-5916</t>
  </si>
  <si>
    <t>danaomotherandchildhospital@yahoo.com</t>
  </si>
  <si>
    <t>1, Type I (GAO 5925)</t>
  </si>
  <si>
    <t>07-067-26-15-I-2</t>
  </si>
  <si>
    <t>Humay-Humay Road, Pajo, Lapulapu City, Cebu</t>
  </si>
  <si>
    <t>OUR LADY OF THE RULE MATERNITY &amp; GENERAL HOSPITAL</t>
  </si>
  <si>
    <t>Xray Level 1, Pharmacy</t>
  </si>
  <si>
    <t>Corazon I. Ouano, MD</t>
  </si>
  <si>
    <t>(032)340-7318</t>
  </si>
  <si>
    <t>olrmgh@yahoo.com</t>
  </si>
  <si>
    <t>MOA w/ Memee's Birthing Home ASP</t>
  </si>
  <si>
    <t>07-053-26-16-I-2</t>
  </si>
  <si>
    <t>Mandaue City</t>
  </si>
  <si>
    <t>Aniceto Seno St., Casuntingan, Mandaue City, Cebu</t>
  </si>
  <si>
    <t>WOMEN'S AND CHILDREN'S COMMUNITY HOSPITAL</t>
  </si>
  <si>
    <t>Manuel I. Lumapas, MD</t>
  </si>
  <si>
    <t>(032) 238-3994;                                           0905-222-3293</t>
  </si>
  <si>
    <t>wcchi.mandaue.cebu@outlook.com</t>
  </si>
  <si>
    <t>MOA w/ Perpetual Succour Hospital</t>
  </si>
  <si>
    <t>07-026-26-15-I-2</t>
  </si>
  <si>
    <t>Poblacion Ward 1, Minglanilla, Cebu</t>
  </si>
  <si>
    <t>SAN LUCAS MEDICAL</t>
  </si>
  <si>
    <t>Diagnostic X-Ray Services (Level 2), Pharmacy</t>
  </si>
  <si>
    <t>Faye Abigail A. Fortich, MD</t>
  </si>
  <si>
    <t>9989672400; 32-2313898
639455724128 / 09228793423</t>
  </si>
  <si>
    <t>magarcia@sanlucasmedical.com; 
ararenajo@sanlucasmedical.com</t>
  </si>
  <si>
    <t>Type I - Plate No. YLC 249</t>
  </si>
  <si>
    <t>07-017-26-30-I-2</t>
  </si>
  <si>
    <t>San Francisco</t>
  </si>
  <si>
    <t>Talisay, Northern Pob., San Francisco, Cebu</t>
  </si>
  <si>
    <t>CAMOTES MEDICAL CLINIC AND INFIRMARY</t>
  </si>
  <si>
    <t>Lea Celestial, MD</t>
  </si>
  <si>
    <t>camotesmed21@gmail.com</t>
  </si>
  <si>
    <t>07-062-26-9-I-2</t>
  </si>
  <si>
    <t>Alangalang</t>
  </si>
  <si>
    <t>Real St. Blumentritt, Alang-Alang, Leyte</t>
  </si>
  <si>
    <t>EYV MEDICAL INFIRMARY</t>
  </si>
  <si>
    <t>Dr. Ma. Imelda G. Rodriguez</t>
  </si>
  <si>
    <t>0915 570 6774</t>
  </si>
  <si>
    <t>eyvmedicalinfirmary@gmail.com</t>
  </si>
  <si>
    <t>Gov. Benjamin T. Romuladez General Hospital &amp; Schistocomiasis Center
Type 1/2/F3V667,F3V633</t>
  </si>
  <si>
    <t>08-005-26-I-2</t>
  </si>
  <si>
    <t>Rebecca's Bldg Cor. Mabini &amp; San Francesco St., Barugo, Leyte</t>
  </si>
  <si>
    <t>BALAIS DOCTORS INFIRMARY</t>
  </si>
  <si>
    <t>Clinical Laboratory, Xray, Pharmacy</t>
  </si>
  <si>
    <t>Dr. Sarah O. Luya-Balais</t>
  </si>
  <si>
    <t>0927 243 2260</t>
  </si>
  <si>
    <t>balaisdoctorsinfirmary@gmail.com</t>
  </si>
  <si>
    <t>08-003-26-I-2</t>
  </si>
  <si>
    <t>C.M. Recto St. Cor. 30 de Deciembre St.,Zone 18, Baybay City</t>
  </si>
  <si>
    <t>BAYBAY DOCTORS HOSPITAL</t>
  </si>
  <si>
    <t>Dr. Saturnino B. Cabal</t>
  </si>
  <si>
    <t>0917 319 7586</t>
  </si>
  <si>
    <t>baybaydoctorshospital@gmail.com</t>
  </si>
  <si>
    <t>VSU Hospital
Type 1/1/VH I342</t>
  </si>
  <si>
    <t>08-042-26-I-2</t>
  </si>
  <si>
    <t>Hilongos</t>
  </si>
  <si>
    <t>RV Fulache St., Eastern Barangay, Hilongos, Leyte</t>
  </si>
  <si>
    <t>VILLAFLOR'S MEDICAL CLINIC AND INFIRMARY</t>
  </si>
  <si>
    <t>Clinical Laboratory; Xray</t>
  </si>
  <si>
    <t>Dr. Rebecca Dolores B. Ong</t>
  </si>
  <si>
    <t>0906 781 9721</t>
  </si>
  <si>
    <t>villaflorsclinic@yahoo.com</t>
  </si>
  <si>
    <t>LeyteBaptist Hopsital  1, Type 1, Plate Number – AAF 5771</t>
  </si>
  <si>
    <t>08-037-26-I-2</t>
  </si>
  <si>
    <t>Barangay Sta. Cruz, Javier, Leyte</t>
  </si>
  <si>
    <t>JORDAN DOCTORS MEDICAL, INC.</t>
  </si>
  <si>
    <t>Clincial Laboraotry, Pharmacy, Xray</t>
  </si>
  <si>
    <t>Dr. Ruel Chito C. Jordan</t>
  </si>
  <si>
    <t>0917-790-1587</t>
  </si>
  <si>
    <t>jordandoctorsmedicalinc2022@gmail.com</t>
  </si>
  <si>
    <t>Javier Municipal Infirmary 1, Type1, P7H343</t>
  </si>
  <si>
    <t>08-006-26-I-2</t>
  </si>
  <si>
    <t>Hinundayan</t>
  </si>
  <si>
    <t>Magsaysay Avenue, Lungsodaan, Hinundayan, Southern Leyte</t>
  </si>
  <si>
    <t>ST. VINCENT MEDICAL CLINIC - HINUNDAYAN</t>
  </si>
  <si>
    <t>Dr. Gerald S. Olayan</t>
  </si>
  <si>
    <t>0923-355-5885</t>
  </si>
  <si>
    <t>saintvincentmedicalclinic@gmail.com</t>
  </si>
  <si>
    <t>08-016-26-I-2</t>
  </si>
  <si>
    <t>Havilah Bldg., Bagares Extension, Zone V, Sogod, Southern Leyte</t>
  </si>
  <si>
    <t>HAVILAH POLYMEDIC</t>
  </si>
  <si>
    <t>Dr. Kharen P. Jadloc</t>
  </si>
  <si>
    <t>0956-367-3292</t>
  </si>
  <si>
    <t>havilahpolymedic@gmail.com</t>
  </si>
  <si>
    <t>1, Type 1, NBM 7448</t>
  </si>
  <si>
    <t>08-004-26-I-2</t>
  </si>
  <si>
    <t>Purok II, Barangay San Miguel, Sogod, Southern Leyte</t>
  </si>
  <si>
    <t>PUDPUD MEDICAL SERVICES</t>
  </si>
  <si>
    <t>Clinical Laboratory, Pharmacy
X-ray Level One</t>
  </si>
  <si>
    <t>Dr. Janelle Anne M. Pudpud</t>
  </si>
  <si>
    <t>0906-208-7195</t>
  </si>
  <si>
    <t>pudpud_hosp@yahoo.com.ph</t>
  </si>
  <si>
    <t>Corrompido General Hospital Type 1 / 1/ GAF6745</t>
  </si>
  <si>
    <t>08-043-26-I-2</t>
  </si>
  <si>
    <t>Goleo</t>
  </si>
  <si>
    <t>MAYOR JOAQUIN MACIAS MEMORIAL INFIRMARY</t>
  </si>
  <si>
    <t>ASP Type I</t>
  </si>
  <si>
    <t>Ramil B. Ignacio, M.D.</t>
  </si>
  <si>
    <t>0956-9387712</t>
  </si>
  <si>
    <t>mayorjoaquinmacias2019@gmail.com</t>
  </si>
  <si>
    <t>09-0007-25-I-2</t>
  </si>
  <si>
    <t>Cabilinan</t>
  </si>
  <si>
    <t>AURORA COMMUNITY &amp; EMERGENCY (ACE) HOSPITAL</t>
  </si>
  <si>
    <t>ASP MOA with SVMC, X-ray level 1, Clinical Lab</t>
  </si>
  <si>
    <t>Basilio O. Ceniza, M.D.</t>
  </si>
  <si>
    <t>0917-1499548</t>
  </si>
  <si>
    <t>acehospital2016@gmail.com</t>
  </si>
  <si>
    <t>Salug Valley MC</t>
  </si>
  <si>
    <t>09-0038-25-I-2</t>
  </si>
  <si>
    <t>LAGARE EMERGENCY CLINIC</t>
  </si>
  <si>
    <t>ASP MOA with SVMC</t>
  </si>
  <si>
    <t>Ceriaco S. Lagare, M.D.</t>
  </si>
  <si>
    <t>0966-6904711</t>
  </si>
  <si>
    <t>lagareemergencyclinic2013@gmail.com</t>
  </si>
  <si>
    <t>09-0058-25-I-2</t>
  </si>
  <si>
    <t>Dinas</t>
  </si>
  <si>
    <t>CHAVEZ MEDICAL CLINIC</t>
  </si>
  <si>
    <t>Cristina J. Chavez, M.D.</t>
  </si>
  <si>
    <t>doctorchairman.753@gmail.com</t>
  </si>
  <si>
    <t>09-0002-25-I-2</t>
  </si>
  <si>
    <t>New Labangan</t>
  </si>
  <si>
    <t>MANUPAC DOCTORS' HEALTHCARE</t>
  </si>
  <si>
    <t>ASP, Clinical Lab, Blood Station</t>
  </si>
  <si>
    <t>Raelyn Manupac, M.D.</t>
  </si>
  <si>
    <t>09771216471</t>
  </si>
  <si>
    <t>manupacdoctorshospital@gmail.com</t>
  </si>
  <si>
    <t>Type II</t>
  </si>
  <si>
    <t>09-0026-25-I-2</t>
  </si>
  <si>
    <t>Lakewood</t>
  </si>
  <si>
    <t>HORIZON MEDICAL CLINIC</t>
  </si>
  <si>
    <t>ASP, CL-Secondary Lab, Pharmacy,  X-Ray -Level2</t>
  </si>
  <si>
    <t>Wilric C. Asuncion, M.D.</t>
  </si>
  <si>
    <t>0931-1918034</t>
  </si>
  <si>
    <t>horizonmedclinic@gmail.com</t>
  </si>
  <si>
    <t>J. Cabahug Hospital</t>
  </si>
  <si>
    <t>09-0020-25-I-2</t>
  </si>
  <si>
    <t>Tambulig</t>
  </si>
  <si>
    <t>Laurel St.</t>
  </si>
  <si>
    <t>HAPPY VALLEY COMMUNITY HOSPITAL</t>
  </si>
  <si>
    <t>ASP MOA w/ Mahayag, Clinical Lab</t>
  </si>
  <si>
    <t>Roy A. Macamay, M.D., DPCP</t>
  </si>
  <si>
    <t>hvch.2015@gmail.com</t>
  </si>
  <si>
    <t>Type I, OR# 0930-000000055703, CR# 41563706-2,</t>
  </si>
  <si>
    <t>Mahayag Municipal Hospital</t>
  </si>
  <si>
    <t>09-0051-25-I-2</t>
  </si>
  <si>
    <t>Buug</t>
  </si>
  <si>
    <t>ST. JOHN GENERAL HOSPITAL</t>
  </si>
  <si>
    <t>Clinical Lab, Pharmacy</t>
  </si>
  <si>
    <t>Dr. Mabini M. Camas</t>
  </si>
  <si>
    <t>0997-9015272</t>
  </si>
  <si>
    <t>st.johngeneralhospital@yahoo.com</t>
  </si>
  <si>
    <t>Type I, OR# 0907-000000044597, CR# 344082922, PLT# FAM 9716</t>
  </si>
  <si>
    <t>09-0050-25-I-2</t>
  </si>
  <si>
    <t>Imelda</t>
  </si>
  <si>
    <t>National hgwy, Poblacion</t>
  </si>
  <si>
    <t>LANCETA MEDICAL HOSPITAL</t>
  </si>
  <si>
    <t>ASP MOA w/  St. John General Hospital of Buug</t>
  </si>
  <si>
    <t>Benjamin P. Lanceta, M.D.</t>
  </si>
  <si>
    <t>0915-9349549</t>
  </si>
  <si>
    <t>hlancetamedical@yahoo.com</t>
  </si>
  <si>
    <t>09-0044-25-I-2</t>
  </si>
  <si>
    <t>Ipil</t>
  </si>
  <si>
    <t>Prk. Golden Shower, Poblacion</t>
  </si>
  <si>
    <t>FCC INFIRMARY</t>
  </si>
  <si>
    <t>ASP- MOA with Ipil Doctor's Hospital, Clinical Lab</t>
  </si>
  <si>
    <t>Giovanni C. Aparece, M.D.</t>
  </si>
  <si>
    <t>amalia_1955@yahoo.com</t>
  </si>
  <si>
    <t>Ipil Doctor's Hospital</t>
  </si>
  <si>
    <t>09-0017-25-I-2</t>
  </si>
  <si>
    <t>Sta. Clara</t>
  </si>
  <si>
    <t>DANAO-SALE HOSPITAL</t>
  </si>
  <si>
    <t>Herminio O. Sale, M.D.</t>
  </si>
  <si>
    <t>0917-7241040</t>
  </si>
  <si>
    <t>danaosalehospital1989@gmail.com</t>
  </si>
  <si>
    <t>Type I OR# 3001-000000222232, CR # 149073593, PLT # JFA 282</t>
  </si>
  <si>
    <t>09-0030-25-I-2</t>
  </si>
  <si>
    <t>Lantapan</t>
  </si>
  <si>
    <t>Purok 5, Bantuanon</t>
  </si>
  <si>
    <t>DOCTOR HOMERO INFIRMARY INC.</t>
  </si>
  <si>
    <t>Primary Clinical Laboratory with add-on services:  Electrolytes, SGPT, SGOT</t>
  </si>
  <si>
    <t>Dr. Crystopher G. Casuga</t>
  </si>
  <si>
    <t>gonzaleslantapanclinic16@gmail.com</t>
  </si>
  <si>
    <t>10-0026-26-I-2</t>
  </si>
  <si>
    <t>Malaybalay City</t>
  </si>
  <si>
    <t>Aglayan</t>
  </si>
  <si>
    <t>MIDWAY DOCTORS CLINIC</t>
  </si>
  <si>
    <t>Primary Clinical Laboratory (with add-on:  Electrolytes)</t>
  </si>
  <si>
    <t>Dr. Aurora R. Agra</t>
  </si>
  <si>
    <t>williambragat@yahoo.com / midwaydoctorsclinic@gmail.com</t>
  </si>
  <si>
    <t>10-0025-26-I-2</t>
  </si>
  <si>
    <t>Manolo Fortich</t>
  </si>
  <si>
    <t>JCA - Bunani Bldg., Purok 9, Centro Damilag</t>
  </si>
  <si>
    <t>MISSION FAMILY INFIRMARY</t>
  </si>
  <si>
    <t>Secondary Clinical Laboratory (with add-on services: Tumor Markers, TSH, T3, T4), Pharmacy</t>
  </si>
  <si>
    <t>Dr. Archie D. Bunani</t>
  </si>
  <si>
    <t>familycare.mbcfi@gmail.com</t>
  </si>
  <si>
    <t>1 / Type 2, Plate No. KGM 855</t>
  </si>
  <si>
    <t>10-0011-26-I-2</t>
  </si>
  <si>
    <t>Pangantucan</t>
  </si>
  <si>
    <t>Everlasting Village, Poblacion</t>
  </si>
  <si>
    <t>PANGANTUCAN DOCTORS HOSPITAL CORPORATION</t>
  </si>
  <si>
    <t>Secondary Clinical Laboratory, Level 2 X-ray Services</t>
  </si>
  <si>
    <t>Dr. Vic Kharl A. Camilotes</t>
  </si>
  <si>
    <t>pdhcorp@yahoo.com</t>
  </si>
  <si>
    <t>1 / Type 1, Plate No. KAB 3177</t>
  </si>
  <si>
    <t>10-0001-26-I-2</t>
  </si>
  <si>
    <t>Balangay 6, Poblacion</t>
  </si>
  <si>
    <t>MARAAT MEDICAL HOSPITAL</t>
  </si>
  <si>
    <t>Primary Clinical Laboratory, Level 1 X-ray Services</t>
  </si>
  <si>
    <t>Dr. Letecia P. Maraat</t>
  </si>
  <si>
    <t>(088)3143533 / 09177186273</t>
  </si>
  <si>
    <t>maraathospital44@gmail.com</t>
  </si>
  <si>
    <t>10-0018-26-I-2</t>
  </si>
  <si>
    <t>Purok Mabuhay, Salawagan</t>
  </si>
  <si>
    <t>PASTOR COMMUNITY HOSPITAL, INC.</t>
  </si>
  <si>
    <t>Dr. Arnold L. Pastor</t>
  </si>
  <si>
    <t>09175788070 / (088)5373852</t>
  </si>
  <si>
    <t>arnoldpastor007@gmail.com / albertopastor1980hospital@gmail.com</t>
  </si>
  <si>
    <t>10-0012-26-I-2</t>
  </si>
  <si>
    <t>Balangay-4B, Poblacion</t>
  </si>
  <si>
    <t>ST. ANN MEDICAL HOSPITAL</t>
  </si>
  <si>
    <t>Secondary Clinical Laboratory</t>
  </si>
  <si>
    <t>Dr. Cedronio S. Neri Jr.</t>
  </si>
  <si>
    <t>09177009685 / (088)822-0186</t>
  </si>
  <si>
    <t>samh_1986@yahoo.com</t>
  </si>
  <si>
    <t>10-0032-26-I-2</t>
  </si>
  <si>
    <t>Valencia City</t>
  </si>
  <si>
    <t>Palma St., Purok 14, Poblacion</t>
  </si>
  <si>
    <t>BLANCO DOCTORS' HOSPITAL, INC.</t>
  </si>
  <si>
    <t>Level 1 X-ray Services, Secondary Clinical Laboratory</t>
  </si>
  <si>
    <t>Dr. Cora V. Blanco</t>
  </si>
  <si>
    <t>(088)828-5739 / 09051734580</t>
  </si>
  <si>
    <t>blanco_clinic@yahoo.com.ph</t>
  </si>
  <si>
    <t>10-0023-26-I-2</t>
  </si>
  <si>
    <t>Iligan City</t>
  </si>
  <si>
    <t>Benito Labao Street Extension</t>
  </si>
  <si>
    <t>E AND R HOSPITAL AND PHARMACY</t>
  </si>
  <si>
    <t>Secondary Clinical Laboratory, Pharmacy</t>
  </si>
  <si>
    <t>Dr. Evelyn D. Bandojo</t>
  </si>
  <si>
    <t>(063)221-3225 / 09184156387</t>
  </si>
  <si>
    <t>eandr.hospital_iligan@yahoo.com</t>
  </si>
  <si>
    <t>1 / Type 1, Plate No. KAC 3977</t>
  </si>
  <si>
    <t>10-0003-26-I-2</t>
  </si>
  <si>
    <t>3rd East Rosario Heights, Tubod</t>
  </si>
  <si>
    <t>GROSPE POLYMEDIC</t>
  </si>
  <si>
    <t>Dr. Carmela E. Grospe</t>
  </si>
  <si>
    <t>tubodmaternity@yahoo.com</t>
  </si>
  <si>
    <t>10-0014-26-I-2</t>
  </si>
  <si>
    <t>Aloran</t>
  </si>
  <si>
    <t>Purok 5, Palayan</t>
  </si>
  <si>
    <t>R AND L MEDICAL CLINIC</t>
  </si>
  <si>
    <t>Dr. Rolf Allan O. Baz</t>
  </si>
  <si>
    <t>09203922351</t>
  </si>
  <si>
    <t>rnlmedicalclinic@gmail.com</t>
  </si>
  <si>
    <t>10-0037-26-I-2</t>
  </si>
  <si>
    <t>National Highway, Lupagan</t>
  </si>
  <si>
    <t>REVELO MEDICAL CLINIC</t>
  </si>
  <si>
    <t>Primary Clinical Laboratory with add-on services: SGPT (ALT), HbA1c, Electrolytes Testing</t>
  </si>
  <si>
    <t>Dr. Margaret Marave - Kyamko</t>
  </si>
  <si>
    <t>(088)3191279 / 09913726702</t>
  </si>
  <si>
    <t>revelomedicalclinic2024@gmail.com</t>
  </si>
  <si>
    <t>10-0005-26-I-2</t>
  </si>
  <si>
    <t>initia for CL add-ons: SGPT(ALT), HbA1c, Electrolytes Testing - validity: 4/7/2026-12/31/2026</t>
  </si>
  <si>
    <t>Oroquieta City</t>
  </si>
  <si>
    <t>J.P. Quijano Street, Poblacion 1</t>
  </si>
  <si>
    <t>OROQUIETA COMMUNITY HOSPITAL</t>
  </si>
  <si>
    <t>Primary Clinical Laboratory (with add-on services: Electrolytes, Thyroid Functions, Tumor Markers Examinations, SGOT, SGPT, HbA1c, Trop I, Pro-BNP), Level 1 X-ray Services</t>
  </si>
  <si>
    <t>Dr. Rhizza Ann P. Mancao</t>
  </si>
  <si>
    <t>(088)531-1858 / 09100495002</t>
  </si>
  <si>
    <t>och.mancao@gmail.com</t>
  </si>
  <si>
    <t>10-0013-26-I-2</t>
  </si>
  <si>
    <t>initial for Primary Clinical Laboratory add-on services: SGOT, SGPT, HbA1c, Trop I, Pro-BNP - validity: 3/9/2026-12/31/2026</t>
  </si>
  <si>
    <t>Purok 2 Bañadero Highway, Bañadero</t>
  </si>
  <si>
    <t>TAGALOGUIN - ADONA POLYMEDIC &amp; DIAGNOSTIC CENTER, INC.</t>
  </si>
  <si>
    <t>Secondary Clinical Laboratory, Mobile Laboratory</t>
  </si>
  <si>
    <t>Dr. Amy Tagaloguin - Adona</t>
  </si>
  <si>
    <t>09051532658 / 09667429689</t>
  </si>
  <si>
    <t>adonapolymedic@gmail.com</t>
  </si>
  <si>
    <t>10-0002-26-I-2</t>
  </si>
  <si>
    <t>Purok 6, Vallejo St., Southern Poblacion</t>
  </si>
  <si>
    <t>TAN HO MEDICAL CLINIC</t>
  </si>
  <si>
    <t>Primary Clinical Laboratory with add-on services: SGOT, SGPT, Electrolyte Testing, Thyroid Panel Testing-Cartridge-Based, Hepatitis A Test, Hepatitis C Test, HbA1c, PSA, Troponin I Test</t>
  </si>
  <si>
    <t>Dr. Marigold M. Bandolon</t>
  </si>
  <si>
    <t>(088)521-0103 / 09985771823</t>
  </si>
  <si>
    <t>tanhomediclinic@yahoo.com</t>
  </si>
  <si>
    <t>10-0006-26-I-2</t>
  </si>
  <si>
    <t>Primary Clinical Laboratory with add-on services: Hepatitis A Test, Hepatitis C Test, HbA1c, PSA, Troponin I Test - validity: 4/23/2026-12/31/2026</t>
  </si>
  <si>
    <t>Balingasag</t>
  </si>
  <si>
    <t>Cogon</t>
  </si>
  <si>
    <t>ROA MEDICAL CLINIC</t>
  </si>
  <si>
    <t>Dr. Melanie R. Roa</t>
  </si>
  <si>
    <t>09171166648 / 09190020648</t>
  </si>
  <si>
    <t>roamedicalclinic@yahoo.com</t>
  </si>
  <si>
    <t>1 / Type 1, Conduction Sticker No. MN 9155</t>
  </si>
  <si>
    <t>10-0009-26-I-2</t>
  </si>
  <si>
    <t>Villafuerte Street, Calinan, Davao City</t>
  </si>
  <si>
    <t>CLINICA ISAGUIRRE</t>
  </si>
  <si>
    <t>TSH, FT4 &amp; TROP 1</t>
  </si>
  <si>
    <t>Dr. Edgar Manuel Q. Isaguirre</t>
  </si>
  <si>
    <t>0991 460 6246
2977687</t>
  </si>
  <si>
    <t>clinicaisaguirre2020@gmail.com</t>
  </si>
  <si>
    <t>11-14-26-21-I-2</t>
  </si>
  <si>
    <t>Purok 9, R. Magsaysay Street, Calinan, Davao City</t>
  </si>
  <si>
    <t>DR. LORENZO B. PRINCIPE CLINIC &amp; DRUGSTORE, INC.</t>
  </si>
  <si>
    <t>Dr. Margaux Regine P. Villanueva</t>
  </si>
  <si>
    <t>295-0233</t>
  </si>
  <si>
    <t>dlbpcd@yahoo.com</t>
  </si>
  <si>
    <t>11-18-26-30-I-2</t>
  </si>
  <si>
    <t>Km. 17, Purok 19, Ilang Bunawan, Davao City</t>
  </si>
  <si>
    <t>SPECIALISTS' PRIMARY CARE OF ILANG, INC.</t>
  </si>
  <si>
    <t>Dr. Gene Paul J. Lumanlan</t>
  </si>
  <si>
    <t>082 233-6974
0967 195 5201</t>
  </si>
  <si>
    <t>spcii.operations@gmail.com</t>
  </si>
  <si>
    <t>11-33-26-23-I-2</t>
  </si>
  <si>
    <t>Rasay Street, Cor. New Daliaon, Toril, Davao City</t>
  </si>
  <si>
    <t>ST. JOHN OF THE CROSS HOSPITAL</t>
  </si>
  <si>
    <t>Dr. Sharmaine Felia S. Lacanaria</t>
  </si>
  <si>
    <t>291-0365</t>
  </si>
  <si>
    <t>hrd.sjch@gmail.com</t>
  </si>
  <si>
    <t>Conduction Sticker IOB 412
Plate No. LAD 2387</t>
  </si>
  <si>
    <t>11-43-26-30-I-2</t>
  </si>
  <si>
    <t>Downgraded</t>
  </si>
  <si>
    <t>Along National Highway, Barangay Tibungco, Davao City</t>
  </si>
  <si>
    <t>TIBUNGCO DOCTORS HOSPITAL</t>
  </si>
  <si>
    <t>Dr. Noel A. Acosta</t>
  </si>
  <si>
    <t>082 238-0774
0923 310 3532
0930 656 1405</t>
  </si>
  <si>
    <t>tibungcodoctorshospital@yahoo.com</t>
  </si>
  <si>
    <t>11-24-26-45-I-2</t>
  </si>
  <si>
    <t>Central 1, Binugao Toril, Davao City</t>
  </si>
  <si>
    <t>VIACRUCIS INFIRMARY</t>
  </si>
  <si>
    <t>Dr. Irene C. Viacrucis</t>
  </si>
  <si>
    <t>082 221 6192
0907 621 1893</t>
  </si>
  <si>
    <t>viacrucis.medbinugao@gmail.com</t>
  </si>
  <si>
    <t>11-13-26-24-I-2</t>
  </si>
  <si>
    <t>Purok 1, Buda Marilog District, Davao City</t>
  </si>
  <si>
    <t>BUDA COMMUNITY HEALTH CARE CENTER</t>
  </si>
  <si>
    <t>Dr. Dexter A Lendio</t>
  </si>
  <si>
    <t>0917 718 4126
0906 968 4562</t>
  </si>
  <si>
    <t>bchcc.germandoctors@gmail.com</t>
  </si>
  <si>
    <t>11-27-26-12-I-2</t>
  </si>
  <si>
    <t>Talomo District</t>
  </si>
  <si>
    <t>Catotal Subdivision, Bago Aplaya, Talomo District, Davao City</t>
  </si>
  <si>
    <t>ST. FELIX MEDICAL HOSPITAL</t>
  </si>
  <si>
    <t>Dr. Maricar G. Lim</t>
  </si>
  <si>
    <t>082 321-8568</t>
  </si>
  <si>
    <t>stfelixmedicalhospital@yahoo.com</t>
  </si>
  <si>
    <t>11-31-26-18-I-2</t>
  </si>
  <si>
    <t>Compostela</t>
  </si>
  <si>
    <t>P12 Jose V. Diola Street, Poblacion Compostela, Davao de Oro</t>
  </si>
  <si>
    <t>AACUACOR HEALTH CARE AND HOSPITAL</t>
  </si>
  <si>
    <t>Dr. Annabel G. Cabig</t>
  </si>
  <si>
    <t>0920 966 7602</t>
  </si>
  <si>
    <t>aacuacor@gmail.com</t>
  </si>
  <si>
    <t>MOA Miguel O. Cabrera Hosp.</t>
  </si>
  <si>
    <t>11-29-26-18-I-2</t>
  </si>
  <si>
    <t>Maco</t>
  </si>
  <si>
    <t>Purok 10 Poblacion Maco, Davao de Oro</t>
  </si>
  <si>
    <t>ALABA EMERGENCY CLINIC &amp; HOSPITAL</t>
  </si>
  <si>
    <t>Dr. Gina Melissa Q. Alaba</t>
  </si>
  <si>
    <t>0919 099 9218</t>
  </si>
  <si>
    <t>alabahospital@gmail.com</t>
  </si>
  <si>
    <t>11-26-26-12-I-2</t>
  </si>
  <si>
    <t>Purok 5, Poblacion Mawab, Davao de Oro</t>
  </si>
  <si>
    <t>MAWAB MEDICAL CLINIC &amp; HOSPITAL</t>
  </si>
  <si>
    <t>Dr. Evalina J. Jampayas</t>
  </si>
  <si>
    <t>0951 093 4403</t>
  </si>
  <si>
    <t>mawabhospital@gmail.com</t>
  </si>
  <si>
    <t>11-17-26-15-I-2</t>
  </si>
  <si>
    <t>Nabunturan</t>
  </si>
  <si>
    <t>Purok 10 Judge Gregorio Echavez Street,
Poblacion Nabunturan, Davao de Oro</t>
  </si>
  <si>
    <t>NABUNTURAN DOCTORS HOSPITAL INCORPORATED</t>
  </si>
  <si>
    <t>Dr. Bernardo S. Ang</t>
  </si>
  <si>
    <t>0950 444 0700</t>
  </si>
  <si>
    <t>nabunturandoctorshospital@yahoo.com</t>
  </si>
  <si>
    <t>MOA w/ Aquino Hosp</t>
  </si>
  <si>
    <t>11-01-26-18-I-2</t>
  </si>
  <si>
    <t>Pantukan</t>
  </si>
  <si>
    <t>Caballero Street, Kingking, Pantukan, Davao de Oro</t>
  </si>
  <si>
    <t>PANTUKAN DOCTORS INFIRMARY INCORPORATED</t>
  </si>
  <si>
    <t>Lloyd Fyl Razo, MD</t>
  </si>
  <si>
    <t>0985 598 0165
0912 550 6868</t>
  </si>
  <si>
    <t>pantukandochr@gmail.com</t>
  </si>
  <si>
    <t>MOA w/ MMGH-Tagum</t>
  </si>
  <si>
    <t>11-36-26-17-I-2</t>
  </si>
  <si>
    <t>Carmen</t>
  </si>
  <si>
    <t>Km. 35, Barangay Sto. Niño, Carmen
 Davao del Norte</t>
  </si>
  <si>
    <t>CARMEN MEDICAL CLINIC AND HOSPITAL</t>
  </si>
  <si>
    <t>Dr. Jesus M. Gaviola</t>
  </si>
  <si>
    <t>0915 068 5112
0917 713 4812</t>
  </si>
  <si>
    <t>jesusgaviola@ymail.com</t>
  </si>
  <si>
    <t>11-23-26-38-I-2</t>
  </si>
  <si>
    <t>Kapalong</t>
  </si>
  <si>
    <t>Rizal Street, Maniki, Kapalong, Davao del Norte</t>
  </si>
  <si>
    <t>JA ALEGRE MEDICAL CLINIC &amp; HOSPITAL</t>
  </si>
  <si>
    <t>Dr. Jonathan A. Alegre</t>
  </si>
  <si>
    <t>0916 830 8356</t>
  </si>
  <si>
    <t>alegremedclinic@yahoo.com</t>
  </si>
  <si>
    <t>11-15-26-18-I-2</t>
  </si>
  <si>
    <t>Sto. Tomas</t>
  </si>
  <si>
    <t>Purok 3, Crossing Kinamayan, Sto. Tomas, Davao del Norte</t>
  </si>
  <si>
    <t>BUNGABONG-SANICO MEDICAL CLINIC &amp; MATERNITY HOSPITAL</t>
  </si>
  <si>
    <t>Dr. Antoniette B. Sanico</t>
  </si>
  <si>
    <t>0917 705 1952</t>
  </si>
  <si>
    <t>antoniettesanico@yahoo.com</t>
  </si>
  <si>
    <t>11-07-26-16-I-2</t>
  </si>
  <si>
    <t>Purok 5A, Santan Street, Barangay Tibal-og, Sto. Tomas, Davao del Norte</t>
  </si>
  <si>
    <t>ESTELA MEDICAL CLINIC &amp; PHARMACY</t>
  </si>
  <si>
    <t>Dr. Ben Jay C. Porcadilla</t>
  </si>
  <si>
    <t>084 829-0054</t>
  </si>
  <si>
    <t>estelamedicalclinicandpharmacy@gmail.com</t>
  </si>
  <si>
    <t>11-04-26-10-I-2</t>
  </si>
  <si>
    <t>Ramon Magsaysay Avenue, Fd. Rd 2,  Tibal-og, 
Sto. Tomas, Davao del Norte</t>
  </si>
  <si>
    <t>MATUTES MEDICAL CLINIC AND HOSPITAL</t>
  </si>
  <si>
    <t>Dr. Wilfredo S. Matutes</t>
  </si>
  <si>
    <t>0928 552 1059
084 829 1482</t>
  </si>
  <si>
    <t>matuteshospital@yahoo.com.ph</t>
  </si>
  <si>
    <t>11-11-26-12-I-2</t>
  </si>
  <si>
    <t>Digos City</t>
  </si>
  <si>
    <t>Maharlika, Kapatagan, Digos City, Davao del Sur</t>
  </si>
  <si>
    <t>KAPATAGAN MEDICAL CLINIC</t>
  </si>
  <si>
    <t>Dr. Donabel Y. Fuentes</t>
  </si>
  <si>
    <t>0950 155 8318</t>
  </si>
  <si>
    <t>kapatagan.medicalclinic@gmail.com</t>
  </si>
  <si>
    <t>MOA - Medical Center of Digos Cooperative</t>
  </si>
  <si>
    <t>11-06-26-09-I-2</t>
  </si>
  <si>
    <t>Mt. Apo 1, Kapatagan, Digos City, Davao del Sur</t>
  </si>
  <si>
    <t>TANQUE MEMORIAL CLINIC AND HOSPITAL</t>
  </si>
  <si>
    <t>Dr. Salud P. dela Cruz</t>
  </si>
  <si>
    <t>0948 372 4604</t>
  </si>
  <si>
    <t>tmch2017@yahoo.com</t>
  </si>
  <si>
    <t>MOA - Digos Doctors Hospital</t>
  </si>
  <si>
    <t>11-21-26-10-I-2</t>
  </si>
  <si>
    <t>Hagonoy</t>
  </si>
  <si>
    <t>Purok 1 Leling, Hagonoy, Davao del Sur</t>
  </si>
  <si>
    <t>BENDIJO HOSPITAL</t>
  </si>
  <si>
    <t>Dr. Clemente C. Carlos III</t>
  </si>
  <si>
    <t>0947 758 3047</t>
  </si>
  <si>
    <t>bendijohospital@yahoo.com</t>
  </si>
  <si>
    <t>11-09-26-15-I-2</t>
  </si>
  <si>
    <t>Purok 5, Barayong, Magsaysay,  Davao del Sur</t>
  </si>
  <si>
    <t>MAGSAYSAY MEDICAL HEALTHCARE, INC.</t>
  </si>
  <si>
    <t>Ma. Chona B. Rodriguez, MD</t>
  </si>
  <si>
    <t>0927 245 4504</t>
  </si>
  <si>
    <t>magsaysaymunicipalhealthoffice@gmail.com</t>
  </si>
  <si>
    <t>1, Type 1, Plate No. LHN 343</t>
  </si>
  <si>
    <t>11-02-26-12-I-2</t>
  </si>
  <si>
    <t>Malalag</t>
  </si>
  <si>
    <t>Poblacion Malalag, Davao del Sur</t>
  </si>
  <si>
    <t>SAROMA HOSPITAL</t>
  </si>
  <si>
    <t>Dr. Concepcion B. Sunga</t>
  </si>
  <si>
    <t>082 272-3885</t>
  </si>
  <si>
    <t>srmhoffice@gmail.com</t>
  </si>
  <si>
    <t>MOA-Digos Doctor's Hospital</t>
  </si>
  <si>
    <t>11-22-26-18-I-2</t>
  </si>
  <si>
    <t>Angel Brioso Extension, Poblacion Zone III, 
Sta. Cruz, Davao del Sur</t>
  </si>
  <si>
    <t>CEREVILLE MEDICAL CLINIC AND HOSPITAL</t>
  </si>
  <si>
    <t>Dr. Delia P. Panuda</t>
  </si>
  <si>
    <t>286-1189</t>
  </si>
  <si>
    <t>delpanuda@yahoo.com.ph</t>
  </si>
  <si>
    <t>11-03-26-18-I-2</t>
  </si>
  <si>
    <t>Sulop</t>
  </si>
  <si>
    <t>Purok 4, Poblacion Sulop, Davao del Sur</t>
  </si>
  <si>
    <t>DIONES HOSPITAL</t>
  </si>
  <si>
    <t>Dr. Cynthia Belen L. Diones</t>
  </si>
  <si>
    <t>0951 030 7352</t>
  </si>
  <si>
    <t>diones.infirmary@gmail.com</t>
  </si>
  <si>
    <t>MOA -Gonzales Maranan Med. Center, Inc</t>
  </si>
  <si>
    <t>11-28-26-18-I-2</t>
  </si>
  <si>
    <t>Purok 2, Poblacion Sulop, Davao del Sur</t>
  </si>
  <si>
    <t>SULOP MEDICAL CLINIC</t>
  </si>
  <si>
    <t>Dr. Imelda Belga-Carlos</t>
  </si>
  <si>
    <t>082-553-0439</t>
  </si>
  <si>
    <t>sulop.medicalclinic@gmail.com</t>
  </si>
  <si>
    <t>MOA -  Digos Doctors Hospital</t>
  </si>
  <si>
    <t>11-05-26-24-I-2</t>
  </si>
  <si>
    <t>Malita</t>
  </si>
  <si>
    <t>138 Manuel Peralta Street, Poblacion Malita, Davao Occidental</t>
  </si>
  <si>
    <t>MARIA DULCE P. FANLO MEDICAL CLINIC</t>
  </si>
  <si>
    <t>Dr. Maria Dulce P. Fanlo</t>
  </si>
  <si>
    <t>0921 312 7270</t>
  </si>
  <si>
    <t>fanlomalita1978@gmail.com</t>
  </si>
  <si>
    <t>11-12-26-18-I-2</t>
  </si>
  <si>
    <t>Sta. maria</t>
  </si>
  <si>
    <t>Sitio Diacie, Poblacion Sta. Maria, Davao Occidental</t>
  </si>
  <si>
    <t>MAGTABOG GENERAL HOSPITAL</t>
  </si>
  <si>
    <t>AST/ALT</t>
  </si>
  <si>
    <t>Dr. Maribeth A. Magtabog</t>
  </si>
  <si>
    <t>0922 469 7245</t>
  </si>
  <si>
    <t>maggenhospital@yahoo.com</t>
  </si>
  <si>
    <t>11-08-26-18-I-2</t>
  </si>
  <si>
    <t>Aguinaldo Street, Poblacion Sta. Maria, Davao Occidental</t>
  </si>
  <si>
    <t>STA. MARIA MEDICAL CLINIC AND HOSPITAL</t>
  </si>
  <si>
    <t>SGPT and SGOT</t>
  </si>
  <si>
    <t>Dr. Lucy T. Pineda</t>
  </si>
  <si>
    <t>082 285-4441</t>
  </si>
  <si>
    <t>smmchstamaria@gmail.com</t>
  </si>
  <si>
    <t>MOA w/ Gonzales Medical-Guihing</t>
  </si>
  <si>
    <t>11-20-26-16-I-2</t>
  </si>
  <si>
    <t>General Santos</t>
  </si>
  <si>
    <t>General Santos City</t>
  </si>
  <si>
    <t>Blk. 3, Damicog St.,Brgy. Bula, General Santos</t>
  </si>
  <si>
    <t>DIZON JR MEDICAL CLINIC AND INFIRMARY</t>
  </si>
  <si>
    <t>Dr. Nestor G. Dizon, Jr.</t>
  </si>
  <si>
    <t>nestorgdizonjr@yahoo.com</t>
  </si>
  <si>
    <t>St. Elizabeth Hospital, Inc.</t>
  </si>
  <si>
    <t>12-0001-26-I-2</t>
  </si>
  <si>
    <t>Kabacan</t>
  </si>
  <si>
    <t>Rizal Street, Poblacion</t>
  </si>
  <si>
    <t>ANULAO MEDICAL CLINIC  &amp; INFIRMARY</t>
  </si>
  <si>
    <t>Roberto G. Barredo, MD</t>
  </si>
  <si>
    <t>anulao@st.michael@yahoo.com</t>
  </si>
  <si>
    <t>Kabacan Polymedic Cooperative Hospital</t>
  </si>
  <si>
    <t>12-0011-26-I-2</t>
  </si>
  <si>
    <t>Barangay Kayaga, Kabacan, North Cotabato</t>
  </si>
  <si>
    <t>ROLDAN-ALBUTRA GENERAL HOSPITAL, INC.</t>
  </si>
  <si>
    <t>Erwin Frederick Roldan, MD</t>
  </si>
  <si>
    <t>roldanalbutrageneralhospital@gmail.com</t>
  </si>
  <si>
    <t>Roldan Medical Clinic</t>
  </si>
  <si>
    <t>12-0042-26-I-2</t>
  </si>
  <si>
    <t>Barangay Lanao</t>
  </si>
  <si>
    <t>MANUEL HOSPITAL</t>
  </si>
  <si>
    <t>Cesar U. Manuel, Jr.</t>
  </si>
  <si>
    <t>manuelhospital@yahoo.com</t>
  </si>
  <si>
    <t>12-0002-26-I-2</t>
  </si>
  <si>
    <t>Quezon Boulevard</t>
  </si>
  <si>
    <t>UNITED DOCTORS' HOSPITAL OF KIDAPAWAN INC.</t>
  </si>
  <si>
    <t>Medical X-ray (Level 1)</t>
  </si>
  <si>
    <t>Elmarie P.  Pacifico, MD</t>
  </si>
  <si>
    <t>uniteddoctorshospital_i@yahoo.com</t>
  </si>
  <si>
    <t>12-0009-26-I-2</t>
  </si>
  <si>
    <t>Libungan</t>
  </si>
  <si>
    <t>National Highway, Libungan</t>
  </si>
  <si>
    <t>MOUNT OF BLESSINGS HOSPITAL</t>
  </si>
  <si>
    <t>Wetzel Russ D,. Dela Cruz,, MD</t>
  </si>
  <si>
    <t>mountofblessingshospital@yahoo.com.ph</t>
  </si>
  <si>
    <t>12-0019-26-I-2</t>
  </si>
  <si>
    <t>Magpet</t>
  </si>
  <si>
    <t>Rizal Street, Brgy. Poblacion</t>
  </si>
  <si>
    <t>DELLY DELFIN  LORCA HEALTHCARE CENTER</t>
  </si>
  <si>
    <t xml:space="preserve"> Medical X-ray (Level 1)
</t>
  </si>
  <si>
    <t>Dr. Moises Renan M. Sungcad</t>
  </si>
  <si>
    <t>dellylorca@gmail.com</t>
  </si>
  <si>
    <t>Midway Hspital</t>
  </si>
  <si>
    <t>12-0008-26-I-2</t>
  </si>
  <si>
    <t>Matalam</t>
  </si>
  <si>
    <t>252 Magsaysay street, Poblacion, Matalam</t>
  </si>
  <si>
    <t>BABOL GENERAL HOSPITAL</t>
  </si>
  <si>
    <t>Jeff Samuel S. Babol, MD,MHCA</t>
  </si>
  <si>
    <t>babolgenhosp@gmail.com</t>
  </si>
  <si>
    <t>Deseret Surgimed Hospital</t>
  </si>
  <si>
    <t>12-0033-26-I-2</t>
  </si>
  <si>
    <t>Midsayap</t>
  </si>
  <si>
    <t>Uptown Crossing, Poblacion 8</t>
  </si>
  <si>
    <t>ST. PIUS HOSPITAL</t>
  </si>
  <si>
    <t xml:space="preserve"> Medical X-ray (Level 1)
Pharmacy</t>
  </si>
  <si>
    <t>Celbert B. Jacobo, MD</t>
  </si>
  <si>
    <t>stpiushospital2023@gmail.com</t>
  </si>
  <si>
    <t>Community Health Services Cooperative Hospital</t>
  </si>
  <si>
    <t>12-0020-26-I-2</t>
  </si>
  <si>
    <t>Mlang</t>
  </si>
  <si>
    <t>Magsaysay Street, Poblacion A</t>
  </si>
  <si>
    <t>BIRHEN DE LOS MILAGROS HOSPITAL, INC.</t>
  </si>
  <si>
    <t>Joel Nelton V. Sungcad, MD,MAHA</t>
  </si>
  <si>
    <t>bdlmhi2023@gmail.com</t>
  </si>
  <si>
    <t>Sorilla Medical and Maternity Clinical Hospital</t>
  </si>
  <si>
    <t>12-0017-26-I-2</t>
  </si>
  <si>
    <t>Pigcawayan</t>
  </si>
  <si>
    <t>Poblacion 3, Pigcawayan, Cotabato</t>
  </si>
  <si>
    <t>GARCESA-MARTIREZ DOCTORS' HOSPITAL</t>
  </si>
  <si>
    <t>Dr. Silpha Garcesa-Maglinte</t>
  </si>
  <si>
    <t>garcesamartirez@gmail.com</t>
  </si>
  <si>
    <t>Cotabato Regional and Medical Center</t>
  </si>
  <si>
    <t>12-0029-26-I-2</t>
  </si>
  <si>
    <t>Pikit</t>
  </si>
  <si>
    <t>57 M.L. Quezon Street, Poblacion</t>
  </si>
  <si>
    <t>CADULONG HOSPITAL</t>
  </si>
  <si>
    <t>Nelson B. Villagonzalo, MD</t>
  </si>
  <si>
    <t>cadhos08@gmail.com</t>
  </si>
  <si>
    <t>Cruzado Medical Hospital</t>
  </si>
  <si>
    <t>12-0022-26-I-2</t>
  </si>
  <si>
    <t>Kiamba</t>
  </si>
  <si>
    <t>Bialong National Highway, Poblacion, Kiamba, Sarangani</t>
  </si>
  <si>
    <t>TIBURCIO B.  AQUINO MEMORIAL HOSPITAL FOUNDATION, INC.</t>
  </si>
  <si>
    <t>Dr. Mark Ian L. Angus</t>
  </si>
  <si>
    <t>tbamh2015@gmail.com</t>
  </si>
  <si>
    <t>1/Type 1/Plate no. NCB 4898 Cr no. 291350802</t>
  </si>
  <si>
    <t>12-0041-26-I-2</t>
  </si>
  <si>
    <t>Banga</t>
  </si>
  <si>
    <t>Barangay Rizal, Bo.3, Banga</t>
  </si>
  <si>
    <t>DR. FRANCISCO C. PARCON CLINIC &amp; HOSPITAL</t>
  </si>
  <si>
    <t>Hasmin q. Parcon-Tampus,MD</t>
  </si>
  <si>
    <t>fcparconclinichosp@gmail.com</t>
  </si>
  <si>
    <t>Landero Clinic and Hospital</t>
  </si>
  <si>
    <t>12-0030-26-I-2</t>
  </si>
  <si>
    <t>Brgy. Yangco, Banga, South Cotabato</t>
  </si>
  <si>
    <t>JANUARIA MARCIAL MEMORIAL HOSPITAL</t>
  </si>
  <si>
    <t>Lourdes L. Alcayde, MD</t>
  </si>
  <si>
    <t>jmmh.banga@yahoo.com</t>
  </si>
  <si>
    <t>Dr. Domingo B. Tamondong Memorial Hospital And College Foundation, Inc.</t>
  </si>
  <si>
    <t>12-0039-26-I-2</t>
  </si>
  <si>
    <t>#32 North Osmena Avenue, Dadiangas North</t>
  </si>
  <si>
    <t>AUGUIS CLINIC AND HOSPITAL</t>
  </si>
  <si>
    <t>Adora D. Auguis, MD, FPCHA, MHcA</t>
  </si>
  <si>
    <t>tlc_ach@yahoo.com</t>
  </si>
  <si>
    <t>12-0032-26-I-2</t>
  </si>
  <si>
    <t>Sto. Niño</t>
  </si>
  <si>
    <t>National Highway, Poblacion, Sto Nino, South Cotabato</t>
  </si>
  <si>
    <t>CLINICA LUNTAO, INC.</t>
  </si>
  <si>
    <t>Ervin B. Luntao, MD.</t>
  </si>
  <si>
    <t>deblfchospital@yahoo.com</t>
  </si>
  <si>
    <t>Socomedics Medical Center</t>
  </si>
  <si>
    <t>12-0038-26-I-2</t>
  </si>
  <si>
    <t>Pedian Street, Sto. Niño, South Cotabato</t>
  </si>
  <si>
    <t>ZMK DOCTOR'S CLINIC AND HOSPITAL</t>
  </si>
  <si>
    <t>Zenaida Magdalene M. Kapunan, MD</t>
  </si>
  <si>
    <t>zmkdoctors@gmail.com</t>
  </si>
  <si>
    <t>12-0040-26-I-2</t>
  </si>
  <si>
    <t>Tboli</t>
  </si>
  <si>
    <t>Sitio Sanico, Edwards, T'boli, South Cotabato</t>
  </si>
  <si>
    <t>MOOREHOUSE MISSION HOSPITAL, INC.</t>
  </si>
  <si>
    <t>Daryl Jade T. Dagang, MD, FPCP</t>
  </si>
  <si>
    <t>moorehousemissionhospital@gmail.com</t>
  </si>
  <si>
    <t>1/Type 1/ Plate no. MAM4460,Cr no. 324307550</t>
  </si>
  <si>
    <t>12-0034-26-I-2</t>
  </si>
  <si>
    <t>Purok 10 National Highway, Poblacion</t>
  </si>
  <si>
    <t>ADVENTIST HOSPITAL-TUPI, INC.</t>
  </si>
  <si>
    <t xml:space="preserve"> Medical X-ray (Level 1)
Pharmacy
(Serum electrolytes (K, Na, Cl, Ca), Thyroid Function Test (TSH, FT3, FT4), Glycosylated  Hemoglobin (HbA1c), Basic Serologic Test ( Typhoid IgM/IgG, Syphilis, HBsAg, Helicobacter pylori (H.pylori) (06/04/2026)</t>
  </si>
  <si>
    <t>Dr. Rodman Jay M. Garcia</t>
  </si>
  <si>
    <t>adventisthospitaltupi@gmail.com</t>
  </si>
  <si>
    <t>1/Type 1/Plate no. RNW717,CR no. 001163999</t>
  </si>
  <si>
    <t>12-0036-26-I-2</t>
  </si>
  <si>
    <t>Isulan</t>
  </si>
  <si>
    <t>National Highway,  Bry. Kalawag III, Isulan, Sultan Kudarat</t>
  </si>
  <si>
    <t>ISULAN DOCTORS'  SPECIALIST CENTER, INC.</t>
  </si>
  <si>
    <t xml:space="preserve"> Medical X-ray (Level 2)
Pharmacy</t>
  </si>
  <si>
    <t>Melgar P. Retirado, MD</t>
  </si>
  <si>
    <t>isulandoctors@yahoo.com</t>
  </si>
  <si>
    <t>Matias Clinic &amp; Hospital</t>
  </si>
  <si>
    <t>12-0026-26-I-2</t>
  </si>
  <si>
    <t>Lebak</t>
  </si>
  <si>
    <t>Rizal Avenue, Poblacion</t>
  </si>
  <si>
    <t>CASTILLON-GAURANA GENERAL HOSPITAL</t>
  </si>
  <si>
    <t>Joycelyn C. Gaurana, MD</t>
  </si>
  <si>
    <t>cgghlebak@gmail.com</t>
  </si>
  <si>
    <t>Sultan Kudarat District Hospital</t>
  </si>
  <si>
    <t>12-0016-26-I-2</t>
  </si>
  <si>
    <t>Bonifacio street, Brgy. Aurelio F. Feires Sr.</t>
  </si>
  <si>
    <t>LEBAK FAMILY DOCTORS' HOSPITAL</t>
  </si>
  <si>
    <t>Clinical Lab (Secondary)
Pharmacy 3/10/2026</t>
  </si>
  <si>
    <t>Sharon Castillon Ang, MD</t>
  </si>
  <si>
    <t>lfdh092017@gmail.com</t>
  </si>
  <si>
    <t>Datu Bla Sinsuat District Hospital</t>
  </si>
  <si>
    <t>12-0012-26-I-2</t>
  </si>
  <si>
    <t>President Quirino</t>
  </si>
  <si>
    <t>Purok Kaunlaran, Romualdez</t>
  </si>
  <si>
    <t>ROMUALDEZ-KATIKU COMMUNITY HOSPITAL</t>
  </si>
  <si>
    <t>Perfecto C. Bautista II, MD</t>
  </si>
  <si>
    <t>romualdezkatikucommunityhospital@yahoo.com</t>
  </si>
  <si>
    <t>12-0006-26-I-2</t>
  </si>
  <si>
    <t>Tacurong City</t>
  </si>
  <si>
    <t>Bonifacio street, Extension, Poblacion</t>
  </si>
  <si>
    <t>GUARDIANO MATERNITY AND CHILDREN CLINIC AND HOSPITAL</t>
  </si>
  <si>
    <t>Renie C. Guardiano, MD, FPPS, MPH</t>
  </si>
  <si>
    <t>renieguardiano@gmail.com</t>
  </si>
  <si>
    <t>Quijano Clinic &amp; Hospital, Inc.</t>
  </si>
  <si>
    <t>12-0010-26-I-2</t>
  </si>
  <si>
    <t>#28 National Highway, Poblacion</t>
  </si>
  <si>
    <t>VALDEZ MOTHER AND CHILD CLINIC AND HOSPITAL</t>
  </si>
  <si>
    <t>Bonifacio  E. Valdez, MD</t>
  </si>
  <si>
    <t>vmchospital@yahoo.com</t>
  </si>
  <si>
    <t>12-0005-26-I-2</t>
  </si>
  <si>
    <t>Purok 5, Brgy. Bancasi</t>
  </si>
  <si>
    <t>HIPOL FAMILY HOSPITAL</t>
  </si>
  <si>
    <t>Rodrigo S. Hipol III</t>
  </si>
  <si>
    <t>hipolfamilyhospital2024@gmail.com</t>
  </si>
  <si>
    <t>MOA with MJ Santos Hosp.</t>
  </si>
  <si>
    <t>16-19-26-I-2</t>
  </si>
  <si>
    <t>CLINICA JESUS NAZARENO</t>
  </si>
  <si>
    <t>Dr. Eleanor C. Quinte</t>
  </si>
  <si>
    <t>cjndrquinte@yahoo.com</t>
  </si>
  <si>
    <t>16-9-26-I-2</t>
  </si>
  <si>
    <t>#1364 National Highway, Buhang</t>
  </si>
  <si>
    <t>MANUEL M. RELAMPAGOS INFIRMARY CORPORATION</t>
  </si>
  <si>
    <t>ZYRAH MARIE F. RELAMPAGOS, M.D.</t>
  </si>
  <si>
    <t>0948 633 4106</t>
  </si>
  <si>
    <t>manuelmrelampagosinfirmary@gmail.com</t>
  </si>
  <si>
    <t>16-7-26-I-2</t>
  </si>
  <si>
    <t>Bunawan</t>
  </si>
  <si>
    <t>Upper Co-o, Consuelo, Bunawan, Agusan del Sur</t>
  </si>
  <si>
    <t>PHILSAGA MINING HOSPITAL</t>
  </si>
  <si>
    <t>Dr. Randolph M. Lala, FPSMS</t>
  </si>
  <si>
    <t>(085) 8392235</t>
  </si>
  <si>
    <t>rmlala@philsagamining.com</t>
  </si>
  <si>
    <t>1 (Type 2) Plate No. NCB7459 CR No. 298288756</t>
  </si>
  <si>
    <t>16-4-26-I-1</t>
  </si>
  <si>
    <t>Surigao City</t>
  </si>
  <si>
    <t>MIRANDA FAMILY HOSPITAL</t>
  </si>
  <si>
    <t>Dr. Jasmin Jiji B. Miranda, Ph.D, MBA</t>
  </si>
  <si>
    <t>mirfamhospital@yahoo.com</t>
  </si>
  <si>
    <t>Type 1, Plate No. KCZ750 CR. No. 39778071-4</t>
  </si>
  <si>
    <t>16-1-26-I-2</t>
  </si>
  <si>
    <t>DOH000000000000608</t>
  </si>
  <si>
    <t>Caloocan City</t>
  </si>
  <si>
    <t>15 Gen. Luis St., Caybiga, Caloocan City</t>
  </si>
  <si>
    <t>LADY OF LOURDES HOSPITAL &amp; COLLEGES OF CAYBIGA, INC.</t>
  </si>
  <si>
    <t>Dr. Erlinda Mauricio</t>
  </si>
  <si>
    <t>09694901509/72544482</t>
  </si>
  <si>
    <t>ladyoflourdescollege@yahoo.com</t>
  </si>
  <si>
    <t>13-0008-26-I-2</t>
  </si>
  <si>
    <t>DOH000000000006580</t>
  </si>
  <si>
    <t>B8, L49, Dahlia St., Almar Subd., Camarin, Caloocan City</t>
  </si>
  <si>
    <t>MARKVIM HOSPITAL, INC.</t>
  </si>
  <si>
    <t>Virginia O. Garcia, MD</t>
  </si>
  <si>
    <t>8961-5302/09989991081</t>
  </si>
  <si>
    <t>markvim.hospital@yahoo.com</t>
  </si>
  <si>
    <t>13-0002-26-I-2</t>
  </si>
  <si>
    <t>DOH000000000013109</t>
  </si>
  <si>
    <t>24 Susano Rd., Brgy. 170, Zone 15, Deparo, Caloocan City</t>
  </si>
  <si>
    <t>SAN LORENZO HOSPITAL HEALTH MANAGEMENT CO., INC.</t>
  </si>
  <si>
    <t>Ladylyn Tamayo-Reluya, MD</t>
  </si>
  <si>
    <t>sanlorenzohospital.deparo2015@yahoo.com</t>
  </si>
  <si>
    <t>13-0016-26-I-2</t>
  </si>
  <si>
    <t>DOH000000000004395</t>
  </si>
  <si>
    <t>Las Piñas City</t>
  </si>
  <si>
    <t>Alabang-Zapote Rd. cor. Pelayo Village, Talon, Las Piñas City</t>
  </si>
  <si>
    <t>ALABANG MEDICAL CLINIC-LAS PIÑAS BRANCH</t>
  </si>
  <si>
    <t>Ma. Gloriphine Torres II, MD</t>
  </si>
  <si>
    <t>amc.talon@yahoo.com</t>
  </si>
  <si>
    <t>13-0011-26-I-2</t>
  </si>
  <si>
    <t>DOH000000000003790</t>
  </si>
  <si>
    <t>545-A Talon Garden, Talon Uno, Las Piñas City</t>
  </si>
  <si>
    <t>CALLEJO MEDICAL CLINIC</t>
  </si>
  <si>
    <t>Sharon R. Callejo, MD</t>
  </si>
  <si>
    <t>8875-2950/09478929080</t>
  </si>
  <si>
    <t>callejomedicalclinic_lpc@yahoo.com</t>
  </si>
  <si>
    <t>13-0014-26-I-2</t>
  </si>
  <si>
    <t>DOH000000000004582</t>
  </si>
  <si>
    <t>Marikina City</t>
  </si>
  <si>
    <t>582 J. P. Rizal, Lamuan, Malanday, Marikina City</t>
  </si>
  <si>
    <t>P. GONZALES MEMORIAL HOSPITAL,INC.</t>
  </si>
  <si>
    <t>Marion Andres, MD</t>
  </si>
  <si>
    <t>pgmhospital@yahoo.com</t>
  </si>
  <si>
    <t>13-0006-26-BH-2</t>
  </si>
  <si>
    <t>DOH000000000007497</t>
  </si>
  <si>
    <t>Muntinlupa City</t>
  </si>
  <si>
    <t>1 National Road, Putatan, Muntinlupa City</t>
  </si>
  <si>
    <t>ALABANG MEDICAL CLINIC-MUNTINLUPA BRANCH</t>
  </si>
  <si>
    <t>Manuel Luis L. Barangan, MD</t>
  </si>
  <si>
    <t>8861-1187/09088633291</t>
  </si>
  <si>
    <t>amc.munti@yahoo.com</t>
  </si>
  <si>
    <t>13-0012-26-I-2</t>
  </si>
  <si>
    <t>DOH000000000038002</t>
  </si>
  <si>
    <t>2 Heavenly Drive cor. Susan Road, San Agustin, Novaliches, Quezon City</t>
  </si>
  <si>
    <t>CABARLES MATERNITY (LYING-IN), MEDICAL AND CHILDREN'S CLINIC</t>
  </si>
  <si>
    <t>Dr. Rory D. Cabarles</t>
  </si>
  <si>
    <t>cabarles_clinic@yahoo.com</t>
  </si>
  <si>
    <t>13-0001-26-I-2</t>
  </si>
  <si>
    <t>DOH000000000000462</t>
  </si>
  <si>
    <t>1025 F. Salvador Ave., Jordan Plains Subd., Brgy. Sta. Monica, Novaliches, Quezon City</t>
  </si>
  <si>
    <t>CRUZ-DALIDA HOSPITAL, INC.</t>
  </si>
  <si>
    <t>Rosario B. Cruz-Dalida, MD, MHA</t>
  </si>
  <si>
    <t>0922-898-1053/8352-1849</t>
  </si>
  <si>
    <t>cruz_dalidahospital@yahoo.com</t>
  </si>
  <si>
    <t>13-0005-26-I-2</t>
  </si>
  <si>
    <t>DOH000000000007993</t>
  </si>
  <si>
    <t>143 Mindanao Ave., Brgy. Bahay Toro, Prj. 8, Quezon City</t>
  </si>
  <si>
    <t>DR. MONTANO G. RAMOS GENERAL HOSPITAL CORP.</t>
  </si>
  <si>
    <t>Dr. Lilia Ramos</t>
  </si>
  <si>
    <t>montanoramosmindanaoave@gmail.com</t>
  </si>
  <si>
    <t>13-0007-26-I-2</t>
  </si>
  <si>
    <t>DOH000000000003302</t>
  </si>
  <si>
    <t>130 M. Pascual St., Baesa, Quirino Highway, Quezon City</t>
  </si>
  <si>
    <t>PASCUAL GENERAL HOSPITAL</t>
  </si>
  <si>
    <t>Dr. Ma. Lilybeth P. Naguit</t>
  </si>
  <si>
    <t>09189111729 / 83625862</t>
  </si>
  <si>
    <t>pascualhospital@yahoo.com</t>
  </si>
  <si>
    <t>13-0003-26-I-2</t>
  </si>
  <si>
    <t>DOH000000000023751</t>
  </si>
  <si>
    <t>411 Quirino Highway, Talipapa, Novaliches, Quezon City</t>
  </si>
  <si>
    <t>VIAN FAMILY HOSPITAL II</t>
  </si>
  <si>
    <t>Dr. Annie Joyce C. Alagano</t>
  </si>
  <si>
    <t>0953-254-3799/8398-2390</t>
  </si>
  <si>
    <t>vianfamily.hospital2@yahoo.com</t>
  </si>
  <si>
    <t>13-0015-26-I-2</t>
  </si>
  <si>
    <t>DOH000000000002872</t>
  </si>
  <si>
    <t>11 Salalilla St., Project 4, Quezon City</t>
  </si>
  <si>
    <t>VILLAROSA HOSPITAL, INC.</t>
  </si>
  <si>
    <t>Dr. Elaine D. Villarosa-Adapon</t>
  </si>
  <si>
    <t>8774-1609</t>
  </si>
  <si>
    <t>villahosp@yahoo.com</t>
  </si>
  <si>
    <t>13-0010-26-I-2</t>
  </si>
  <si>
    <t>DOH000000000033250</t>
  </si>
  <si>
    <t>27 Steve St., Brgy. Commonwealth, Quezon City</t>
  </si>
  <si>
    <t>WELL SERVED INFIRMARY &amp; DRUGSTORE, INC.</t>
  </si>
  <si>
    <t>Dr. Daisy Villarama-Tiga</t>
  </si>
  <si>
    <t>09178521457</t>
  </si>
  <si>
    <t>drtiga@yahoo.com</t>
  </si>
  <si>
    <t>13-0017-26-I-2</t>
  </si>
  <si>
    <t>DOH000000000006084</t>
  </si>
  <si>
    <t>Taguig City</t>
  </si>
  <si>
    <t>184 ML St., Bagumbayan, Taguig City</t>
  </si>
  <si>
    <t>TAGIG DOCTORS HOSPITAL</t>
  </si>
  <si>
    <t>Mario T. Aquino, MD, MHA</t>
  </si>
  <si>
    <t>0969-13619-894/8837-0712</t>
  </si>
  <si>
    <t>tagigdoctors1990@yahoo.com</t>
  </si>
  <si>
    <t>13-0009-26-I-2</t>
  </si>
  <si>
    <t>DOH000000000040052</t>
  </si>
  <si>
    <t>3008 Gen. T. De Leon, Valenzuela City</t>
  </si>
  <si>
    <t>VIAN FAMILY HOSPITAL</t>
  </si>
  <si>
    <t>7255-6326</t>
  </si>
  <si>
    <t>viafamilyhospital1@yahoo.com</t>
  </si>
  <si>
    <t>13-0004-26-I-2</t>
  </si>
  <si>
    <t>Kabankalan City</t>
  </si>
  <si>
    <t>Guanzon Street, Barangay 5</t>
  </si>
  <si>
    <t>DR. GUMERSINDO GARCIA SR. MEMORIAL HOSPITAL</t>
  </si>
  <si>
    <t>Clinical Laboratory (Secondary) , Pharmacy</t>
  </si>
  <si>
    <t>Dr. Louie B. Jimenea</t>
  </si>
  <si>
    <t>hrdggsmh@gmail.com</t>
  </si>
  <si>
    <t>1, Type I C.R No. 2959793131, C.S. GB 2832</t>
  </si>
  <si>
    <t>18-0005-26-I-2</t>
  </si>
  <si>
    <t>50515</t>
  </si>
  <si>
    <t>Ascoville Subdivision, Brgy. 3</t>
  </si>
  <si>
    <t>DR. RODOLFO T. BLANCIA JR. INFIRMARY</t>
  </si>
  <si>
    <t>Clinical Laboratory (Secondary) 
Electrolytes 
HbA1C 
SGPT 
SGOT 
Troponin I
Total Biliburin</t>
  </si>
  <si>
    <t>Dr. Rodolfo T. Blancia Jr.</t>
  </si>
  <si>
    <t>93843558794</t>
  </si>
  <si>
    <t>rodolfoblanciajr@gmail.com</t>
  </si>
  <si>
    <t>18-0004-26-I-2</t>
  </si>
  <si>
    <t>Bangued</t>
  </si>
  <si>
    <t>Rizal St., Zone VII</t>
  </si>
  <si>
    <t>VALERA MEDICAL HOSPITAL</t>
  </si>
  <si>
    <t>Clinical Laboratory, Clinical Chemistry: Special (HbA1c), Immunulogy/Serology Special Thyriod Function Test
Diagnostic X-ray Services (Level 1)</t>
  </si>
  <si>
    <t>Dr. Milagros F. Alzate</t>
  </si>
  <si>
    <t>valeramed_hospital@yahoo.com</t>
  </si>
  <si>
    <t>1/Type 1/IAD 9814</t>
  </si>
  <si>
    <t>14-0017-26-I-2</t>
  </si>
  <si>
    <t>Dolores</t>
  </si>
  <si>
    <t>Talogtog</t>
  </si>
  <si>
    <t>ST. THERESA WELLNESS CENTER</t>
  </si>
  <si>
    <t>Clinical Lanoratory, Clinical Chemistry: Special - Na, K, Cl (EasyLyte Plus), AST, ALT (Mindray), HbA1c (Finecare)
Diagnostic X-ray Services (level 2)
Pharmacy</t>
  </si>
  <si>
    <t>Dr. Alysa Mayene Echave-Casia</t>
  </si>
  <si>
    <t>sttheresawellnesscenter@gmail.com</t>
  </si>
  <si>
    <t>1 - Type 1</t>
  </si>
  <si>
    <t>Bangued Christian Hospital</t>
  </si>
  <si>
    <t>14-0006-26-I-2</t>
  </si>
  <si>
    <t>Mankayan</t>
  </si>
  <si>
    <t>Paco</t>
  </si>
  <si>
    <t>LEPANTO CONSOLIDATED MINING COMPANY HOSPITAL</t>
  </si>
  <si>
    <t>w/ Clinical Chemistry - Special; Pharmacy; HIV Testing Laboratory;  1 Unit-Type I Ambulance</t>
  </si>
  <si>
    <t>Dr. Zerubabel D. Pateña</t>
  </si>
  <si>
    <t>lcmc.hospital@lepantomining.com</t>
  </si>
  <si>
    <t>1/Type 1/YAB 1185</t>
  </si>
  <si>
    <t>14-0014-26-I-2</t>
  </si>
  <si>
    <t>Tuba</t>
  </si>
  <si>
    <t>Padcal, Tuba</t>
  </si>
  <si>
    <t>STO. NINO HOSPITAL OF PHILEX MINING CORPORATION</t>
  </si>
  <si>
    <t>w/ Immunology / Serology - Specific Antigen Test; Diagnostic X-ray (Level 1); Pharmacy: 1 Unit-Type I Ambulance</t>
  </si>
  <si>
    <t>Dr. Mariele L. Ventenilla</t>
  </si>
  <si>
    <t>mlventenilla@philexmining.com.ph</t>
  </si>
  <si>
    <t>1/Type 1/CAC 8450</t>
  </si>
  <si>
    <t>14-0002-26-I-2</t>
  </si>
  <si>
    <t>Tublay</t>
  </si>
  <si>
    <t>Acop, Tublay</t>
  </si>
  <si>
    <t>DIVINE PROVIDENCE INFIRMARY AND DIAGNOSTICS CENTER</t>
  </si>
  <si>
    <t xml:space="preserve">Clinical Laboratory
Clinical Chemistry: Special— HbA1c (Finecare)
Immunology/Serology: Special— TSH, fT4, PSA (Finecare)
Diagnostic X-ray Services (Level 2) </t>
  </si>
  <si>
    <t>Dr. Arlene Mae Bayubay</t>
  </si>
  <si>
    <t>DPIDDCacop71618@gmail.com</t>
  </si>
  <si>
    <t>Cordillera Hospital of the Divine Grace</t>
  </si>
  <si>
    <t>14-0031-26-I-2</t>
  </si>
  <si>
    <t>Banaue</t>
  </si>
  <si>
    <t>Ilogue, Tam-an</t>
  </si>
  <si>
    <t>GOOD NEWS CLINIC AND HOSPITAL</t>
  </si>
  <si>
    <t>Clinical Laboratory, 
Immunology / Serology: Special -  PSA, TSH, fT3, fT4  (Finecare),
Clinical Chemistry: Special - HbA1c (Finecare),
Diagnostic X-ray Services (Level 2), Pharmacy</t>
  </si>
  <si>
    <t>gnchbanaue@gmail.com</t>
  </si>
  <si>
    <t>12-0021-26-I-2</t>
  </si>
  <si>
    <t>Lamut</t>
  </si>
  <si>
    <t>Poblacion West</t>
  </si>
  <si>
    <t>DR. TOMAS SR AND MARIA QUILANG MEDICAL AND MATERNITY CLINIC</t>
  </si>
  <si>
    <t>Clinical Laboratory, Special Chemistry (HbA1c), Tumor Markers(PSA), Thyroid Function (T3, T4, TSH)</t>
  </si>
  <si>
    <t>Dr. Vilma Quilang- Dela Cruz</t>
  </si>
  <si>
    <t>dtsmqmmc1@gmail.com</t>
  </si>
  <si>
    <t>Panopdopan District Hospital</t>
  </si>
  <si>
    <t>14-0015-26-I-2</t>
  </si>
  <si>
    <t>Mabini, Tabuk City</t>
  </si>
  <si>
    <t>ST. JUDE'S MULTISPECIALTY HOSPITAL INC.</t>
  </si>
  <si>
    <t>Clinical Laboratory, Pharmacy, Diagnostic X-ray Services), Clinical Chemistry, Immunology/Serology; Clinical chemistry: Special; Diagnostic X-ray Services (Level 1); Pharmacy</t>
  </si>
  <si>
    <t>Dr. Lilian B. Gacuya</t>
  </si>
  <si>
    <t>09178057180 / 
09171039985</t>
  </si>
  <si>
    <t>saintjudesmultispecialty13@gmail.com</t>
  </si>
  <si>
    <t>Almora General Hospital</t>
  </si>
  <si>
    <t>14-0022-26-I-2</t>
  </si>
  <si>
    <t>Lamitan City</t>
  </si>
  <si>
    <t>Brgy. Maganda</t>
  </si>
  <si>
    <t>DR. JOSE MARIA TORRES MEMORIAL HOSPITAL, INC.</t>
  </si>
  <si>
    <t>Vivien A. Legaspi, MD</t>
  </si>
  <si>
    <t>0917-326-4476</t>
  </si>
  <si>
    <t>torreshospital21@gmail.com
  dr.torreshospital24@gmail.com</t>
  </si>
  <si>
    <t>1, Type 1, 
Plate No. JAJ 9469</t>
  </si>
  <si>
    <t>15-0215-26-I-2</t>
  </si>
  <si>
    <t>Add-ons in 2025: Ambulance and X-ray
Add-on Pharmacy
COH: From VIVIEN A. LEGASPI, MD to SALVACION T. TAN, MD</t>
  </si>
  <si>
    <t>Malabang</t>
  </si>
  <si>
    <t>Matalin</t>
  </si>
  <si>
    <t>RALPH EDMUND SPENCER FOUNDATION INC. HOSPITAL</t>
  </si>
  <si>
    <t>Diagnostic X-Ray (Primary)
Pharmacy</t>
  </si>
  <si>
    <t>Romeo P. Castillo, md</t>
  </si>
  <si>
    <t>0953-825-4860</t>
  </si>
  <si>
    <t>resfihosp.edmund@gmail.com</t>
  </si>
  <si>
    <t>2, Type 1, 
Plate No. KAR 3244
Plate No. 092010</t>
  </si>
  <si>
    <t>15-0128-26-I-2</t>
  </si>
  <si>
    <t>Baguindali</t>
  </si>
  <si>
    <t>HIJRAH INFIRMARY</t>
  </si>
  <si>
    <t>Amer A. Saber, MD</t>
  </si>
  <si>
    <t>0917-718-5432</t>
  </si>
  <si>
    <t>drsohaira@yahoo.com</t>
  </si>
  <si>
    <t>DR. ABDULLAH HOSPITAL</t>
  </si>
  <si>
    <t>15-0169-26-I-2</t>
  </si>
  <si>
    <t>Basak Malutlut</t>
  </si>
  <si>
    <t>MARAWI MIDTOWN INFIRMARY</t>
  </si>
  <si>
    <t>Luz A. Saber, MD</t>
  </si>
  <si>
    <t>0955-930-2852</t>
  </si>
  <si>
    <t>buadiheart@gmail.com</t>
  </si>
  <si>
    <t>15-0069-26-I-2</t>
  </si>
  <si>
    <t>07 Omar Dianalan St. Lilod Saduc</t>
  </si>
  <si>
    <t>RANAO DOCTORS INFIRMARY</t>
  </si>
  <si>
    <t>Mashiding M. Lomandong, MD, MHA, MHM</t>
  </si>
  <si>
    <t>0917-203-6490</t>
  </si>
  <si>
    <t>ranaodoctorsinfirmary@gmail.com</t>
  </si>
  <si>
    <t>TAMPARAN DISTRICT HOSPITAL</t>
  </si>
  <si>
    <t>15-0102-26-I-2</t>
  </si>
  <si>
    <t>Panggao Saduc</t>
  </si>
  <si>
    <t>RANAO FAMILY MEDICAL CLINIC</t>
  </si>
  <si>
    <t>Muslimah R. Masorong, MD</t>
  </si>
  <si>
    <t>0917-2734-706</t>
  </si>
  <si>
    <t>muslimah_masorong@yahoo.com</t>
  </si>
  <si>
    <t>MINDALANO SPECIALIST HOSPITAL FOUNDATION INC.</t>
  </si>
  <si>
    <t>15-0010-26-I-2</t>
  </si>
  <si>
    <t>Maguindanao</t>
  </si>
  <si>
    <t>Cotabato City</t>
  </si>
  <si>
    <t>Tamontaka</t>
  </si>
  <si>
    <t>EROS MEDICAL CLINIC</t>
  </si>
  <si>
    <t>Aileen K. Abdul-Sangkigay, MD</t>
  </si>
  <si>
    <t>0945-127-5666</t>
  </si>
  <si>
    <t>erosmccot19@gmail.com</t>
  </si>
  <si>
    <t>15-0062-26-I-2</t>
  </si>
  <si>
    <t>Maguindao del Sur</t>
  </si>
  <si>
    <t>Buluan</t>
  </si>
  <si>
    <t>Sampaguita St.</t>
  </si>
  <si>
    <t>MAGRIÑA CLINIC  AND HOSPITAL</t>
  </si>
  <si>
    <t>Emmanuel E. Magriňa, MD</t>
  </si>
  <si>
    <t>0915-344-0529</t>
  </si>
  <si>
    <t>joymagrina703@gmail.com</t>
  </si>
  <si>
    <t>BULUAN DISTRICT HOSPITAL</t>
  </si>
  <si>
    <t>15-0094-26-I-2</t>
  </si>
  <si>
    <t>MANANGAN CLINIC AND HOSPITAL</t>
  </si>
  <si>
    <t>0915-582-4455</t>
  </si>
  <si>
    <t>serg_manangan@yahoo.com</t>
  </si>
  <si>
    <t>15-0235-26-I-2</t>
  </si>
  <si>
    <t>LATE RENEWAL</t>
  </si>
  <si>
    <t>Datu Piang</t>
  </si>
  <si>
    <t>ABPI-SAMAMA  MEDICAL LYING CLINIC AND HOSPITAL</t>
  </si>
  <si>
    <t>Sittie Rizza A. Samama-Salendab, MD</t>
  </si>
  <si>
    <t>0955-502-1330</t>
  </si>
  <si>
    <t>abpisamama@gmail.com</t>
  </si>
  <si>
    <t>MAGUINDANAO PROVINCIAL HOSPITAL</t>
  </si>
  <si>
    <t>15-0063-26-I-2</t>
  </si>
  <si>
    <t>Primary X-ray</t>
  </si>
  <si>
    <t>Datu Saudi-Ampatuan</t>
  </si>
  <si>
    <t>Brgy. Kitango</t>
  </si>
  <si>
    <t>DR. G AKAS HOSPITAL, INC.</t>
  </si>
  <si>
    <t>Guiahod M. Akas, MD</t>
  </si>
  <si>
    <t>0918-297-5465 
 0997-610-4587</t>
  </si>
  <si>
    <t>drgakashospitalinc@gmail.com</t>
  </si>
  <si>
    <t>15-0035-26-I-2</t>
  </si>
  <si>
    <t>10 ABC to 20 ABC</t>
  </si>
  <si>
    <t>Sultan sa Barongis</t>
  </si>
  <si>
    <t>Bulod</t>
  </si>
  <si>
    <t>ROHANNA BIRTHING LYING-IN CLINIC AND HOSPITAL</t>
  </si>
  <si>
    <t>Rogelio S. Genetiano, jr., MD</t>
  </si>
  <si>
    <t>0917-638-4142</t>
  </si>
  <si>
    <t>rblcrohanna@gmail.com</t>
  </si>
  <si>
    <t>QUIJANO CLINIC AND HOSPITAL INCORPORATION</t>
  </si>
  <si>
    <t>15-0015-26-I-2</t>
  </si>
  <si>
    <t>FROM 12 ABC TO 28 ABC</t>
  </si>
  <si>
    <t>Talayan</t>
  </si>
  <si>
    <t>Poblacion Talayan</t>
  </si>
  <si>
    <t>JHALILNOR HOSPITAL</t>
  </si>
  <si>
    <t>Princess Daulah I. Bedol, MD</t>
  </si>
  <si>
    <t>0916-395-3186</t>
  </si>
  <si>
    <t>Jhalilnorhospital2024@gmail.com</t>
  </si>
  <si>
    <t>15-0055-26-I-2</t>
  </si>
  <si>
    <t>Bongao</t>
  </si>
  <si>
    <t>Lacqurre St., Poblacion Bongao</t>
  </si>
  <si>
    <t>HOLY FAMILY HOSPITAL</t>
  </si>
  <si>
    <t>George R. Lee, MD</t>
  </si>
  <si>
    <t>0963-929-7253</t>
  </si>
  <si>
    <t>hfh.avj@gmail.com</t>
  </si>
  <si>
    <t>1, Type 1, Plate No. SND 1040, CS No. F6 A101</t>
  </si>
  <si>
    <t>No. of Regulated Infirmaries Per Region and by Level  
Initial and Renewal</t>
  </si>
  <si>
    <t>Infirmary</t>
  </si>
  <si>
    <t>Clinical Lab - Hospital</t>
  </si>
  <si>
    <t>Cancer Treatment Facility - Hospital</t>
  </si>
  <si>
    <t>Status</t>
  </si>
  <si>
    <t>Dental Lab</t>
  </si>
  <si>
    <t>Psychiatrict Care</t>
  </si>
  <si>
    <t>LDWA</t>
  </si>
  <si>
    <t>AD-ONS SERVICES</t>
  </si>
  <si>
    <t>BSF</t>
  </si>
  <si>
    <t>Service Capability</t>
  </si>
  <si>
    <t>Cancer Treatment Unit</t>
  </si>
  <si>
    <t>New</t>
  </si>
  <si>
    <t>FIXED</t>
  </si>
  <si>
    <t>Custodial Psychiatric Care Facility</t>
  </si>
  <si>
    <t>Microbiological</t>
  </si>
  <si>
    <t>Aborlan</t>
  </si>
  <si>
    <t>General</t>
  </si>
  <si>
    <t>Level 1</t>
  </si>
  <si>
    <t>G6PD Confirmatory</t>
  </si>
  <si>
    <t>Hospital-based</t>
  </si>
  <si>
    <t>Blood Station</t>
  </si>
  <si>
    <t>Tertiary</t>
  </si>
  <si>
    <t>Cancer Center</t>
  </si>
  <si>
    <t>REMOVABLE</t>
  </si>
  <si>
    <t>Acute Chronic Psychiatric Facility</t>
  </si>
  <si>
    <t>Physico-Chemical</t>
  </si>
  <si>
    <t>Specialty</t>
  </si>
  <si>
    <t>Level 2</t>
  </si>
  <si>
    <t>rHIVda Confirmatory Laboratory</t>
  </si>
  <si>
    <t>Non-Hospital-based</t>
  </si>
  <si>
    <t>Blood Collection Unit</t>
  </si>
  <si>
    <t>Molecular Lab</t>
  </si>
  <si>
    <t>Cancer Specialty Hospital</t>
  </si>
  <si>
    <t>Microbiological and Physico-Chemical</t>
  </si>
  <si>
    <t>Abucay</t>
  </si>
  <si>
    <t>Level 3</t>
  </si>
  <si>
    <t>Dialysis Clinic</t>
  </si>
  <si>
    <t>Blood Collection Unit/Blood Services</t>
  </si>
  <si>
    <t>GOCC</t>
  </si>
  <si>
    <t>Diagnostic X-ray Services</t>
  </si>
  <si>
    <t>Blood Bank</t>
  </si>
  <si>
    <t>Limited</t>
  </si>
  <si>
    <t>Abuyog</t>
  </si>
  <si>
    <t>HIV Testing Laboratory</t>
  </si>
  <si>
    <t>Blood Bank with additional function</t>
  </si>
  <si>
    <t>Adams</t>
  </si>
  <si>
    <t>Blood Center</t>
  </si>
  <si>
    <t>Institutional Character</t>
  </si>
  <si>
    <t>Agdangan</t>
  </si>
  <si>
    <t>Institution-based</t>
  </si>
  <si>
    <t>Specialized Diagnostic X-ray Services</t>
  </si>
  <si>
    <t>Non-Institution based</t>
  </si>
  <si>
    <t>Agno</t>
  </si>
  <si>
    <t>Tertiary Laboratory w/ histopathology</t>
  </si>
  <si>
    <t>Agoncillo</t>
  </si>
  <si>
    <t>Anatomic Pathology</t>
  </si>
  <si>
    <t>Dental X-ray Services</t>
  </si>
  <si>
    <t>Function</t>
  </si>
  <si>
    <t>Aguilar</t>
  </si>
  <si>
    <t>Ambulatory Surgical Clinic</t>
  </si>
  <si>
    <t>CP - Clinical Pathology</t>
  </si>
  <si>
    <t>SOUTHERN MINDANAO REGION</t>
  </si>
  <si>
    <t>AP - Anatomic Pathology</t>
  </si>
  <si>
    <t>Agutaya</t>
  </si>
  <si>
    <t>Cancer Treatment Facility</t>
  </si>
  <si>
    <t>CP-AP</t>
  </si>
  <si>
    <t>Biliran</t>
  </si>
  <si>
    <t>Ajuy</t>
  </si>
  <si>
    <t>Laboratory for Drinking Water Analysis</t>
  </si>
  <si>
    <t>CP With Associate AP</t>
  </si>
  <si>
    <t>Akbar</t>
  </si>
  <si>
    <t>Radiation Therapy Service</t>
  </si>
  <si>
    <t>MP - Molecular Pathology</t>
  </si>
  <si>
    <t>Al-Barka</t>
  </si>
  <si>
    <t>Radiation Oncology Services</t>
  </si>
  <si>
    <t>Ala Esperanza</t>
  </si>
  <si>
    <t>Alabat</t>
  </si>
  <si>
    <t>Mobile Clinical Laboratory</t>
  </si>
  <si>
    <t>Alabel</t>
  </si>
  <si>
    <t>Psychiatric Care</t>
  </si>
  <si>
    <t>Alaminos</t>
  </si>
  <si>
    <t>Camiguin</t>
  </si>
  <si>
    <t>Alaminos City</t>
  </si>
  <si>
    <t>Albuera</t>
  </si>
  <si>
    <t>Alburquerque</t>
  </si>
  <si>
    <t>Cotabato</t>
  </si>
  <si>
    <t>Alcantara</t>
  </si>
  <si>
    <t>Dagupan City</t>
  </si>
  <si>
    <t>Alcoy</t>
  </si>
  <si>
    <t>Daraga</t>
  </si>
  <si>
    <t>Alegria</t>
  </si>
  <si>
    <t>Aleosan</t>
  </si>
  <si>
    <t>Alfonso</t>
  </si>
  <si>
    <t>Alfonso Lista</t>
  </si>
  <si>
    <t>Aliaga</t>
  </si>
  <si>
    <t>Alilem</t>
  </si>
  <si>
    <t>Alimodian</t>
  </si>
  <si>
    <t>Alitagtag</t>
  </si>
  <si>
    <t>General Trias</t>
  </si>
  <si>
    <t>Allacapan</t>
  </si>
  <si>
    <t>Allen</t>
  </si>
  <si>
    <t>Almagro</t>
  </si>
  <si>
    <t>Almeria</t>
  </si>
  <si>
    <t>Aloguinsan</t>
  </si>
  <si>
    <t>Kidapawan</t>
  </si>
  <si>
    <t>Amadeo</t>
  </si>
  <si>
    <t>Koronadal City</t>
  </si>
  <si>
    <t>Amai Manabilang</t>
  </si>
  <si>
    <t>Ambaguio</t>
  </si>
  <si>
    <t>Amlan</t>
  </si>
  <si>
    <t>Ampatuan</t>
  </si>
  <si>
    <t>Amulung</t>
  </si>
  <si>
    <t>Anahawan</t>
  </si>
  <si>
    <t>Anao</t>
  </si>
  <si>
    <t>Angat</t>
  </si>
  <si>
    <t>Angono</t>
  </si>
  <si>
    <t>Anilao</t>
  </si>
  <si>
    <t>Anini-y</t>
  </si>
  <si>
    <t>Antequera</t>
  </si>
  <si>
    <t>Naga</t>
  </si>
  <si>
    <t>Apalit</t>
  </si>
  <si>
    <t>Aparri</t>
  </si>
  <si>
    <t>Araceli</t>
  </si>
  <si>
    <t>Arakan</t>
  </si>
  <si>
    <t>Arayat</t>
  </si>
  <si>
    <t>Aringay</t>
  </si>
  <si>
    <t>Asingan</t>
  </si>
  <si>
    <t>Proseperidad</t>
  </si>
  <si>
    <t>Asipulo</t>
  </si>
  <si>
    <t>Asuncion</t>
  </si>
  <si>
    <t>Atimonan</t>
  </si>
  <si>
    <t>Atok</t>
  </si>
  <si>
    <t>Ayungon</t>
  </si>
  <si>
    <t>Baao</t>
  </si>
  <si>
    <t>Babatngon</t>
  </si>
  <si>
    <t>Bacarra</t>
  </si>
  <si>
    <t>Baclayon</t>
  </si>
  <si>
    <t>Bacnotan</t>
  </si>
  <si>
    <t>Baco</t>
  </si>
  <si>
    <t>Bacolod City</t>
  </si>
  <si>
    <t>Tacloban City</t>
  </si>
  <si>
    <t>Bacolod-Kalawi</t>
  </si>
  <si>
    <t>Bacolor</t>
  </si>
  <si>
    <t>Bacong</t>
  </si>
  <si>
    <t>Ubay</t>
  </si>
  <si>
    <t>Bacoor City</t>
  </si>
  <si>
    <t>Bacuag</t>
  </si>
  <si>
    <t>Badiangan</t>
  </si>
  <si>
    <t>Badoc</t>
  </si>
  <si>
    <t>Bagabag</t>
  </si>
  <si>
    <t>Bagamanoc</t>
  </si>
  <si>
    <t>Bago City</t>
  </si>
  <si>
    <t>Bagulin</t>
  </si>
  <si>
    <t>Bais City</t>
  </si>
  <si>
    <t>Bakun</t>
  </si>
  <si>
    <t>Balabagan</t>
  </si>
  <si>
    <t>Balamban</t>
  </si>
  <si>
    <t>Balanga City</t>
  </si>
  <si>
    <t>Balangkayan</t>
  </si>
  <si>
    <t>Balaoan</t>
  </si>
  <si>
    <t>Balasan</t>
  </si>
  <si>
    <t>Balatan</t>
  </si>
  <si>
    <t>Balayan</t>
  </si>
  <si>
    <t>Baleno</t>
  </si>
  <si>
    <t>Baler</t>
  </si>
  <si>
    <t>Balete</t>
  </si>
  <si>
    <t>Baliangao</t>
  </si>
  <si>
    <t>Baliguian</t>
  </si>
  <si>
    <t>Balilihan</t>
  </si>
  <si>
    <t>Balindong</t>
  </si>
  <si>
    <t>Balingoan</t>
  </si>
  <si>
    <t>Baliuag</t>
  </si>
  <si>
    <t>Ballesteros</t>
  </si>
  <si>
    <t>Bamban</t>
  </si>
  <si>
    <t>Bambang</t>
  </si>
  <si>
    <t>Banate</t>
  </si>
  <si>
    <t>Banaybanay</t>
  </si>
  <si>
    <t>Banayoyo</t>
  </si>
  <si>
    <t>Bangar</t>
  </si>
  <si>
    <t>Bangui</t>
  </si>
  <si>
    <t>Banguingui</t>
  </si>
  <si>
    <t>Bani</t>
  </si>
  <si>
    <t>Banisilan</t>
  </si>
  <si>
    <t>Banna</t>
  </si>
  <si>
    <t>Bansalan</t>
  </si>
  <si>
    <t>Bansud</t>
  </si>
  <si>
    <t>Bantay</t>
  </si>
  <si>
    <t>Bantayan</t>
  </si>
  <si>
    <t>Banton</t>
  </si>
  <si>
    <t>Baras</t>
  </si>
  <si>
    <t>Barcelona</t>
  </si>
  <si>
    <t>Barira</t>
  </si>
  <si>
    <t>Barobo</t>
  </si>
  <si>
    <t>Barotac Nuevo</t>
  </si>
  <si>
    <t>Barotac Viejo</t>
  </si>
  <si>
    <t>Baroy</t>
  </si>
  <si>
    <t>Basay</t>
  </si>
  <si>
    <t>Basco</t>
  </si>
  <si>
    <t>Basey</t>
  </si>
  <si>
    <t>Basilisa</t>
  </si>
  <si>
    <t>Basista</t>
  </si>
  <si>
    <t>Basud</t>
  </si>
  <si>
    <t>Batad</t>
  </si>
  <si>
    <t>Batan</t>
  </si>
  <si>
    <t>Batangas City</t>
  </si>
  <si>
    <t>Bataraza</t>
  </si>
  <si>
    <t>Batuan</t>
  </si>
  <si>
    <t>Bauan</t>
  </si>
  <si>
    <t>Bauang</t>
  </si>
  <si>
    <t>Bauko</t>
  </si>
  <si>
    <t>Baungon</t>
  </si>
  <si>
    <t>Bautista</t>
  </si>
  <si>
    <t>Bay</t>
  </si>
  <si>
    <t>Bayabas</t>
  </si>
  <si>
    <t>Bayambang</t>
  </si>
  <si>
    <t>Bayang</t>
  </si>
  <si>
    <t>Bayog</t>
  </si>
  <si>
    <t>Bayombong</t>
  </si>
  <si>
    <t>Belison</t>
  </si>
  <si>
    <t>Benito Soliven</t>
  </si>
  <si>
    <t>Besao</t>
  </si>
  <si>
    <t>Bien Unido</t>
  </si>
  <si>
    <t>Bilar</t>
  </si>
  <si>
    <t>Biñan City</t>
  </si>
  <si>
    <t>Bindoy</t>
  </si>
  <si>
    <t>Bingawan</t>
  </si>
  <si>
    <t>Binidayan</t>
  </si>
  <si>
    <t>Binmaley</t>
  </si>
  <si>
    <t>Binuangan</t>
  </si>
  <si>
    <t>Boac</t>
  </si>
  <si>
    <t>Bobon</t>
  </si>
  <si>
    <t>Bocaue</t>
  </si>
  <si>
    <t>Bogo City</t>
  </si>
  <si>
    <t>Bokod</t>
  </si>
  <si>
    <t>Boliney</t>
  </si>
  <si>
    <t>Boljoon</t>
  </si>
  <si>
    <t>Bombon</t>
  </si>
  <si>
    <t>Bongabon</t>
  </si>
  <si>
    <t>Bonifacio</t>
  </si>
  <si>
    <t>Bontoc</t>
  </si>
  <si>
    <t>Borbon</t>
  </si>
  <si>
    <t>Borongan City</t>
  </si>
  <si>
    <t>Boston</t>
  </si>
  <si>
    <t>Braulio E. Dujali</t>
  </si>
  <si>
    <t>Brooke's Point</t>
  </si>
  <si>
    <t>Buadiposo-Buntong</t>
  </si>
  <si>
    <t>Bubong</t>
  </si>
  <si>
    <t>Bucloc</t>
  </si>
  <si>
    <t>Bugallon</t>
  </si>
  <si>
    <t>Buguey</t>
  </si>
  <si>
    <t>Buguias</t>
  </si>
  <si>
    <t>Buhi</t>
  </si>
  <si>
    <t>Bula</t>
  </si>
  <si>
    <t>Buldon</t>
  </si>
  <si>
    <t>Bulusan</t>
  </si>
  <si>
    <t>Burauen</t>
  </si>
  <si>
    <t>Burdeos</t>
  </si>
  <si>
    <t>Burgos</t>
  </si>
  <si>
    <t>Busuanga</t>
  </si>
  <si>
    <t>Butig</t>
  </si>
  <si>
    <t>Caba</t>
  </si>
  <si>
    <t>Cabagan</t>
  </si>
  <si>
    <t>Cabanatuan City</t>
  </si>
  <si>
    <t>Cabangan</t>
  </si>
  <si>
    <t>Cabanglasan</t>
  </si>
  <si>
    <t>Cabarroguis</t>
  </si>
  <si>
    <t>Cabatuan</t>
  </si>
  <si>
    <t>Cabiao</t>
  </si>
  <si>
    <t>Cabid-an</t>
  </si>
  <si>
    <t>Cabucgayan</t>
  </si>
  <si>
    <t>Cabugao</t>
  </si>
  <si>
    <t>Cabusao</t>
  </si>
  <si>
    <t>Cabuyao City</t>
  </si>
  <si>
    <t>Cadiz City</t>
  </si>
  <si>
    <t>Cagayancillo</t>
  </si>
  <si>
    <t>Cagdianao</t>
  </si>
  <si>
    <t>Cagwait</t>
  </si>
  <si>
    <t>Caibiran</t>
  </si>
  <si>
    <t>Cainta</t>
  </si>
  <si>
    <t>Calabanga</t>
  </si>
  <si>
    <t>Calaca</t>
  </si>
  <si>
    <t>Calanogas</t>
  </si>
  <si>
    <t>Calapan City</t>
  </si>
  <si>
    <t>Calasiao</t>
  </si>
  <si>
    <t>Calauan</t>
  </si>
  <si>
    <t>Calbayog City</t>
  </si>
  <si>
    <t>Calbiga</t>
  </si>
  <si>
    <t>Calinog</t>
  </si>
  <si>
    <t>Calintaan</t>
  </si>
  <si>
    <t>Calumpit</t>
  </si>
  <si>
    <t>Caluya</t>
  </si>
  <si>
    <t>Camalaniugan</t>
  </si>
  <si>
    <t>Camalig</t>
  </si>
  <si>
    <t>Camaligan</t>
  </si>
  <si>
    <t>Canaman</t>
  </si>
  <si>
    <t>Candelaria</t>
  </si>
  <si>
    <t>Candon City</t>
  </si>
  <si>
    <t>Candoni</t>
  </si>
  <si>
    <t>Capoocan</t>
  </si>
  <si>
    <t>Caraga</t>
  </si>
  <si>
    <t>Carasi</t>
  </si>
  <si>
    <t>Carigara</t>
  </si>
  <si>
    <t>Carles</t>
  </si>
  <si>
    <t>Castilla</t>
  </si>
  <si>
    <t>Castillejos</t>
  </si>
  <si>
    <t>Cataingan</t>
  </si>
  <si>
    <t>Catanauan</t>
  </si>
  <si>
    <t>Catarman</t>
  </si>
  <si>
    <t>Catigbian</t>
  </si>
  <si>
    <t>Catmon</t>
  </si>
  <si>
    <t>Cavinti</t>
  </si>
  <si>
    <t>Cervantes</t>
  </si>
  <si>
    <t>City of Bago</t>
  </si>
  <si>
    <t>City of Cadiz</t>
  </si>
  <si>
    <t>City of Himamaylan</t>
  </si>
  <si>
    <t>City of Iloilo</t>
  </si>
  <si>
    <t>City of La Carlota</t>
  </si>
  <si>
    <t>City of Passi</t>
  </si>
  <si>
    <t>City of Silay</t>
  </si>
  <si>
    <t>Claver</t>
  </si>
  <si>
    <t>Conner</t>
  </si>
  <si>
    <t>Consolacion</t>
  </si>
  <si>
    <t>Cordon</t>
  </si>
  <si>
    <t>Cordova</t>
  </si>
  <si>
    <t>Corella</t>
  </si>
  <si>
    <t>Coron</t>
  </si>
  <si>
    <t>Cuartero</t>
  </si>
  <si>
    <t>Cuenca</t>
  </si>
  <si>
    <t>Culaba</t>
  </si>
  <si>
    <t>Culasi</t>
  </si>
  <si>
    <t>Culion</t>
  </si>
  <si>
    <t>Currimao</t>
  </si>
  <si>
    <t>Daet</t>
  </si>
  <si>
    <t>Dagami</t>
  </si>
  <si>
    <t>Dagohoy</t>
  </si>
  <si>
    <t>Daguioman</t>
  </si>
  <si>
    <t>Damulog</t>
  </si>
  <si>
    <t>Dangcagan</t>
  </si>
  <si>
    <t>Danglas</t>
  </si>
  <si>
    <t>Dao</t>
  </si>
  <si>
    <t>Dapa</t>
  </si>
  <si>
    <t>Dapitan City</t>
  </si>
  <si>
    <t>Daram</t>
  </si>
  <si>
    <t>Dasol</t>
  </si>
  <si>
    <t>Datu Abdullah Sangki</t>
  </si>
  <si>
    <t>Datu Anggal Midtimbang</t>
  </si>
  <si>
    <t>Datu Blah T. Sinsuat</t>
  </si>
  <si>
    <t>Datu Hoffer Ampatuan</t>
  </si>
  <si>
    <t>Datu Montawal</t>
  </si>
  <si>
    <t>Datu Paglas</t>
  </si>
  <si>
    <t>Datu Salibo</t>
  </si>
  <si>
    <t>Datu Unsay</t>
  </si>
  <si>
    <t>Dauin</t>
  </si>
  <si>
    <t>Dauis</t>
  </si>
  <si>
    <t>Del Carmen</t>
  </si>
  <si>
    <t>Del Gallego</t>
  </si>
  <si>
    <t>Dilasag</t>
  </si>
  <si>
    <t>Dimataling</t>
  </si>
  <si>
    <t>Dinalungan</t>
  </si>
  <si>
    <t>Dingle</t>
  </si>
  <si>
    <t>Dipaculao</t>
  </si>
  <si>
    <t>Dipolog City</t>
  </si>
  <si>
    <t>Ditsaan-Ramain</t>
  </si>
  <si>
    <t>Divilacan</t>
  </si>
  <si>
    <t>Don Carlos</t>
  </si>
  <si>
    <t>Don Marcelino</t>
  </si>
  <si>
    <t>Don Victoriano Chiongbian</t>
  </si>
  <si>
    <t>Doña Remedios Trinidad</t>
  </si>
  <si>
    <t>Donsol</t>
  </si>
  <si>
    <t>Dueñas</t>
  </si>
  <si>
    <t>Duero</t>
  </si>
  <si>
    <t>Dulag</t>
  </si>
  <si>
    <t>Dumaguete City</t>
  </si>
  <si>
    <t>Dumalag</t>
  </si>
  <si>
    <t>Dumalinao</t>
  </si>
  <si>
    <t>Dumalneg</t>
  </si>
  <si>
    <t>Dumangas</t>
  </si>
  <si>
    <t>Dumanjug</t>
  </si>
  <si>
    <t>Dumarao</t>
  </si>
  <si>
    <t>Dumingag</t>
  </si>
  <si>
    <t>Dupax del Norte</t>
  </si>
  <si>
    <t>Dupax del Sur</t>
  </si>
  <si>
    <t>Echague</t>
  </si>
  <si>
    <t>El Salvador City</t>
  </si>
  <si>
    <t>Enrile</t>
  </si>
  <si>
    <t>Enrique B. Magalona</t>
  </si>
  <si>
    <t>Enrique Villanueva</t>
  </si>
  <si>
    <t>Escalante City</t>
  </si>
  <si>
    <t>Estancia</t>
  </si>
  <si>
    <t>Famy</t>
  </si>
  <si>
    <t>Ferrol</t>
  </si>
  <si>
    <t>Floridablanca</t>
  </si>
  <si>
    <t>Gainza</t>
  </si>
  <si>
    <t>Galimuyod</t>
  </si>
  <si>
    <t>Ganassi</t>
  </si>
  <si>
    <t>Gapan City</t>
  </si>
  <si>
    <t>Garcia Hernandez</t>
  </si>
  <si>
    <t>Gasan</t>
  </si>
  <si>
    <t>General Emilio Aguinaldo</t>
  </si>
  <si>
    <t>General Luna</t>
  </si>
  <si>
    <t>General Mamerto Natividad</t>
  </si>
  <si>
    <t>General Nakar</t>
  </si>
  <si>
    <t>General Salipada K. Pendatun</t>
  </si>
  <si>
    <t>Gerona</t>
  </si>
  <si>
    <t>Getafe</t>
  </si>
  <si>
    <t>Gigaquit</t>
  </si>
  <si>
    <t>Ginatilan</t>
  </si>
  <si>
    <t>Gingoog City</t>
  </si>
  <si>
    <t>Giporlos</t>
  </si>
  <si>
    <t>Gitagum</t>
  </si>
  <si>
    <t>Glan</t>
  </si>
  <si>
    <t>Gloria</t>
  </si>
  <si>
    <t>Godod</t>
  </si>
  <si>
    <t>Gonzaga</t>
  </si>
  <si>
    <t>Governor Generoso</t>
  </si>
  <si>
    <t>Gregorio del Pilar</t>
  </si>
  <si>
    <t>Guagua</t>
  </si>
  <si>
    <t>Gubat</t>
  </si>
  <si>
    <t>Guihulngan City</t>
  </si>
  <si>
    <t>Guimbal</t>
  </si>
  <si>
    <t>Guinayangan</t>
  </si>
  <si>
    <t>Guindulman</t>
  </si>
  <si>
    <t>Guindulungan</t>
  </si>
  <si>
    <t>Guinsiliban</t>
  </si>
  <si>
    <t>Guipos</t>
  </si>
  <si>
    <t>Guiuan</t>
  </si>
  <si>
    <t>Gumaca</t>
  </si>
  <si>
    <t>Gutalac</t>
  </si>
  <si>
    <t>Hadji Mohammad Ajul</t>
  </si>
  <si>
    <t>Hadji Muhtamad</t>
  </si>
  <si>
    <t>Hadji Panglima Tahil</t>
  </si>
  <si>
    <t>Hamtic</t>
  </si>
  <si>
    <t>Hermosa</t>
  </si>
  <si>
    <t>Hernani</t>
  </si>
  <si>
    <t>Himamaylan City</t>
  </si>
  <si>
    <t>Hinabangan</t>
  </si>
  <si>
    <t>Hinatuan</t>
  </si>
  <si>
    <t>Hindang</t>
  </si>
  <si>
    <t>Hingyon</t>
  </si>
  <si>
    <t>Iba</t>
  </si>
  <si>
    <t>Ibaan</t>
  </si>
  <si>
    <t>Igbaras</t>
  </si>
  <si>
    <t>Iguig</t>
  </si>
  <si>
    <t>Ilog</t>
  </si>
  <si>
    <t>Impasugong</t>
  </si>
  <si>
    <t>Imus City</t>
  </si>
  <si>
    <t>Inabanga</t>
  </si>
  <si>
    <t>Indanan</t>
  </si>
  <si>
    <t>Indang</t>
  </si>
  <si>
    <t>Infanta</t>
  </si>
  <si>
    <t>Initao</t>
  </si>
  <si>
    <t>Inopacan</t>
  </si>
  <si>
    <t>Iriga City</t>
  </si>
  <si>
    <t>Isabela City</t>
  </si>
  <si>
    <t>Ivana</t>
  </si>
  <si>
    <t>Ivisan</t>
  </si>
  <si>
    <t>Jaen</t>
  </si>
  <si>
    <t>Jagna</t>
  </si>
  <si>
    <t>Janiuay</t>
  </si>
  <si>
    <t>Jaro</t>
  </si>
  <si>
    <t>Jiabong</t>
  </si>
  <si>
    <t>Jimalalud</t>
  </si>
  <si>
    <t>Jipapad</t>
  </si>
  <si>
    <t>Jomalig</t>
  </si>
  <si>
    <t>Jordan</t>
  </si>
  <si>
    <t>Jose Dalman</t>
  </si>
  <si>
    <t>Josefina</t>
  </si>
  <si>
    <t>Jovellar</t>
  </si>
  <si>
    <t>Juban</t>
  </si>
  <si>
    <t>Julita</t>
  </si>
  <si>
    <t>Kabasalan</t>
  </si>
  <si>
    <t>Kabayan</t>
  </si>
  <si>
    <t>Kabuntalan</t>
  </si>
  <si>
    <t>Kadingilan</t>
  </si>
  <si>
    <t>Kalamansig</t>
  </si>
  <si>
    <t>Kalawit</t>
  </si>
  <si>
    <t>Kalayaan</t>
  </si>
  <si>
    <t>Kalibo</t>
  </si>
  <si>
    <t>Kalingalan Caluang</t>
  </si>
  <si>
    <t>Kapai</t>
  </si>
  <si>
    <t>Kapatagan</t>
  </si>
  <si>
    <t>Katipunan</t>
  </si>
  <si>
    <t>Kawayan</t>
  </si>
  <si>
    <t>Kayapa</t>
  </si>
  <si>
    <t>Kiangan</t>
  </si>
  <si>
    <t>Kibawe</t>
  </si>
  <si>
    <t>Kibungan</t>
  </si>
  <si>
    <t>Kinoguitan</t>
  </si>
  <si>
    <t>Kitaotao</t>
  </si>
  <si>
    <t>Kolambugan</t>
  </si>
  <si>
    <t>Kumalarang</t>
  </si>
  <si>
    <t>La Carlota City</t>
  </si>
  <si>
    <t>La Castellana</t>
  </si>
  <si>
    <t>Laak</t>
  </si>
  <si>
    <t>Lacub</t>
  </si>
  <si>
    <t>Lagangilang</t>
  </si>
  <si>
    <t>Lagawe</t>
  </si>
  <si>
    <t>Lagayan</t>
  </si>
  <si>
    <t>Lagonglong</t>
  </si>
  <si>
    <t>Lagonoy</t>
  </si>
  <si>
    <t>Laguindingan</t>
  </si>
  <si>
    <t>Lal-lo</t>
  </si>
  <si>
    <t>Lala</t>
  </si>
  <si>
    <t>Lambunao</t>
  </si>
  <si>
    <t>Langiden</t>
  </si>
  <si>
    <t>Lantawan</t>
  </si>
  <si>
    <t>Lanuza</t>
  </si>
  <si>
    <t>Laoac</t>
  </si>
  <si>
    <t>Lapinig</t>
  </si>
  <si>
    <t>Lapuyan</t>
  </si>
  <si>
    <t>Larena</t>
  </si>
  <si>
    <t>Las Navas</t>
  </si>
  <si>
    <t>Lasam</t>
  </si>
  <si>
    <t>Laua-an</t>
  </si>
  <si>
    <t>Laur</t>
  </si>
  <si>
    <t>Laurel</t>
  </si>
  <si>
    <t>Lavezares</t>
  </si>
  <si>
    <t>Lawaan</t>
  </si>
  <si>
    <t>Lazi</t>
  </si>
  <si>
    <t>Leganes</t>
  </si>
  <si>
    <t>Legazpi City</t>
  </si>
  <si>
    <t>Leon</t>
  </si>
  <si>
    <t>Leon B. Postigo</t>
  </si>
  <si>
    <t>Lezo</t>
  </si>
  <si>
    <t>Lian</t>
  </si>
  <si>
    <t>Lianga</t>
  </si>
  <si>
    <t>Libagon</t>
  </si>
  <si>
    <t>Libertad</t>
  </si>
  <si>
    <t>Libmanan</t>
  </si>
  <si>
    <t>Libona</t>
  </si>
  <si>
    <t>Licab</t>
  </si>
  <si>
    <t>Licuan-Baay</t>
  </si>
  <si>
    <t>Lidlidda</t>
  </si>
  <si>
    <t>Lila</t>
  </si>
  <si>
    <t>Liliw</t>
  </si>
  <si>
    <t>Limasawa</t>
  </si>
  <si>
    <t>Limay</t>
  </si>
  <si>
    <t>Linamon</t>
  </si>
  <si>
    <t>Linapacan</t>
  </si>
  <si>
    <t>Lipa City</t>
  </si>
  <si>
    <t>Llanera</t>
  </si>
  <si>
    <t>Loay</t>
  </si>
  <si>
    <t>Lobo</t>
  </si>
  <si>
    <t>Loboc</t>
  </si>
  <si>
    <t>Lope de Vega</t>
  </si>
  <si>
    <t>Lopez</t>
  </si>
  <si>
    <t>Lopez Jaena</t>
  </si>
  <si>
    <t>Los Baños</t>
  </si>
  <si>
    <t>Luba</t>
  </si>
  <si>
    <t>Lubao</t>
  </si>
  <si>
    <t>Lucban</t>
  </si>
  <si>
    <t>Lugait</t>
  </si>
  <si>
    <t>Lugus</t>
  </si>
  <si>
    <t>Luisiana</t>
  </si>
  <si>
    <t>Lumba-Bayabao</t>
  </si>
  <si>
    <t>Lumbaca-Unayan</t>
  </si>
  <si>
    <t>Lumban</t>
  </si>
  <si>
    <t>Lumbatan</t>
  </si>
  <si>
    <t>Lumbayanague</t>
  </si>
  <si>
    <t>Luna</t>
  </si>
  <si>
    <t>Lupao</t>
  </si>
  <si>
    <t>Lupi</t>
  </si>
  <si>
    <t>Lutayan</t>
  </si>
  <si>
    <t>Luuk</t>
  </si>
  <si>
    <t>M'lang</t>
  </si>
  <si>
    <t>Ma-ayon</t>
  </si>
  <si>
    <t>Maasin City</t>
  </si>
  <si>
    <t>Mabalacat City</t>
  </si>
  <si>
    <t>Mabini</t>
  </si>
  <si>
    <t>Mabitac</t>
  </si>
  <si>
    <t>Mabuhay</t>
  </si>
  <si>
    <t>Macabebe</t>
  </si>
  <si>
    <t>Macabog</t>
  </si>
  <si>
    <t>Macalelon</t>
  </si>
  <si>
    <t>MacArthur</t>
  </si>
  <si>
    <t>Maconacon</t>
  </si>
  <si>
    <t>Macrohon</t>
  </si>
  <si>
    <t>Madalum</t>
  </si>
  <si>
    <t>Madamba</t>
  </si>
  <si>
    <t>Maddela</t>
  </si>
  <si>
    <t>Madrid</t>
  </si>
  <si>
    <t>Madridejos</t>
  </si>
  <si>
    <t>Magarao</t>
  </si>
  <si>
    <t>Magdalena</t>
  </si>
  <si>
    <t>Magdiwang</t>
  </si>
  <si>
    <t>Magsingal</t>
  </si>
  <si>
    <t>Maguing</t>
  </si>
  <si>
    <t>Mahaplag</t>
  </si>
  <si>
    <t>Mahatao</t>
  </si>
  <si>
    <t>Mahinog</t>
  </si>
  <si>
    <t>Maigo</t>
  </si>
  <si>
    <t>Maimbung</t>
  </si>
  <si>
    <t>Majayjay</t>
  </si>
  <si>
    <t>Makati City</t>
  </si>
  <si>
    <t>Makato</t>
  </si>
  <si>
    <t>Makilala</t>
  </si>
  <si>
    <t>Malabon City</t>
  </si>
  <si>
    <t>Malapatan</t>
  </si>
  <si>
    <t>Malibcong</t>
  </si>
  <si>
    <t>Malilipot</t>
  </si>
  <si>
    <t>Malinao</t>
  </si>
  <si>
    <t>Malinta</t>
  </si>
  <si>
    <t>Mallig</t>
  </si>
  <si>
    <t>Malungon</t>
  </si>
  <si>
    <t>Maluso</t>
  </si>
  <si>
    <t>Malvar</t>
  </si>
  <si>
    <t>Mamasapano</t>
  </si>
  <si>
    <t>Mambajao</t>
  </si>
  <si>
    <t>Mamburao</t>
  </si>
  <si>
    <t>Mambusao</t>
  </si>
  <si>
    <t>Manabo</t>
  </si>
  <si>
    <t>Manapla</t>
  </si>
  <si>
    <t>Mandaluyong</t>
  </si>
  <si>
    <t>Mangaldan</t>
  </si>
  <si>
    <t>Mangudadatu</t>
  </si>
  <si>
    <t>Manjuyod</t>
  </si>
  <si>
    <t>Mansalay</t>
  </si>
  <si>
    <t>Manticao</t>
  </si>
  <si>
    <t>Mapanas</t>
  </si>
  <si>
    <t>Mapandan</t>
  </si>
  <si>
    <t>Marabut</t>
  </si>
  <si>
    <t>Maragusan</t>
  </si>
  <si>
    <t>Marantao</t>
  </si>
  <si>
    <t>Margosatubig</t>
  </si>
  <si>
    <t>Maria</t>
  </si>
  <si>
    <t>Marihatag</t>
  </si>
  <si>
    <t>Marilao</t>
  </si>
  <si>
    <t>Maripipi</t>
  </si>
  <si>
    <t>Mariveles</t>
  </si>
  <si>
    <t>Marogong</t>
  </si>
  <si>
    <t>Masantol</t>
  </si>
  <si>
    <t>Masbate City</t>
  </si>
  <si>
    <t>Masinloc</t>
  </si>
  <si>
    <t>Masiu</t>
  </si>
  <si>
    <t>Maslog</t>
  </si>
  <si>
    <t>Mataasnakahoy</t>
  </si>
  <si>
    <t>Matag-ob</t>
  </si>
  <si>
    <t>Matanao</t>
  </si>
  <si>
    <t>Matanog</t>
  </si>
  <si>
    <t>Mati City</t>
  </si>
  <si>
    <t>Matuguinao</t>
  </si>
  <si>
    <t>Matungao</t>
  </si>
  <si>
    <t>Mauban</t>
  </si>
  <si>
    <t>Mayamot</t>
  </si>
  <si>
    <t>Mayantoc</t>
  </si>
  <si>
    <t>Maydolong</t>
  </si>
  <si>
    <t>Mayorga</t>
  </si>
  <si>
    <t>Medellin</t>
  </si>
  <si>
    <t>Mendez</t>
  </si>
  <si>
    <t>Mercedes</t>
  </si>
  <si>
    <t>Merida</t>
  </si>
  <si>
    <t>Mexico</t>
  </si>
  <si>
    <t>Miagao</t>
  </si>
  <si>
    <t>Midsalip</t>
  </si>
  <si>
    <t>Milaor</t>
  </si>
  <si>
    <t>Mina</t>
  </si>
  <si>
    <t>Minalabac</t>
  </si>
  <si>
    <t>Minalin</t>
  </si>
  <si>
    <t>Moalboal</t>
  </si>
  <si>
    <t>Mobo</t>
  </si>
  <si>
    <t>Mogpog</t>
  </si>
  <si>
    <t>Moises Padilla</t>
  </si>
  <si>
    <t>Molave</t>
  </si>
  <si>
    <t>Moncada</t>
  </si>
  <si>
    <t>Mondragon</t>
  </si>
  <si>
    <t>Monkayo</t>
  </si>
  <si>
    <t>Monreal</t>
  </si>
  <si>
    <t>Montevista</t>
  </si>
  <si>
    <t>Morong</t>
  </si>
  <si>
    <t>Motiong</t>
  </si>
  <si>
    <t>Mulanay</t>
  </si>
  <si>
    <t>Mulondo</t>
  </si>
  <si>
    <t>Munai</t>
  </si>
  <si>
    <t>Muñoz City</t>
  </si>
  <si>
    <t>Murcia</t>
  </si>
  <si>
    <t>Mutia</t>
  </si>
  <si>
    <t>Naawan</t>
  </si>
  <si>
    <t>Nabas</t>
  </si>
  <si>
    <t>Nabua</t>
  </si>
  <si>
    <t>Nagbukel</t>
  </si>
  <si>
    <t>Nagcarlan</t>
  </si>
  <si>
    <t>Nagtipunan</t>
  </si>
  <si>
    <t>Naguilan</t>
  </si>
  <si>
    <t>Naguilian</t>
  </si>
  <si>
    <t>Nampicuan</t>
  </si>
  <si>
    <t>Narra</t>
  </si>
  <si>
    <t>Natividad</t>
  </si>
  <si>
    <t>Naval</t>
  </si>
  <si>
    <t>Navotas City</t>
  </si>
  <si>
    <t>New Bataan</t>
  </si>
  <si>
    <t>New Corella</t>
  </si>
  <si>
    <t>New Washington</t>
  </si>
  <si>
    <t>Norala</t>
  </si>
  <si>
    <t>Northern Kabuntalan</t>
  </si>
  <si>
    <t>Norzagaray</t>
  </si>
  <si>
    <t>Noveleta</t>
  </si>
  <si>
    <t>Nueva Era</t>
  </si>
  <si>
    <t>Nueva Valencia</t>
  </si>
  <si>
    <t>Numancia</t>
  </si>
  <si>
    <t>Nunungan</t>
  </si>
  <si>
    <t>Oas</t>
  </si>
  <si>
    <t>Obando</t>
  </si>
  <si>
    <t>Olongapo City</t>
  </si>
  <si>
    <t>Omar</t>
  </si>
  <si>
    <t>Opol</t>
  </si>
  <si>
    <t>Orani</t>
  </si>
  <si>
    <t>Orion</t>
  </si>
  <si>
    <t>Ormoc City</t>
  </si>
  <si>
    <t>Oton</t>
  </si>
  <si>
    <t>Padada</t>
  </si>
  <si>
    <t>Padre Garcia</t>
  </si>
  <si>
    <t>Pagalungan</t>
  </si>
  <si>
    <t>Pagayawan</t>
  </si>
  <si>
    <t>Pagbilao</t>
  </si>
  <si>
    <t>Paglat</t>
  </si>
  <si>
    <t>Pagsanghan</t>
  </si>
  <si>
    <t>Pagsanjan</t>
  </si>
  <si>
    <t>Pakil</t>
  </si>
  <si>
    <t>Palanas</t>
  </si>
  <si>
    <t>Palapag</t>
  </si>
  <si>
    <t>Palauig</t>
  </si>
  <si>
    <t>Palimbang</t>
  </si>
  <si>
    <t>Pambujan</t>
  </si>
  <si>
    <t>Pamplona</t>
  </si>
  <si>
    <t>Panabo City</t>
  </si>
  <si>
    <t>Panaon</t>
  </si>
  <si>
    <t>Panay</t>
  </si>
  <si>
    <t>Pandag</t>
  </si>
  <si>
    <t>Pandami</t>
  </si>
  <si>
    <t>Pandi</t>
  </si>
  <si>
    <t>Pangil</t>
  </si>
  <si>
    <t>Panglao</t>
  </si>
  <si>
    <t>Panglima Estino</t>
  </si>
  <si>
    <t>Panglima Sugala</t>
  </si>
  <si>
    <t>Pangpang</t>
  </si>
  <si>
    <t>Panitan</t>
  </si>
  <si>
    <t>Pantao Ragat</t>
  </si>
  <si>
    <t>Pantar</t>
  </si>
  <si>
    <t>Panukulan</t>
  </si>
  <si>
    <t>Paoay</t>
  </si>
  <si>
    <t>Paombong</t>
  </si>
  <si>
    <t>Paracale</t>
  </si>
  <si>
    <t>Paracelis</t>
  </si>
  <si>
    <t>Parañaque</t>
  </si>
  <si>
    <t>Paranas</t>
  </si>
  <si>
    <t>Pasacao</t>
  </si>
  <si>
    <t>Pasay City</t>
  </si>
  <si>
    <t>Pasig City</t>
  </si>
  <si>
    <t>Pasil</t>
  </si>
  <si>
    <t>Passi City</t>
  </si>
  <si>
    <t>Pastrana</t>
  </si>
  <si>
    <t>Pasuquin</t>
  </si>
  <si>
    <t>Pata</t>
  </si>
  <si>
    <t>Pateros</t>
  </si>
  <si>
    <t>Patikul</t>
  </si>
  <si>
    <t>Patnanungan</t>
  </si>
  <si>
    <t>Patnongon</t>
  </si>
  <si>
    <t>Pavia</t>
  </si>
  <si>
    <t>Payao</t>
  </si>
  <si>
    <t>Peñablanca</t>
  </si>
  <si>
    <t>Peñaranda</t>
  </si>
  <si>
    <t>Peñarrubia</t>
  </si>
  <si>
    <t>Perez</t>
  </si>
  <si>
    <t>Piagapo</t>
  </si>
  <si>
    <t>Piat</t>
  </si>
  <si>
    <t>Picong</t>
  </si>
  <si>
    <t>Pidigan</t>
  </si>
  <si>
    <t>Pila</t>
  </si>
  <si>
    <t>Pilar</t>
  </si>
  <si>
    <t>Pililla</t>
  </si>
  <si>
    <t>Pinabacdao</t>
  </si>
  <si>
    <t>Pio V. Corpuz</t>
  </si>
  <si>
    <t>Pitogo</t>
  </si>
  <si>
    <t>Placer</t>
  </si>
  <si>
    <t>Pola</t>
  </si>
  <si>
    <t>Polanco</t>
  </si>
  <si>
    <t>Pontevedra</t>
  </si>
  <si>
    <t>Poona Bayabao</t>
  </si>
  <si>
    <t>Poona Piagapo</t>
  </si>
  <si>
    <t>Porac</t>
  </si>
  <si>
    <t>Poro</t>
  </si>
  <si>
    <t>Pototan</t>
  </si>
  <si>
    <t>Pozorrubio</t>
  </si>
  <si>
    <t>Presentacion</t>
  </si>
  <si>
    <t>Prosperidad</t>
  </si>
  <si>
    <t>Pualas</t>
  </si>
  <si>
    <t>Puerto Princesa City</t>
  </si>
  <si>
    <t>Pugo</t>
  </si>
  <si>
    <t>Pulilan</t>
  </si>
  <si>
    <t>Pulupandan</t>
  </si>
  <si>
    <t>Pura</t>
  </si>
  <si>
    <t>Rajah Buayan</t>
  </si>
  <si>
    <t>Ramon Magsaysay</t>
  </si>
  <si>
    <t>Ramos</t>
  </si>
  <si>
    <t>Rapu-Rapu</t>
  </si>
  <si>
    <t>Real</t>
  </si>
  <si>
    <t>Reina Mercedes</t>
  </si>
  <si>
    <t>Remedios T. Romualdez</t>
  </si>
  <si>
    <t>Rodriguez</t>
  </si>
  <si>
    <t>Ronda</t>
  </si>
  <si>
    <t>Rosario</t>
  </si>
  <si>
    <t>Roseller Lim</t>
  </si>
  <si>
    <t>Roxas City</t>
  </si>
  <si>
    <t>Sabangan</t>
  </si>
  <si>
    <t>Sablan</t>
  </si>
  <si>
    <t>Sablayan</t>
  </si>
  <si>
    <t>Sabtang</t>
  </si>
  <si>
    <t>Sadanga</t>
  </si>
  <si>
    <t>Sagada</t>
  </si>
  <si>
    <t>Sagay City</t>
  </si>
  <si>
    <t>Sagbayan</t>
  </si>
  <si>
    <t>Saguday</t>
  </si>
  <si>
    <t>Saguiaran</t>
  </si>
  <si>
    <t>Saint Bernard</t>
  </si>
  <si>
    <t>Salay</t>
  </si>
  <si>
    <t>Sallapadan</t>
  </si>
  <si>
    <t>Salug</t>
  </si>
  <si>
    <t>Salvador</t>
  </si>
  <si>
    <t>Salvador Benedicto</t>
  </si>
  <si>
    <t>Samal City</t>
  </si>
  <si>
    <t>Sambag</t>
  </si>
  <si>
    <t>Samboan</t>
  </si>
  <si>
    <t>San Benito</t>
  </si>
  <si>
    <t>San Clemente</t>
  </si>
  <si>
    <t>San Dionisio</t>
  </si>
  <si>
    <t>San Emilio</t>
  </si>
  <si>
    <t>San Enrique</t>
  </si>
  <si>
    <t>San Esteban</t>
  </si>
  <si>
    <t>San Fabian</t>
  </si>
  <si>
    <t>San Felipe</t>
  </si>
  <si>
    <t>San Fernando City</t>
  </si>
  <si>
    <t>San Gabriel</t>
  </si>
  <si>
    <t>San Guillermo</t>
  </si>
  <si>
    <t>San Jorge</t>
  </si>
  <si>
    <t>San Jose de Buan</t>
  </si>
  <si>
    <t>San Jose de Buenavista</t>
  </si>
  <si>
    <t>San Juan</t>
  </si>
  <si>
    <t>San Juan City</t>
  </si>
  <si>
    <t>San Julian</t>
  </si>
  <si>
    <t>San Leonardo</t>
  </si>
  <si>
    <t>San Lorenzo</t>
  </si>
  <si>
    <t>San Lorenzo Ruiz</t>
  </si>
  <si>
    <t>San Luis</t>
  </si>
  <si>
    <t>San Manuel</t>
  </si>
  <si>
    <t>San Marcelino</t>
  </si>
  <si>
    <t>San Mariano</t>
  </si>
  <si>
    <t>San Pablo City</t>
  </si>
  <si>
    <t>San Pascual</t>
  </si>
  <si>
    <t>San Pedro City</t>
  </si>
  <si>
    <t>San Policarpo</t>
  </si>
  <si>
    <t>San Rafael</t>
  </si>
  <si>
    <t>San Remigio</t>
  </si>
  <si>
    <t>San Ricardo</t>
  </si>
  <si>
    <t>San Roque</t>
  </si>
  <si>
    <t>San Sebastian</t>
  </si>
  <si>
    <t>San Simon</t>
  </si>
  <si>
    <t>San Teodoro</t>
  </si>
  <si>
    <t>Santa</t>
  </si>
  <si>
    <t>Santa Ana</t>
  </si>
  <si>
    <t>Santa Barbara</t>
  </si>
  <si>
    <t>Santa Catalina</t>
  </si>
  <si>
    <t>Santa Fe</t>
  </si>
  <si>
    <t>Santa Ignacia</t>
  </si>
  <si>
    <t>Santa Josefa</t>
  </si>
  <si>
    <t>Santa Lucia</t>
  </si>
  <si>
    <t>Santa Magdalena</t>
  </si>
  <si>
    <t>Santa Margarita</t>
  </si>
  <si>
    <t>Santa Maria</t>
  </si>
  <si>
    <t>Santa Monica</t>
  </si>
  <si>
    <t>Santa Praxedes</t>
  </si>
  <si>
    <t>Santa Rita</t>
  </si>
  <si>
    <t>Santa Rosa City</t>
  </si>
  <si>
    <t>Santa Teresita</t>
  </si>
  <si>
    <t>Santander</t>
  </si>
  <si>
    <t>Santiago City</t>
  </si>
  <si>
    <t>Santo Niño</t>
  </si>
  <si>
    <t>Sara</t>
  </si>
  <si>
    <t>Sibalom</t>
  </si>
  <si>
    <t>Sibulan</t>
  </si>
  <si>
    <t>Solano</t>
  </si>
  <si>
    <t>Sudapin</t>
  </si>
  <si>
    <t>Taal</t>
  </si>
  <si>
    <t>Tagbac</t>
  </si>
  <si>
    <t>Tagbilaran City</t>
  </si>
  <si>
    <t>Tagum City</t>
  </si>
  <si>
    <t>Talavera</t>
  </si>
  <si>
    <t>Talisay City</t>
  </si>
  <si>
    <t>Tanauan City</t>
  </si>
  <si>
    <t>Tandag City</t>
  </si>
  <si>
    <t>Tap-oc</t>
  </si>
  <si>
    <t>Tapuac District</t>
  </si>
  <si>
    <t>Tayabas</t>
  </si>
  <si>
    <t>Tayug</t>
  </si>
  <si>
    <t>T'Boli</t>
  </si>
  <si>
    <t>Trece Martires City</t>
  </si>
  <si>
    <t>Triangulo</t>
  </si>
  <si>
    <t>Tuao</t>
  </si>
  <si>
    <t>Tuguegarao City</t>
  </si>
  <si>
    <t>Urdaneta</t>
  </si>
  <si>
    <t>valladolid</t>
  </si>
  <si>
    <t>Virac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</si>
</sst>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mm d, yyyy"/>
    <numFmt numFmtId="166" formatCode="mm&quot;/&quot;dd&quot;/&quot;yyyy"/>
    <numFmt numFmtId="167" formatCode="mm/dd/yyyy"/>
  </numFmts>
  <fonts count="65">
    <font>
      <sz val="10.0"/>
      <color rgb="FF000000"/>
      <name val="Arial"/>
      <scheme val="minor"/>
    </font>
    <font>
      <b/>
      <sz val="15.0"/>
      <color theme="0"/>
      <name val="Arial Narrow"/>
    </font>
    <font>
      <b/>
      <sz val="24.0"/>
      <color rgb="FFFFFFFF"/>
      <name val="Arial Narrow"/>
    </font>
    <font/>
    <font>
      <b/>
      <sz val="12.0"/>
      <color theme="0"/>
      <name val="Arial Narrow"/>
    </font>
    <font>
      <b/>
      <sz val="12.0"/>
      <color theme="1"/>
      <name val="Arial Narrow"/>
    </font>
    <font>
      <b/>
      <sz val="12.0"/>
      <color rgb="FFFFFFFF"/>
      <name val="Arial Narrow"/>
    </font>
    <font>
      <b/>
      <sz val="15.0"/>
      <color theme="1"/>
      <name val="Arial Narrow"/>
    </font>
    <font>
      <sz val="14.0"/>
      <color theme="1"/>
      <name val="Arial Narrow"/>
    </font>
    <font>
      <b/>
      <sz val="14.0"/>
      <color rgb="FFFFFFFF"/>
      <name val="Arial Narrow"/>
    </font>
    <font>
      <color theme="1"/>
      <name val="Arial"/>
      <scheme val="minor"/>
    </font>
    <font>
      <b/>
      <sz val="18.0"/>
      <color theme="1"/>
      <name val="Arial Narrow"/>
    </font>
    <font>
      <sz val="18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rgb="FF000000"/>
      <name val="Arial Narrow"/>
    </font>
    <font>
      <b/>
      <sz val="18.0"/>
      <color rgb="FF000000"/>
      <name val="Arial Narrow"/>
    </font>
    <font>
      <sz val="14.0"/>
      <color theme="1"/>
      <name val="Arial"/>
      <scheme val="minor"/>
    </font>
    <font>
      <b/>
      <sz val="11.0"/>
      <color rgb="FFFFFFFF"/>
      <name val="&quot;Arial Narrow&quot;"/>
    </font>
    <font>
      <b/>
      <color rgb="FFFFFFFF"/>
      <name val="&quot;Arial Narrow&quot;"/>
    </font>
    <font>
      <b/>
      <sz val="11.0"/>
      <color rgb="FFFFFFFF"/>
      <name val="Arial Narrow"/>
    </font>
    <font>
      <b/>
      <sz val="11.0"/>
      <color theme="1"/>
      <name val="&quot;Arial Narrow&quot;"/>
    </font>
    <font>
      <sz val="10.0"/>
      <color rgb="FFFFFFFF"/>
      <name val="Arial"/>
      <scheme val="minor"/>
    </font>
    <font>
      <sz val="11.0"/>
      <color theme="1"/>
      <name val="&quot;Arial Narrow&quot;"/>
    </font>
    <font>
      <color theme="1"/>
      <name val="Arial"/>
    </font>
    <font>
      <sz val="11.0"/>
      <color rgb="FFFF0000"/>
      <name val="Calibri"/>
    </font>
    <font>
      <sz val="8.0"/>
      <color rgb="FFFF0000"/>
      <name val="&quot;Century Gothic&quot;"/>
    </font>
    <font>
      <color rgb="FFFF0000"/>
      <name val="&quot;Century Gothic&quot;"/>
    </font>
    <font>
      <sz val="11.0"/>
      <color theme="1"/>
      <name val="Arial Narrow"/>
    </font>
    <font>
      <sz val="9.0"/>
      <color rgb="FFFF0000"/>
      <name val="Calibri"/>
    </font>
    <font>
      <sz val="8.0"/>
      <color rgb="FFFF0000"/>
      <name val="Calibri"/>
    </font>
    <font>
      <color rgb="FFFF0000"/>
      <name val="Arial"/>
    </font>
    <font>
      <sz val="9.0"/>
      <color theme="1"/>
      <name val="Cambria"/>
    </font>
    <font>
      <sz val="9.0"/>
      <color rgb="FFFF0000"/>
      <name val="Century Gothic"/>
    </font>
    <font>
      <sz val="12.0"/>
      <color theme="1"/>
      <name val="Cambria"/>
    </font>
    <font>
      <sz val="8.0"/>
      <color theme="1"/>
      <name val="Century Gothic"/>
    </font>
    <font>
      <sz val="11.0"/>
      <color theme="1"/>
      <name val="Calibri"/>
    </font>
    <font>
      <sz val="8.0"/>
      <color rgb="FFFF0000"/>
      <name val="Century Gothic"/>
    </font>
    <font>
      <sz val="12.0"/>
      <color rgb="FFFF0000"/>
      <name val="Cambria"/>
    </font>
    <font>
      <sz val="10.0"/>
      <color rgb="FFFF0000"/>
      <name val="Arial"/>
      <scheme val="minor"/>
    </font>
    <font>
      <color theme="1"/>
      <name val="Arial Narrow"/>
    </font>
    <font>
      <i/>
      <color theme="1"/>
      <name val="Arial Narrow"/>
    </font>
    <font>
      <b/>
      <sz val="15.0"/>
      <color rgb="FFFFFFFF"/>
      <name val="Arial Narrow"/>
    </font>
    <font>
      <b/>
      <sz val="17.0"/>
      <color rgb="FFFFFFFF"/>
      <name val="Arial Narrow"/>
    </font>
    <font>
      <sz val="11.0"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u/>
      <sz val="11.0"/>
      <color rgb="FF000000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u/>
      <sz val="11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&quot;Arial&quot;"/>
    </font>
    <font>
      <b/>
      <sz val="11.0"/>
      <color theme="1"/>
      <name val="Arial"/>
      <scheme val="minor"/>
    </font>
    <font>
      <u/>
      <sz val="11.0"/>
      <color rgb="FF000000"/>
      <name val="Arial"/>
      <scheme val="minor"/>
    </font>
    <font>
      <u/>
      <sz val="11.0"/>
      <color rgb="FF000000"/>
      <name val="Arial"/>
      <scheme val="minor"/>
    </font>
    <font>
      <b/>
      <sz val="12.0"/>
      <color theme="1"/>
      <name val="Arial"/>
    </font>
    <font>
      <b/>
      <sz val="10.0"/>
      <color rgb="FF000000"/>
      <name val="&quot;Arial Narrow&quot;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9.0"/>
      <color rgb="FF000000"/>
      <name val="Arial Narrow"/>
    </font>
    <font>
      <b/>
      <sz val="12.0"/>
      <color theme="1"/>
      <name val="&quot;Arial Narrow&quot;"/>
    </font>
    <font>
      <sz val="11.0"/>
      <color rgb="FF000000"/>
      <name val="Calibri"/>
    </font>
    <font>
      <sz val="11.0"/>
      <color rgb="FF000000"/>
      <name val="Docs-Calibri"/>
    </font>
  </fonts>
  <fills count="15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274E13"/>
        <bgColor rgb="FF274E13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4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6" fillId="4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8" fillId="5" fontId="6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6" fontId="5" numFmtId="0" xfId="0" applyAlignment="1" applyBorder="1" applyFill="1" applyFont="1">
      <alignment horizontal="center" readingOrder="0" shrinkToFit="0" vertical="center" wrapText="1"/>
    </xf>
    <xf borderId="13" fillId="7" fontId="5" numFmtId="0" xfId="0" applyAlignment="1" applyBorder="1" applyFill="1" applyFont="1">
      <alignment horizontal="center" readingOrder="0" shrinkToFit="0" vertical="center" wrapText="1"/>
    </xf>
    <xf borderId="13" fillId="8" fontId="5" numFmtId="0" xfId="0" applyAlignment="1" applyBorder="1" applyFill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left" shrinkToFit="0" vertical="center" wrapText="1"/>
    </xf>
    <xf borderId="13" fillId="9" fontId="8" numFmtId="0" xfId="0" applyAlignment="1" applyBorder="1" applyFill="1" applyFont="1">
      <alignment horizontal="center" shrinkToFit="0" vertical="center" wrapText="0"/>
    </xf>
    <xf borderId="13" fillId="3" fontId="9" numFmtId="0" xfId="0" applyAlignment="1" applyBorder="1" applyFill="1" applyFont="1">
      <alignment horizontal="center" shrinkToFit="0" vertical="center" wrapText="0"/>
    </xf>
    <xf borderId="0" fillId="0" fontId="10" numFmtId="0" xfId="0" applyFont="1"/>
    <xf borderId="13" fillId="9" fontId="8" numFmtId="0" xfId="0" applyAlignment="1" applyBorder="1" applyFill="1" applyFont="1">
      <alignment horizontal="center" shrinkToFit="0" vertical="bottom" wrapText="0"/>
    </xf>
    <xf borderId="13" fillId="0" fontId="7" numFmtId="0" xfId="0" applyAlignment="1" applyBorder="1" applyFont="1">
      <alignment horizontal="center" shrinkToFit="0" vertical="center" wrapText="1"/>
    </xf>
    <xf borderId="2" fillId="10" fontId="11" numFmtId="3" xfId="0" applyAlignment="1" applyBorder="1" applyFill="1" applyFont="1" applyNumberFormat="1">
      <alignment horizontal="left" readingOrder="0" shrinkToFit="0" vertical="center" wrapText="1"/>
    </xf>
    <xf borderId="13" fillId="6" fontId="11" numFmtId="3" xfId="0" applyAlignment="1" applyBorder="1" applyFill="1" applyFont="1" applyNumberFormat="1">
      <alignment horizontal="center" shrinkToFit="0" vertical="center" wrapText="0"/>
    </xf>
    <xf borderId="13" fillId="7" fontId="11" numFmtId="3" xfId="0" applyAlignment="1" applyBorder="1" applyFill="1" applyFont="1" applyNumberFormat="1">
      <alignment horizontal="center" shrinkToFit="0" vertical="center" wrapText="0"/>
    </xf>
    <xf borderId="13" fillId="3" fontId="9" numFmtId="3" xfId="0" applyAlignment="1" applyBorder="1" applyFill="1" applyFont="1" applyNumberFormat="1">
      <alignment horizontal="center" shrinkToFit="0" vertical="center" wrapText="0"/>
    </xf>
    <xf borderId="13" fillId="8" fontId="11" numFmtId="3" xfId="0" applyAlignment="1" applyBorder="1" applyFill="1" applyFont="1" applyNumberFormat="1">
      <alignment horizontal="center" shrinkToFit="0" vertical="center" wrapText="0"/>
    </xf>
    <xf borderId="0" fillId="0" fontId="12" numFmtId="3" xfId="0" applyFont="1" applyNumberFormat="1"/>
    <xf borderId="0" fillId="0" fontId="13" numFmtId="0" xfId="0" applyFont="1"/>
    <xf borderId="0" fillId="0" fontId="10" numFmtId="3" xfId="0" applyFont="1" applyNumberFormat="1"/>
    <xf borderId="0" fillId="11" fontId="6" numFmtId="0" xfId="0" applyAlignment="1" applyFill="1" applyFont="1">
      <alignment horizontal="center" shrinkToFit="0" wrapText="1"/>
    </xf>
    <xf borderId="0" fillId="11" fontId="5" numFmtId="0" xfId="0" applyAlignment="1" applyFill="1" applyFont="1">
      <alignment horizontal="center" shrinkToFit="0" wrapText="1"/>
    </xf>
    <xf borderId="0" fillId="11" fontId="14" numFmtId="0" xfId="0" applyAlignment="1" applyFill="1" applyFont="1">
      <alignment horizontal="center" readingOrder="0" shrinkToFit="0" wrapText="1"/>
    </xf>
    <xf borderId="0" fillId="11" fontId="14" numFmtId="3" xfId="0" applyAlignment="1" applyFill="1" applyFont="1" applyNumberFormat="1">
      <alignment horizontal="center" shrinkToFit="0" wrapText="1"/>
    </xf>
    <xf borderId="0" fillId="11" fontId="11" numFmtId="3" xfId="0" applyAlignment="1" applyFill="1" applyFont="1" applyNumberFormat="1">
      <alignment horizontal="center" shrinkToFit="0" vertical="center" wrapText="0"/>
    </xf>
    <xf borderId="0" fillId="11" fontId="15" numFmtId="3" xfId="0" applyAlignment="1" applyFill="1" applyFont="1" applyNumberFormat="1">
      <alignment horizontal="center" vertical="center"/>
    </xf>
    <xf borderId="8" fillId="0" fontId="3" numFmtId="0" xfId="0" applyBorder="1" applyFont="1"/>
    <xf borderId="14" fillId="0" fontId="3" numFmtId="0" xfId="0" applyBorder="1" applyFont="1"/>
    <xf borderId="2" fillId="0" fontId="16" numFmtId="0" xfId="0" applyAlignment="1" applyBorder="1" applyFont="1">
      <alignment horizontal="center" shrinkToFit="0" vertical="center" wrapText="1"/>
    </xf>
    <xf borderId="13" fillId="3" fontId="17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ill="1" applyFont="1">
      <alignment horizontal="center" shrinkToFit="0" vertical="center" wrapText="1"/>
    </xf>
    <xf borderId="4" fillId="3" fontId="18" numFmtId="0" xfId="0" applyAlignment="1" applyBorder="1" applyFill="1" applyFont="1">
      <alignment horizontal="center" shrinkToFit="0" vertical="center" wrapText="1"/>
    </xf>
    <xf borderId="13" fillId="3" fontId="19" numFmtId="0" xfId="0" applyAlignment="1" applyBorder="1" applyFill="1" applyFont="1">
      <alignment horizontal="center" readingOrder="0" shrinkToFit="0" vertical="center" wrapText="1"/>
    </xf>
    <xf borderId="13" fillId="3" fontId="20" numFmtId="0" xfId="0" applyAlignment="1" applyBorder="1" applyFill="1" applyFont="1">
      <alignment horizontal="center" shrinkToFit="0" vertical="center" wrapText="1"/>
    </xf>
    <xf borderId="4" fillId="3" fontId="2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13" fillId="11" fontId="22" numFmtId="0" xfId="0" applyAlignment="1" applyBorder="1" applyFill="1" applyFont="1">
      <alignment horizontal="center" readingOrder="0" shrinkToFit="0" vertical="bottom" wrapText="1"/>
    </xf>
    <xf borderId="4" fillId="11" fontId="22" numFmtId="0" xfId="0" applyAlignment="1" applyBorder="1" applyFill="1" applyFont="1">
      <alignment readingOrder="0" vertical="bottom"/>
    </xf>
    <xf borderId="4" fillId="0" fontId="23" numFmtId="0" xfId="0" applyAlignment="1" applyBorder="1" applyFont="1">
      <alignment vertical="bottom"/>
    </xf>
    <xf borderId="4" fillId="11" fontId="24" numFmtId="0" xfId="0" applyAlignment="1" applyBorder="1" applyFill="1" applyFont="1">
      <alignment vertical="bottom"/>
    </xf>
    <xf borderId="4" fillId="11" fontId="22" numFmtId="0" xfId="0" applyAlignment="1" applyBorder="1" applyFill="1" applyFont="1">
      <alignment horizontal="center" vertical="bottom"/>
    </xf>
    <xf borderId="4" fillId="11" fontId="25" numFmtId="0" xfId="0" applyAlignment="1" applyBorder="1" applyFill="1" applyFont="1">
      <alignment vertical="bottom"/>
    </xf>
    <xf borderId="4" fillId="11" fontId="25" numFmtId="0" xfId="0" applyAlignment="1" applyBorder="1" applyFill="1" applyFont="1">
      <alignment readingOrder="0" vertical="bottom"/>
    </xf>
    <xf borderId="4" fillId="11" fontId="22" numFmtId="0" xfId="0" applyAlignment="1" applyBorder="1" applyFill="1" applyFont="1">
      <alignment vertical="bottom"/>
    </xf>
    <xf borderId="4" fillId="11" fontId="25" numFmtId="0" xfId="0" applyAlignment="1" applyBorder="1" applyFill="1" applyFont="1">
      <alignment horizontal="center" vertical="bottom"/>
    </xf>
    <xf borderId="4" fillId="11" fontId="25" numFmtId="0" xfId="0" applyAlignment="1" applyBorder="1" applyFill="1" applyFont="1">
      <alignment shrinkToFit="0" vertical="center" wrapText="1"/>
    </xf>
    <xf borderId="4" fillId="0" fontId="26" numFmtId="0" xfId="0" applyAlignment="1" applyBorder="1" applyFont="1">
      <alignment shrinkToFit="0" vertical="bottom" wrapText="1"/>
    </xf>
    <xf borderId="4" fillId="11" fontId="23" numFmtId="164" xfId="0" applyAlignment="1" applyBorder="1" applyFill="1" applyFont="1" applyNumberFormat="1">
      <alignment vertical="bottom"/>
    </xf>
    <xf borderId="4" fillId="11" fontId="23" numFmtId="0" xfId="0" applyAlignment="1" applyBorder="1" applyFill="1" applyFont="1">
      <alignment vertical="bottom"/>
    </xf>
    <xf borderId="4" fillId="0" fontId="22" numFmtId="0" xfId="0" applyAlignment="1" applyBorder="1" applyFont="1">
      <alignment vertical="bottom"/>
    </xf>
    <xf borderId="13" fillId="11" fontId="27" numFmtId="0" xfId="0" applyAlignment="1" applyBorder="1" applyFill="1" applyFont="1">
      <alignment horizontal="center" readingOrder="0" shrinkToFit="0" vertical="center" wrapText="1"/>
    </xf>
    <xf borderId="4" fillId="11" fontId="27" numFmtId="0" xfId="0" applyAlignment="1" applyBorder="1" applyFill="1" applyFont="1">
      <alignment shrinkToFit="0" vertical="bottom" wrapText="1"/>
    </xf>
    <xf borderId="4" fillId="11" fontId="23" numFmtId="0" xfId="0" applyAlignment="1" applyBorder="1" applyFill="1" applyFont="1">
      <alignment shrinkToFit="0" vertical="bottom" wrapText="1"/>
    </xf>
    <xf borderId="4" fillId="11" fontId="28" numFmtId="0" xfId="0" applyAlignment="1" applyBorder="1" applyFill="1" applyFont="1">
      <alignment horizontal="center" shrinkToFit="0" vertical="bottom" wrapText="1"/>
    </xf>
    <xf borderId="4" fillId="11" fontId="27" numFmtId="0" xfId="0" applyAlignment="1" applyBorder="1" applyFill="1" applyFont="1">
      <alignment horizontal="center" shrinkToFit="0" vertical="bottom" wrapText="1"/>
    </xf>
    <xf borderId="4" fillId="11" fontId="28" numFmtId="0" xfId="0" applyAlignment="1" applyBorder="1" applyFill="1" applyFont="1">
      <alignment shrinkToFit="0" vertical="bottom" wrapText="1"/>
    </xf>
    <xf borderId="4" fillId="11" fontId="29" numFmtId="0" xfId="0" applyAlignment="1" applyBorder="1" applyFill="1" applyFont="1">
      <alignment horizontal="center" shrinkToFit="0" vertical="bottom" wrapText="1"/>
    </xf>
    <xf borderId="3" fillId="11" fontId="24" numFmtId="0" xfId="0" applyAlignment="1" applyBorder="1" applyFill="1" applyFont="1">
      <alignment shrinkToFit="0" vertical="center" wrapText="1"/>
    </xf>
    <xf borderId="4" fillId="11" fontId="23" numFmtId="164" xfId="0" applyAlignment="1" applyBorder="1" applyFill="1" applyFont="1" applyNumberFormat="1">
      <alignment shrinkToFit="0" vertical="bottom" wrapText="1"/>
    </xf>
    <xf borderId="13" fillId="11" fontId="23" numFmtId="164" xfId="0" applyAlignment="1" applyBorder="1" applyFill="1" applyFont="1" applyNumberFormat="1">
      <alignment shrinkToFit="0" vertical="bottom" wrapText="1"/>
    </xf>
    <xf borderId="4" fillId="11" fontId="30" numFmtId="0" xfId="0" applyAlignment="1" applyBorder="1" applyFill="1" applyFont="1">
      <alignment horizontal="center" shrinkToFit="0" vertical="bottom" wrapText="1"/>
    </xf>
    <xf borderId="4" fillId="12" fontId="27" numFmtId="0" xfId="0" applyAlignment="1" applyBorder="1" applyFill="1" applyFont="1">
      <alignment shrinkToFit="0" vertical="bottom" wrapText="1"/>
    </xf>
    <xf borderId="10" fillId="11" fontId="27" numFmtId="0" xfId="0" applyAlignment="1" applyBorder="1" applyFill="1" applyFont="1">
      <alignment shrinkToFit="0" vertical="bottom" wrapText="1"/>
    </xf>
    <xf borderId="10" fillId="0" fontId="23" numFmtId="0" xfId="0" applyAlignment="1" applyBorder="1" applyFont="1">
      <alignment shrinkToFit="0" vertical="bottom" wrapText="1"/>
    </xf>
    <xf borderId="10" fillId="11" fontId="28" numFmtId="0" xfId="0" applyAlignment="1" applyBorder="1" applyFill="1" applyFont="1">
      <alignment shrinkToFit="0" vertical="bottom" wrapText="1"/>
    </xf>
    <xf borderId="10" fillId="11" fontId="27" numFmtId="0" xfId="0" applyAlignment="1" applyBorder="1" applyFill="1" applyFont="1">
      <alignment horizontal="center" shrinkToFit="0" vertical="bottom" wrapText="1"/>
    </xf>
    <xf borderId="10" fillId="0" fontId="31" numFmtId="0" xfId="0" applyAlignment="1" applyBorder="1" applyFont="1">
      <alignment shrinkToFit="0" vertical="bottom" wrapText="1"/>
    </xf>
    <xf borderId="10" fillId="11" fontId="32" numFmtId="0" xfId="0" applyAlignment="1" applyBorder="1" applyFill="1" applyFont="1">
      <alignment horizontal="center" shrinkToFit="0" vertical="bottom" wrapText="1"/>
    </xf>
    <xf borderId="10" fillId="11" fontId="23" numFmtId="0" xfId="0" applyAlignment="1" applyBorder="1" applyFill="1" applyFont="1">
      <alignment shrinkToFit="0" vertical="center" wrapText="1"/>
    </xf>
    <xf borderId="11" fillId="0" fontId="23" numFmtId="164" xfId="0" applyAlignment="1" applyBorder="1" applyFont="1" applyNumberFormat="1">
      <alignment shrinkToFit="0" vertical="bottom" wrapText="1"/>
    </xf>
    <xf borderId="13" fillId="0" fontId="33" numFmtId="164" xfId="0" applyAlignment="1" applyBorder="1" applyFont="1" applyNumberFormat="1">
      <alignment horizontal="center" shrinkToFit="0" vertical="bottom" wrapText="1"/>
    </xf>
    <xf borderId="10" fillId="11" fontId="34" numFmtId="165" xfId="0" applyAlignment="1" applyBorder="1" applyFill="1" applyFont="1" applyNumberFormat="1">
      <alignment horizontal="right" shrinkToFit="0" vertical="bottom" wrapText="1"/>
    </xf>
    <xf borderId="10" fillId="11" fontId="27" numFmtId="164" xfId="0" applyAlignment="1" applyBorder="1" applyFill="1" applyFont="1" applyNumberFormat="1">
      <alignment horizontal="right" shrinkToFit="0" vertical="bottom" wrapText="1"/>
    </xf>
    <xf borderId="10" fillId="11" fontId="23" numFmtId="0" xfId="0" applyAlignment="1" applyBorder="1" applyFill="1" applyFont="1">
      <alignment horizontal="center" shrinkToFit="0" vertical="bottom" wrapText="1"/>
    </xf>
    <xf borderId="10" fillId="11" fontId="35" numFmtId="0" xfId="0" applyAlignment="1" applyBorder="1" applyFill="1" applyFont="1">
      <alignment shrinkToFit="0" vertical="bottom" wrapText="1"/>
    </xf>
    <xf borderId="10" fillId="11" fontId="34" numFmtId="0" xfId="0" applyAlignment="1" applyBorder="1" applyFill="1" applyFont="1">
      <alignment shrinkToFit="0" vertical="bottom" wrapText="1"/>
    </xf>
    <xf borderId="10" fillId="11" fontId="34" numFmtId="0" xfId="0" applyAlignment="1" applyBorder="1" applyFill="1" applyFont="1">
      <alignment horizontal="center" shrinkToFit="0" vertical="bottom" wrapText="1"/>
    </xf>
    <xf borderId="10" fillId="11" fontId="34" numFmtId="0" xfId="0" applyAlignment="1" applyBorder="1" applyFill="1" applyFont="1">
      <alignment shrinkToFit="0" vertical="center" wrapText="1"/>
    </xf>
    <xf borderId="13" fillId="11" fontId="35" numFmtId="164" xfId="0" applyAlignment="1" applyBorder="1" applyFill="1" applyFont="1" applyNumberFormat="1">
      <alignment horizontal="center" shrinkToFit="0" vertical="bottom" wrapText="1"/>
    </xf>
    <xf borderId="10" fillId="12" fontId="27" numFmtId="0" xfId="0" applyAlignment="1" applyBorder="1" applyFill="1" applyFont="1">
      <alignment shrinkToFit="0" vertical="bottom" wrapText="1"/>
    </xf>
    <xf borderId="10" fillId="11" fontId="24" numFmtId="0" xfId="0" applyAlignment="1" applyBorder="1" applyFill="1" applyFont="1">
      <alignment shrinkToFit="0" vertical="bottom" wrapText="1"/>
    </xf>
    <xf borderId="10" fillId="11" fontId="36" numFmtId="0" xfId="0" applyAlignment="1" applyBorder="1" applyFill="1" applyFont="1">
      <alignment shrinkToFit="0" vertical="bottom" wrapText="1"/>
    </xf>
    <xf borderId="10" fillId="11" fontId="36" numFmtId="0" xfId="0" applyAlignment="1" applyBorder="1" applyFill="1" applyFont="1">
      <alignment horizontal="center" shrinkToFit="0" vertical="bottom" wrapText="1"/>
    </xf>
    <xf borderId="10" fillId="11" fontId="36" numFmtId="0" xfId="0" applyAlignment="1" applyBorder="1" applyFill="1" applyFont="1">
      <alignment shrinkToFit="0" vertical="center" wrapText="1"/>
    </xf>
    <xf borderId="13" fillId="11" fontId="24" numFmtId="164" xfId="0" applyAlignment="1" applyBorder="1" applyFill="1" applyFont="1" applyNumberFormat="1">
      <alignment horizontal="center" shrinkToFit="0" vertical="bottom" wrapText="1"/>
    </xf>
    <xf borderId="10" fillId="11" fontId="23" numFmtId="164" xfId="0" applyAlignment="1" applyBorder="1" applyFill="1" applyFont="1" applyNumberFormat="1">
      <alignment shrinkToFit="0" vertical="bottom" wrapText="1"/>
    </xf>
    <xf borderId="10" fillId="11" fontId="23" numFmtId="0" xfId="0" applyAlignment="1" applyBorder="1" applyFill="1" applyFont="1">
      <alignment shrinkToFit="0" vertical="bottom" wrapText="1"/>
    </xf>
    <xf borderId="13" fillId="0" fontId="24" numFmtId="164" xfId="0" applyAlignment="1" applyBorder="1" applyFont="1" applyNumberFormat="1">
      <alignment horizontal="center" shrinkToFit="0" vertical="bottom" wrapText="1"/>
    </xf>
    <xf borderId="10" fillId="11" fontId="22" numFmtId="0" xfId="0" applyAlignment="1" applyBorder="1" applyFill="1" applyFont="1">
      <alignment shrinkToFit="0" vertical="bottom" wrapText="1"/>
    </xf>
    <xf borderId="10" fillId="11" fontId="23" numFmtId="0" xfId="0" applyAlignment="1" applyBorder="1" applyFill="1" applyFont="1">
      <alignment shrinkToFit="0" vertical="bottom" wrapText="1"/>
    </xf>
    <xf borderId="10" fillId="11" fontId="24" numFmtId="0" xfId="0" applyAlignment="1" applyBorder="1" applyFill="1" applyFont="1">
      <alignment shrinkToFit="0" vertical="bottom" wrapText="1"/>
    </xf>
    <xf borderId="10" fillId="11" fontId="22" numFmtId="0" xfId="0" applyAlignment="1" applyBorder="1" applyFill="1" applyFont="1">
      <alignment horizontal="center" shrinkToFit="0" vertical="bottom" wrapText="1"/>
    </xf>
    <xf borderId="10" fillId="11" fontId="25" numFmtId="0" xfId="0" applyAlignment="1" applyBorder="1" applyFill="1" applyFont="1">
      <alignment horizontal="center" shrinkToFit="0" vertical="bottom" wrapText="1"/>
    </xf>
    <xf borderId="13" fillId="0" fontId="37" numFmtId="164" xfId="0" applyAlignment="1" applyBorder="1" applyFont="1" applyNumberFormat="1">
      <alignment horizontal="center" shrinkToFit="0" vertical="bottom" wrapText="1"/>
    </xf>
    <xf borderId="10" fillId="11" fontId="38" numFmtId="0" xfId="0" applyAlignment="1" applyBorder="1" applyFill="1" applyFont="1">
      <alignment horizontal="center" shrinkToFit="0" vertical="bottom" wrapText="1"/>
    </xf>
    <xf borderId="10" fillId="12" fontId="22" numFmtId="0" xfId="0" applyAlignment="1" applyBorder="1" applyFill="1" applyFont="1">
      <alignment shrinkToFit="0" vertical="bottom" wrapText="1"/>
    </xf>
    <xf borderId="0" fillId="0" fontId="10" numFmtId="0" xfId="0" applyAlignment="1" applyFont="1">
      <alignment shrinkToFit="0" vertical="center" wrapText="1"/>
    </xf>
    <xf borderId="13" fillId="3" fontId="19" numFmtId="0" xfId="0" applyAlignment="1" applyBorder="1" applyFill="1" applyFont="1">
      <alignment horizontal="center" shrinkToFit="0" vertical="center" wrapText="1"/>
    </xf>
    <xf borderId="13" fillId="0" fontId="39" numFmtId="0" xfId="0" applyAlignment="1" applyBorder="1" applyFont="1">
      <alignment readingOrder="0"/>
    </xf>
    <xf borderId="13" fillId="11" fontId="27" numFmtId="0" xfId="0" applyAlignment="1" applyBorder="1" applyFill="1" applyFont="1">
      <alignment readingOrder="0"/>
    </xf>
    <xf borderId="13" fillId="11" fontId="27" numFmtId="0" xfId="0" applyAlignment="1" applyBorder="1" applyFill="1" applyFont="1">
      <alignment readingOrder="0" shrinkToFit="0" wrapText="1"/>
    </xf>
    <xf borderId="13" fillId="11" fontId="27" numFmtId="0" xfId="0" applyAlignment="1" applyBorder="1" applyFill="1" applyFont="1">
      <alignment horizontal="center" readingOrder="0"/>
    </xf>
    <xf borderId="13" fillId="0" fontId="40" numFmtId="0" xfId="0" applyAlignment="1" applyBorder="1" applyFont="1">
      <alignment readingOrder="0"/>
    </xf>
    <xf borderId="13" fillId="0" fontId="39" numFmtId="0" xfId="0" applyBorder="1" applyFont="1"/>
    <xf borderId="1" fillId="13" fontId="41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2" fillId="13" fontId="42" numFmtId="0" xfId="0" applyAlignment="1" applyBorder="1" applyFill="1" applyFont="1">
      <alignment horizontal="center" readingOrder="0" shrinkToFit="0" vertical="center" wrapText="1"/>
    </xf>
    <xf borderId="6" fillId="6" fontId="14" numFmtId="0" xfId="0" applyAlignment="1" applyBorder="1" applyFill="1" applyFont="1">
      <alignment horizontal="center" shrinkToFit="0" vertical="center" wrapText="1"/>
    </xf>
    <xf borderId="13" fillId="9" fontId="8" numFmtId="0" xfId="0" applyAlignment="1" applyBorder="1" applyFill="1" applyFont="1">
      <alignment horizontal="center" shrinkToFit="0" vertical="center" wrapText="1"/>
    </xf>
    <xf borderId="13" fillId="3" fontId="9" numFmtId="0" xfId="0" applyAlignment="1" applyBorder="1" applyFill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2" fillId="10" fontId="11" numFmtId="3" xfId="0" applyAlignment="1" applyBorder="1" applyFill="1" applyFont="1" applyNumberFormat="1">
      <alignment horizontal="center" readingOrder="0" shrinkToFit="0" vertical="center" wrapText="1"/>
    </xf>
    <xf borderId="13" fillId="6" fontId="11" numFmtId="3" xfId="0" applyAlignment="1" applyBorder="1" applyFill="1" applyFont="1" applyNumberFormat="1">
      <alignment horizontal="center" shrinkToFit="0" vertical="center" wrapText="1"/>
    </xf>
    <xf borderId="13" fillId="7" fontId="11" numFmtId="3" xfId="0" applyAlignment="1" applyBorder="1" applyFill="1" applyFont="1" applyNumberFormat="1">
      <alignment horizontal="center" shrinkToFit="0" vertical="center" wrapText="1"/>
    </xf>
    <xf borderId="13" fillId="3" fontId="9" numFmtId="3" xfId="0" applyAlignment="1" applyBorder="1" applyFill="1" applyFont="1" applyNumberFormat="1">
      <alignment horizontal="center" shrinkToFit="0" vertical="center" wrapText="1"/>
    </xf>
    <xf borderId="13" fillId="8" fontId="11" numFmtId="3" xfId="0" applyAlignment="1" applyBorder="1" applyFill="1" applyFont="1" applyNumberFormat="1">
      <alignment horizontal="center" shrinkToFit="0" vertical="center" wrapText="1"/>
    </xf>
    <xf borderId="13" fillId="13" fontId="43" numFmtId="0" xfId="0" applyAlignment="1" applyBorder="1" applyFill="1" applyFont="1">
      <alignment horizontal="center" readingOrder="0" shrinkToFit="0" vertical="center" wrapText="1"/>
    </xf>
    <xf borderId="13" fillId="13" fontId="44" numFmtId="0" xfId="0" applyAlignment="1" applyBorder="1" applyFill="1" applyFont="1">
      <alignment horizontal="center" shrinkToFit="0" vertical="center" wrapText="1"/>
    </xf>
    <xf borderId="13" fillId="13" fontId="44" numFmtId="0" xfId="0" applyAlignment="1" applyBorder="1" applyFill="1" applyFont="1">
      <alignment horizontal="center" shrinkToFit="0" vertical="center" wrapText="1"/>
    </xf>
    <xf borderId="13" fillId="13" fontId="44" numFmtId="49" xfId="0" applyAlignment="1" applyBorder="1" applyFill="1" applyFont="1" applyNumberFormat="1">
      <alignment horizontal="center" shrinkToFit="0" vertical="center" wrapText="1"/>
    </xf>
    <xf borderId="13" fillId="13" fontId="44" numFmtId="0" xfId="0" applyAlignment="1" applyBorder="1" applyFill="1" applyFont="1">
      <alignment horizontal="center" readingOrder="0" shrinkToFit="0" vertical="center" wrapText="1"/>
    </xf>
    <xf borderId="13" fillId="11" fontId="45" numFmtId="0" xfId="0" applyAlignment="1" applyBorder="1" applyFill="1" applyFont="1">
      <alignment horizontal="center" readingOrder="0" shrinkToFit="0" vertical="center" wrapText="1"/>
    </xf>
    <xf borderId="13" fillId="11" fontId="45" numFmtId="49" xfId="0" applyAlignment="1" applyBorder="1" applyFill="1" applyFont="1" applyNumberFormat="1">
      <alignment horizontal="center" readingOrder="0" shrinkToFit="0" vertical="center" wrapText="1"/>
    </xf>
    <xf borderId="13" fillId="11" fontId="46" numFmtId="0" xfId="0" applyAlignment="1" applyBorder="1" applyFill="1" applyFont="1">
      <alignment horizontal="center" readingOrder="0" shrinkToFit="0" vertical="center" wrapText="1"/>
    </xf>
    <xf borderId="13" fillId="11" fontId="45" numFmtId="166" xfId="0" applyAlignment="1" applyBorder="1" applyFill="1" applyFont="1" applyNumberFormat="1">
      <alignment horizontal="center" readingOrder="0" shrinkToFit="0" vertical="center" wrapText="1"/>
    </xf>
    <xf borderId="13" fillId="0" fontId="45" numFmtId="0" xfId="0" applyAlignment="1" applyBorder="1" applyFont="1">
      <alignment horizontal="center" readingOrder="0" shrinkToFit="0" vertical="center" wrapText="1"/>
    </xf>
    <xf borderId="13" fillId="11" fontId="45" numFmtId="0" xfId="0" applyAlignment="1" applyBorder="1" applyFill="1" applyFont="1">
      <alignment horizontal="center" shrinkToFit="0" vertical="center" wrapText="1"/>
    </xf>
    <xf borderId="13" fillId="0" fontId="45" numFmtId="0" xfId="0" applyAlignment="1" applyBorder="1" applyFont="1">
      <alignment horizontal="center" vertical="center"/>
    </xf>
    <xf borderId="13" fillId="11" fontId="45" numFmtId="164" xfId="0" applyAlignment="1" applyBorder="1" applyFill="1" applyFont="1" applyNumberFormat="1">
      <alignment horizontal="center" shrinkToFit="0" vertical="center" wrapText="1"/>
    </xf>
    <xf borderId="13" fillId="11" fontId="45" numFmtId="0" xfId="0" applyAlignment="1" applyBorder="1" applyFill="1" applyFont="1">
      <alignment horizontal="center" shrinkToFit="0" vertical="center" wrapText="1"/>
    </xf>
    <xf borderId="13" fillId="11" fontId="45" numFmtId="166" xfId="0" applyAlignment="1" applyBorder="1" applyFill="1" applyFont="1" applyNumberFormat="1">
      <alignment horizontal="center" shrinkToFit="0" vertical="center" wrapText="1"/>
    </xf>
    <xf borderId="13" fillId="11" fontId="45" numFmtId="0" xfId="0" applyAlignment="1" applyBorder="1" applyFill="1" applyFont="1">
      <alignment horizontal="center" vertical="center"/>
    </xf>
    <xf borderId="13" fillId="0" fontId="45" numFmtId="0" xfId="0" applyAlignment="1" applyBorder="1" applyFont="1">
      <alignment horizontal="center" shrinkToFit="0" vertical="center" wrapText="1"/>
    </xf>
    <xf borderId="13" fillId="11" fontId="47" numFmtId="0" xfId="0" applyAlignment="1" applyBorder="1" applyFill="1" applyFont="1">
      <alignment horizontal="center" readingOrder="0" shrinkToFit="0" vertical="center" wrapText="1"/>
    </xf>
    <xf borderId="13" fillId="11" fontId="46" numFmtId="49" xfId="0" applyAlignment="1" applyBorder="1" applyFill="1" applyFont="1" applyNumberFormat="1">
      <alignment horizontal="center" readingOrder="0" shrinkToFit="0" vertical="center" wrapText="1"/>
    </xf>
    <xf borderId="13" fillId="11" fontId="45" numFmtId="11" xfId="0" applyAlignment="1" applyBorder="1" applyFill="1" applyFont="1" applyNumberFormat="1">
      <alignment horizontal="center" readingOrder="0" shrinkToFit="0" vertical="center" wrapText="1"/>
    </xf>
    <xf borderId="13" fillId="0" fontId="46" numFmtId="0" xfId="0" applyAlignment="1" applyBorder="1" applyFont="1">
      <alignment horizontal="center" readingOrder="0" shrinkToFit="0" vertical="center" wrapText="1"/>
    </xf>
    <xf borderId="13" fillId="11" fontId="48" numFmtId="0" xfId="0" applyAlignment="1" applyBorder="1" applyFill="1" applyFont="1">
      <alignment horizontal="center" readingOrder="0" shrinkToFit="0" vertical="center" wrapText="1"/>
    </xf>
    <xf borderId="13" fillId="11" fontId="48" numFmtId="0" xfId="0" applyAlignment="1" applyBorder="1" applyFill="1" applyFont="1">
      <alignment horizontal="center" readingOrder="0" shrinkToFit="0" vertical="center" wrapText="1"/>
    </xf>
    <xf borderId="13" fillId="11" fontId="48" numFmtId="166" xfId="0" applyAlignment="1" applyBorder="1" applyFill="1" applyFont="1" applyNumberFormat="1">
      <alignment horizontal="center" readingOrder="0" shrinkToFit="0" vertical="center" wrapText="1"/>
    </xf>
    <xf borderId="13" fillId="11" fontId="49" numFmtId="0" xfId="0" applyAlignment="1" applyBorder="1" applyFill="1" applyFont="1">
      <alignment horizontal="center" readingOrder="0" shrinkToFit="0" vertical="center" wrapText="1"/>
    </xf>
    <xf borderId="13" fillId="0" fontId="45" numFmtId="164" xfId="0" applyAlignment="1" applyBorder="1" applyFont="1" applyNumberFormat="1">
      <alignment horizontal="center" shrinkToFit="0" vertical="center" wrapText="1"/>
    </xf>
    <xf borderId="13" fillId="11" fontId="45" numFmtId="49" xfId="0" applyAlignment="1" applyBorder="1" applyFill="1" applyFont="1" applyNumberFormat="1">
      <alignment horizontal="center" shrinkToFit="0" vertical="center" wrapText="1"/>
    </xf>
    <xf borderId="13" fillId="0" fontId="45" numFmtId="166" xfId="0" applyAlignment="1" applyBorder="1" applyFont="1" applyNumberFormat="1">
      <alignment horizontal="center" readingOrder="0" shrinkToFit="0" vertical="center" wrapText="1"/>
    </xf>
    <xf borderId="13" fillId="0" fontId="45" numFmtId="49" xfId="0" applyAlignment="1" applyBorder="1" applyFont="1" applyNumberFormat="1">
      <alignment horizontal="center" readingOrder="0" shrinkToFit="0" vertical="center" wrapText="1"/>
    </xf>
    <xf borderId="13" fillId="0" fontId="45" numFmtId="165" xfId="0" applyAlignment="1" applyBorder="1" applyFont="1" applyNumberFormat="1">
      <alignment horizontal="center" shrinkToFit="0" vertical="center" wrapText="1"/>
    </xf>
    <xf borderId="13" fillId="11" fontId="45" numFmtId="167" xfId="0" applyAlignment="1" applyBorder="1" applyFill="1" applyFont="1" applyNumberFormat="1">
      <alignment horizontal="center" shrinkToFit="0" vertical="center" wrapText="1"/>
    </xf>
    <xf borderId="13" fillId="0" fontId="50" numFmtId="0" xfId="0" applyAlignment="1" applyBorder="1" applyFont="1">
      <alignment horizontal="center" readingOrder="0" shrinkToFit="0" vertical="center" wrapText="1"/>
    </xf>
    <xf borderId="13" fillId="0" fontId="46" numFmtId="164" xfId="0" applyAlignment="1" applyBorder="1" applyFont="1" applyNumberFormat="1">
      <alignment horizontal="center" shrinkToFit="0" vertical="center" wrapText="1"/>
    </xf>
    <xf borderId="13" fillId="11" fontId="45" numFmtId="165" xfId="0" applyAlignment="1" applyBorder="1" applyFill="1" applyFont="1" applyNumberFormat="1">
      <alignment horizontal="center" shrinkToFit="0" vertical="center" wrapText="1"/>
    </xf>
    <xf borderId="13" fillId="11" fontId="45" numFmtId="0" xfId="0" applyAlignment="1" applyBorder="1" applyFill="1" applyFont="1">
      <alignment horizontal="center" readingOrder="0" shrinkToFit="0" vertical="center" wrapText="1"/>
    </xf>
    <xf borderId="13" fillId="0" fontId="45" numFmtId="0" xfId="0" applyAlignment="1" applyBorder="1" applyFont="1">
      <alignment horizontal="center" shrinkToFit="0" vertical="center" wrapText="1"/>
    </xf>
    <xf borderId="13" fillId="11" fontId="48" numFmtId="0" xfId="0" applyAlignment="1" applyBorder="1" applyFill="1" applyFont="1">
      <alignment horizontal="center" shrinkToFit="0" wrapText="1"/>
    </xf>
    <xf borderId="13" fillId="11" fontId="45" numFmtId="14" xfId="0" applyAlignment="1" applyBorder="1" applyFill="1" applyFont="1" applyNumberFormat="1">
      <alignment horizontal="center" shrinkToFit="0" vertical="center" wrapText="1"/>
    </xf>
    <xf borderId="13" fillId="11" fontId="45" numFmtId="164" xfId="0" applyAlignment="1" applyBorder="1" applyFill="1" applyFont="1" applyNumberFormat="1">
      <alignment horizontal="center" vertical="center"/>
    </xf>
    <xf borderId="13" fillId="0" fontId="45" numFmtId="14" xfId="0" applyAlignment="1" applyBorder="1" applyFont="1" applyNumberFormat="1">
      <alignment horizontal="center" shrinkToFit="0" vertical="center" wrapText="1"/>
    </xf>
    <xf borderId="13" fillId="11" fontId="45" numFmtId="0" xfId="0" applyAlignment="1" applyBorder="1" applyFill="1" applyFont="1">
      <alignment horizontal="center" readingOrder="0" vertical="center"/>
    </xf>
    <xf borderId="13" fillId="0" fontId="45" numFmtId="164" xfId="0" applyAlignment="1" applyBorder="1" applyFont="1" applyNumberFormat="1">
      <alignment horizontal="center" vertical="center"/>
    </xf>
    <xf borderId="13" fillId="0" fontId="45" numFmtId="0" xfId="0" applyAlignment="1" applyBorder="1" applyFont="1">
      <alignment horizontal="center" readingOrder="0" vertical="center"/>
    </xf>
    <xf borderId="13" fillId="11" fontId="45" numFmtId="14" xfId="0" applyAlignment="1" applyBorder="1" applyFill="1" applyFont="1" applyNumberFormat="1">
      <alignment horizontal="center" vertical="center"/>
    </xf>
    <xf borderId="13" fillId="0" fontId="45" numFmtId="14" xfId="0" applyAlignment="1" applyBorder="1" applyFont="1" applyNumberFormat="1">
      <alignment horizontal="center" vertical="center"/>
    </xf>
    <xf borderId="13" fillId="11" fontId="45" numFmtId="0" xfId="0" applyAlignment="1" applyBorder="1" applyFill="1" applyFont="1">
      <alignment horizontal="center" vertical="center"/>
    </xf>
    <xf borderId="13" fillId="0" fontId="45" numFmtId="0" xfId="0" applyAlignment="1" applyBorder="1" applyFont="1">
      <alignment horizontal="center" vertical="center"/>
    </xf>
    <xf borderId="13" fillId="0" fontId="45" numFmtId="166" xfId="0" applyAlignment="1" applyBorder="1" applyFont="1" applyNumberFormat="1">
      <alignment horizontal="center" readingOrder="0" vertical="center"/>
    </xf>
    <xf borderId="13" fillId="11" fontId="45" numFmtId="166" xfId="0" applyAlignment="1" applyBorder="1" applyFill="1" applyFont="1" applyNumberFormat="1">
      <alignment horizontal="center" readingOrder="0" vertical="center"/>
    </xf>
    <xf borderId="13" fillId="0" fontId="46" numFmtId="0" xfId="0" applyAlignment="1" applyBorder="1" applyFont="1">
      <alignment horizontal="center" shrinkToFit="0" vertical="center" wrapText="1"/>
    </xf>
    <xf borderId="13" fillId="11" fontId="23" numFmtId="0" xfId="0" applyAlignment="1" applyBorder="1" applyFill="1" applyFont="1">
      <alignment readingOrder="0"/>
    </xf>
    <xf borderId="13" fillId="11" fontId="48" numFmtId="0" xfId="0" applyAlignment="1" applyBorder="1" applyFill="1" applyFont="1">
      <alignment horizontal="center" readingOrder="0" shrinkToFit="0" wrapText="1"/>
    </xf>
    <xf borderId="13" fillId="11" fontId="51" numFmtId="0" xfId="0" applyAlignment="1" applyBorder="1" applyFill="1" applyFont="1">
      <alignment horizontal="center" readingOrder="0" shrinkToFit="0" wrapText="1"/>
    </xf>
    <xf borderId="13" fillId="11" fontId="48" numFmtId="166" xfId="0" applyAlignment="1" applyBorder="1" applyFill="1" applyFont="1" applyNumberFormat="1">
      <alignment horizontal="center" readingOrder="0" shrinkToFit="0" wrapText="1"/>
    </xf>
    <xf borderId="13" fillId="0" fontId="48" numFmtId="0" xfId="0" applyAlignment="1" applyBorder="1" applyFont="1">
      <alignment horizontal="center" readingOrder="0" shrinkToFit="0" wrapText="1"/>
    </xf>
    <xf borderId="13" fillId="11" fontId="23" numFmtId="0" xfId="0" applyBorder="1" applyFill="1" applyFont="1"/>
    <xf borderId="0" fillId="13" fontId="44" numFmtId="0" xfId="0" applyAlignment="1" applyFill="1" applyFont="1">
      <alignment horizontal="center" shrinkToFit="0" vertical="center" wrapText="1"/>
    </xf>
    <xf borderId="13" fillId="11" fontId="52" numFmtId="0" xfId="0" applyAlignment="1" applyBorder="1" applyFill="1" applyFont="1">
      <alignment horizontal="center" readingOrder="0" shrinkToFit="0" vertical="center" wrapText="1"/>
    </xf>
    <xf borderId="0" fillId="11" fontId="45" numFmtId="0" xfId="0" applyAlignment="1" applyFill="1" applyFont="1">
      <alignment horizontal="center" readingOrder="0" shrinkToFit="0" vertical="center" wrapText="1"/>
    </xf>
    <xf borderId="0" fillId="11" fontId="45" numFmtId="0" xfId="0" applyAlignment="1" applyFill="1" applyFont="1">
      <alignment horizontal="center" shrinkToFit="0" vertical="center" wrapText="1"/>
    </xf>
    <xf borderId="0" fillId="11" fontId="45" numFmtId="0" xfId="0" applyAlignment="1" applyFill="1" applyFont="1">
      <alignment horizontal="center" shrinkToFit="0" vertical="center" wrapText="1"/>
    </xf>
    <xf borderId="13" fillId="14" fontId="45" numFmtId="0" xfId="0" applyAlignment="1" applyBorder="1" applyFill="1" applyFont="1">
      <alignment horizontal="center" readingOrder="0" shrinkToFit="0" vertical="center" wrapText="1"/>
    </xf>
    <xf borderId="0" fillId="14" fontId="10" numFmtId="0" xfId="0" applyAlignment="1" applyFill="1" applyFont="1">
      <alignment readingOrder="0"/>
    </xf>
    <xf borderId="0" fillId="11" fontId="10" numFmtId="0" xfId="0" applyAlignment="1" applyFill="1" applyFont="1">
      <alignment readingOrder="0"/>
    </xf>
    <xf borderId="13" fillId="11" fontId="53" numFmtId="0" xfId="0" applyAlignment="1" applyBorder="1" applyFill="1" applyFont="1">
      <alignment horizontal="center" readingOrder="0" shrinkToFit="0" vertical="center" wrapText="1"/>
    </xf>
    <xf borderId="0" fillId="11" fontId="45" numFmtId="164" xfId="0" applyAlignment="1" applyFill="1" applyFont="1" applyNumberFormat="1">
      <alignment horizontal="center" shrinkToFit="0" vertical="center" wrapText="1"/>
    </xf>
    <xf borderId="13" fillId="0" fontId="52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13" fillId="11" fontId="45" numFmtId="49" xfId="0" applyAlignment="1" applyBorder="1" applyFill="1" applyFont="1" applyNumberFormat="1">
      <alignment horizontal="center" readingOrder="0" shrinkToFit="0" vertical="center" wrapText="1"/>
    </xf>
    <xf borderId="13" fillId="0" fontId="45" numFmtId="0" xfId="0" applyAlignment="1" applyBorder="1" applyFont="1">
      <alignment horizontal="center" readingOrder="0" shrinkToFit="0" vertical="center" wrapText="1"/>
    </xf>
    <xf borderId="13" fillId="0" fontId="45" numFmtId="166" xfId="0" applyAlignment="1" applyBorder="1" applyFont="1" applyNumberFormat="1">
      <alignment horizontal="center" readingOrder="0" shrinkToFit="0" vertical="center" wrapText="1"/>
    </xf>
    <xf borderId="13" fillId="11" fontId="45" numFmtId="166" xfId="0" applyAlignment="1" applyBorder="1" applyFill="1" applyFont="1" applyNumberFormat="1">
      <alignment horizontal="center" readingOrder="0" shrinkToFit="0" vertical="center" wrapText="1"/>
    </xf>
    <xf borderId="13" fillId="11" fontId="45" numFmtId="0" xfId="0" applyAlignment="1" applyBorder="1" applyFill="1" applyFont="1">
      <alignment horizontal="center" readingOrder="0" shrinkToFit="0" vertical="center" wrapText="1"/>
    </xf>
    <xf borderId="13" fillId="0" fontId="10" numFmtId="0" xfId="0" applyBorder="1" applyFont="1"/>
    <xf borderId="13" fillId="11" fontId="45" numFmtId="0" xfId="0" applyAlignment="1" applyBorder="1" applyFill="1" applyFont="1">
      <alignment horizontal="center" shrinkToFit="0" vertical="center" wrapText="1"/>
    </xf>
    <xf borderId="13" fillId="0" fontId="45" numFmtId="49" xfId="0" applyAlignment="1" applyBorder="1" applyFont="1" applyNumberFormat="1">
      <alignment horizontal="center" readingOrder="0" shrinkToFit="0" vertical="center" wrapText="1"/>
    </xf>
    <xf borderId="13" fillId="0" fontId="46" numFmtId="165" xfId="0" applyAlignment="1" applyBorder="1" applyFont="1" applyNumberFormat="1">
      <alignment horizontal="center" shrinkToFit="0" vertical="center" wrapText="1"/>
    </xf>
    <xf borderId="13" fillId="11" fontId="54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13" fillId="0" fontId="55" numFmtId="0" xfId="0" applyAlignment="1" applyBorder="1" applyFont="1">
      <alignment horizontal="center" readingOrder="0" shrinkToFit="0" vertical="center" wrapText="1"/>
    </xf>
    <xf borderId="0" fillId="0" fontId="45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/>
    </xf>
    <xf borderId="13" fillId="0" fontId="45" numFmtId="0" xfId="0" applyAlignment="1" applyBorder="1" applyFont="1">
      <alignment horizontal="center" readingOrder="0" shrinkToFit="0" vertical="center" wrapText="1"/>
    </xf>
    <xf borderId="13" fillId="11" fontId="45" numFmtId="49" xfId="0" applyAlignment="1" applyBorder="1" applyFill="1" applyFont="1" applyNumberFormat="1">
      <alignment horizontal="center" readingOrder="0" shrinkToFit="0" vertical="center" wrapText="1"/>
    </xf>
    <xf borderId="13" fillId="0" fontId="45" numFmtId="49" xfId="0" applyAlignment="1" applyBorder="1" applyFont="1" applyNumberFormat="1">
      <alignment horizontal="center" readingOrder="0" shrinkToFit="0" vertical="center" wrapText="1"/>
    </xf>
    <xf borderId="13" fillId="11" fontId="45" numFmtId="49" xfId="0" applyAlignment="1" applyBorder="1" applyFill="1" applyFont="1" applyNumberFormat="1">
      <alignment horizontal="center" readingOrder="0" shrinkToFit="0" vertical="center" wrapText="1"/>
    </xf>
    <xf borderId="13" fillId="11" fontId="49" numFmtId="0" xfId="0" applyAlignment="1" applyBorder="1" applyFill="1" applyFont="1">
      <alignment horizontal="center" readingOrder="0" shrinkToFit="0" wrapText="1"/>
    </xf>
    <xf borderId="13" fillId="0" fontId="49" numFmtId="0" xfId="0" applyAlignment="1" applyBorder="1" applyFont="1">
      <alignment horizontal="center" readingOrder="0" shrinkToFit="0" wrapText="1"/>
    </xf>
    <xf borderId="13" fillId="0" fontId="56" numFmtId="0" xfId="0" applyAlignment="1" applyBorder="1" applyFont="1">
      <alignment horizontal="center" readingOrder="0" shrinkToFit="0" wrapText="1"/>
    </xf>
    <xf borderId="13" fillId="0" fontId="23" numFmtId="0" xfId="0" applyAlignment="1" applyBorder="1" applyFont="1">
      <alignment readingOrder="0" vertical="bottom"/>
    </xf>
    <xf borderId="13" fillId="0" fontId="49" numFmtId="166" xfId="0" applyAlignment="1" applyBorder="1" applyFont="1" applyNumberFormat="1">
      <alignment horizontal="center" readingOrder="0" shrinkToFit="0" wrapText="1"/>
    </xf>
    <xf borderId="13" fillId="11" fontId="49" numFmtId="166" xfId="0" applyAlignment="1" applyBorder="1" applyFill="1" applyFont="1" applyNumberFormat="1">
      <alignment horizontal="center" readingOrder="0" shrinkToFit="0" wrapText="1"/>
    </xf>
    <xf borderId="13" fillId="11" fontId="23" numFmtId="167" xfId="0" applyAlignment="1" applyBorder="1" applyFill="1" applyFont="1" applyNumberFormat="1">
      <alignment horizontal="center" shrinkToFit="0" wrapText="1"/>
    </xf>
    <xf borderId="0" fillId="11" fontId="23" numFmtId="167" xfId="0" applyAlignment="1" applyFill="1" applyFont="1" applyNumberFormat="1">
      <alignment horizontal="center" shrinkToFit="0" wrapText="1"/>
    </xf>
    <xf borderId="3" fillId="2" fontId="42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2" fillId="8" fontId="5" numFmtId="0" xfId="0" applyAlignment="1" applyBorder="1" applyFill="1" applyFont="1">
      <alignment horizontal="center" readingOrder="0" shrinkToFit="0" vertical="center" wrapText="1"/>
    </xf>
    <xf borderId="1" fillId="11" fontId="57" numFmtId="0" xfId="0" applyAlignment="1" applyBorder="1" applyFill="1" applyFont="1">
      <alignment horizontal="center" shrinkToFit="0" vertical="center" wrapText="1"/>
    </xf>
    <xf borderId="7" fillId="11" fontId="57" numFmtId="0" xfId="0" applyAlignment="1" applyBorder="1" applyFill="1" applyFont="1">
      <alignment horizontal="center" shrinkToFit="0" vertical="center" wrapText="1"/>
    </xf>
    <xf borderId="0" fillId="11" fontId="58" numFmtId="0" xfId="0" applyAlignment="1" applyFill="1" applyFont="1">
      <alignment readingOrder="0" shrinkToFit="0" vertical="center" wrapText="1"/>
    </xf>
    <xf borderId="0" fillId="0" fontId="59" numFmtId="0" xfId="0" applyAlignment="1" applyFont="1">
      <alignment readingOrder="0" shrinkToFit="0" vertical="center" wrapText="1"/>
    </xf>
    <xf borderId="0" fillId="0" fontId="60" numFmtId="0" xfId="0" applyAlignment="1" applyFont="1">
      <alignment shrinkToFit="0" wrapText="1"/>
    </xf>
    <xf borderId="0" fillId="0" fontId="60" numFmtId="0" xfId="0" applyAlignment="1" applyFont="1">
      <alignment readingOrder="0" shrinkToFit="0" wrapText="1"/>
    </xf>
    <xf borderId="0" fillId="0" fontId="60" numFmtId="0" xfId="0" applyFont="1"/>
    <xf borderId="0" fillId="0" fontId="10" numFmtId="0" xfId="0" applyAlignment="1" applyFont="1">
      <alignment readingOrder="0" shrinkToFit="0" wrapText="1"/>
    </xf>
    <xf borderId="0" fillId="11" fontId="61" numFmtId="0" xfId="0" applyAlignment="1" applyFill="1" applyFont="1">
      <alignment horizontal="center" readingOrder="0" shrinkToFit="0" wrapText="1"/>
    </xf>
    <xf borderId="0" fillId="0" fontId="35" numFmtId="0" xfId="0" applyAlignment="1" applyFont="1">
      <alignment horizontal="center" shrinkToFit="0" wrapText="1"/>
    </xf>
    <xf borderId="12" fillId="0" fontId="62" numFmtId="0" xfId="0" applyAlignment="1" applyBorder="1" applyFont="1">
      <alignment horizontal="center" shrinkToFit="0" vertical="bottom" wrapText="1"/>
    </xf>
    <xf borderId="10" fillId="0" fontId="62" numFmtId="0" xfId="0" applyAlignment="1" applyBorder="1" applyFont="1">
      <alignment horizontal="center" shrinkToFit="0" vertical="bottom" wrapText="1"/>
    </xf>
    <xf borderId="0" fillId="0" fontId="63" numFmtId="0" xfId="0" applyAlignment="1" applyFont="1">
      <alignment readingOrder="0" shrinkToFit="0" vertical="bottom" wrapText="0"/>
    </xf>
    <xf borderId="0" fillId="0" fontId="35" numFmtId="0" xfId="0" applyAlignment="1" applyFont="1">
      <alignment vertical="bottom"/>
    </xf>
    <xf borderId="0" fillId="0" fontId="63" numFmtId="0" xfId="0" applyAlignment="1" applyFont="1">
      <alignment readingOrder="0" shrinkToFit="0" vertical="bottom" wrapText="1"/>
    </xf>
    <xf borderId="0" fillId="0" fontId="35" numFmtId="0" xfId="0" applyAlignment="1" applyFont="1">
      <alignment readingOrder="0" vertical="bottom"/>
    </xf>
    <xf borderId="0" fillId="11" fontId="64" numFmtId="0" xfId="0" applyAlignment="1" applyFill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Number of Infirmaries By Ownership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 COPY Summary'!$A$28:$A$29</c:f>
            </c:strRef>
          </c:cat>
          <c:val>
            <c:numRef>
              <c:f>' COPY Summary'!$B$28:$B$29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chemeClr val="dk1"/>
                </a:solidFill>
                <a:latin typeface="+mn-lt"/>
              </a:defRPr>
            </a:pPr>
            <a:r>
              <a:rPr b="0" sz="2400">
                <a:solidFill>
                  <a:schemeClr val="dk1"/>
                </a:solidFill>
                <a:latin typeface="+mn-lt"/>
              </a:rPr>
              <a:t>Total No. of Government Infirmary per Region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 COPY Summary'!$B$32:$B$35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 COPY Summary'!$A$36:$A$52</c:f>
            </c:strRef>
          </c:cat>
          <c:val>
            <c:numRef>
              <c:f>' COPY Summary'!$B$36:$B$52</c:f>
              <c:numCache/>
            </c:numRef>
          </c:val>
        </c:ser>
        <c:overlap val="100"/>
        <c:axId val="2032871281"/>
        <c:axId val="1499063542"/>
      </c:barChart>
      <c:catAx>
        <c:axId val="20328712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063542"/>
      </c:catAx>
      <c:valAx>
        <c:axId val="14990635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8712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 COPY Summary'!$B$54:$B$57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 COPY Summary'!$A$58:$A$74</c:f>
            </c:strRef>
          </c:cat>
          <c:val>
            <c:numRef>
              <c:f>' COPY Summary'!$B$58:$B$74</c:f>
              <c:numCache/>
            </c:numRef>
          </c:val>
        </c:ser>
        <c:ser>
          <c:idx val="1"/>
          <c:order val="1"/>
          <c:tx>
            <c:strRef>
              <c:f>' COPY Summary'!$C$54:$C$57</c:f>
            </c:strRef>
          </c:tx>
          <c:invertIfNegative val="0"/>
          <c:cat>
            <c:strRef>
              <c:f>' COPY Summary'!$A$58:$A$74</c:f>
            </c:strRef>
          </c:cat>
          <c:val>
            <c:numRef>
              <c:f>' COPY Summary'!$C$58:$C$74</c:f>
              <c:numCache/>
            </c:numRef>
          </c:val>
        </c:ser>
        <c:overlap val="100"/>
        <c:axId val="853021303"/>
        <c:axId val="2013191533"/>
      </c:barChart>
      <c:catAx>
        <c:axId val="8530213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191533"/>
      </c:catAx>
      <c:valAx>
        <c:axId val="20131915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0213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Regional Distribution of Infirmaries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Government</c:v>
          </c:tx>
          <c:spPr>
            <a:solidFill>
              <a:srgbClr val="274E13"/>
            </a:solidFill>
            <a:ln cmpd="sng">
              <a:noFill/>
            </a:ln>
          </c:spPr>
          <c:invertIfNegative val="0"/>
          <c:cat>
            <c:strRef>
              <c:f>' COPY Summary'!$A$5:$A$21</c:f>
            </c:strRef>
          </c:cat>
          <c:val>
            <c:numRef>
              <c:f>' COPY Summary'!$C$5:$C$21</c:f>
              <c:numCache/>
            </c:numRef>
          </c:val>
        </c:ser>
        <c:ser>
          <c:idx val="1"/>
          <c:order val="1"/>
          <c:tx>
            <c:v>Private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 COPY Summary'!$A$5:$A$21</c:f>
            </c:strRef>
          </c:cat>
          <c:val>
            <c:numRef>
              <c:f>' COPY Summary'!$E$5:$E$21</c:f>
              <c:numCache/>
            </c:numRef>
          </c:val>
        </c:ser>
        <c:overlap val="100"/>
        <c:axId val="946612137"/>
        <c:axId val="1714671320"/>
      </c:barChart>
      <c:catAx>
        <c:axId val="9466121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671320"/>
      </c:catAx>
      <c:valAx>
        <c:axId val="17146713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6121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Authorized Bed Capacity per Region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 COPY Summary'!$K$1:$K$4</c:f>
            </c:strRef>
          </c:tx>
          <c:invertIfNegative val="0"/>
          <c:val>
            <c:numRef>
              <c:f>' COPY Summary'!$K$5:$K$23</c:f>
              <c:numCache/>
            </c:numRef>
          </c:val>
        </c:ser>
        <c:ser>
          <c:idx val="1"/>
          <c:order val="1"/>
          <c:tx>
            <c:strRef>
              <c:f>' COPY Summary'!$L$1:$L$4</c:f>
            </c:strRef>
          </c:tx>
          <c:invertIfNegative val="0"/>
          <c:val>
            <c:numRef>
              <c:f>' COPY Summary'!$L$5:$L$23</c:f>
              <c:numCache/>
            </c:numRef>
          </c:val>
        </c:ser>
        <c:overlap val="100"/>
        <c:axId val="2111084394"/>
        <c:axId val="209536952"/>
      </c:barChart>
      <c:catAx>
        <c:axId val="21110843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36952"/>
      </c:catAx>
      <c:valAx>
        <c:axId val="20953695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1110843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695325</xdr:colOff>
      <xdr:row>26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695325</xdr:colOff>
      <xdr:row>41</xdr:row>
      <xdr:rowOff>276225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266700</xdr:colOff>
      <xdr:row>57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1057275</xdr:colOff>
      <xdr:row>26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1152525</xdr:colOff>
      <xdr:row>37</xdr:row>
      <xdr:rowOff>133350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88"/>
    <col customWidth="1" min="3" max="8" width="13.5"/>
    <col customWidth="1" min="9" max="10" width="19.0"/>
    <col hidden="1" min="11" max="12" width="12.6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4"/>
    </row>
    <row r="2">
      <c r="A2" s="5"/>
      <c r="B2" s="5"/>
      <c r="C2" s="6" t="s">
        <v>3</v>
      </c>
      <c r="D2" s="7"/>
      <c r="E2" s="8" t="s">
        <v>4</v>
      </c>
      <c r="F2" s="7"/>
      <c r="G2" s="9" t="s">
        <v>5</v>
      </c>
      <c r="H2" s="10" t="s">
        <v>6</v>
      </c>
      <c r="I2" s="11" t="s">
        <v>7</v>
      </c>
    </row>
    <row r="3">
      <c r="A3" s="5"/>
      <c r="B3" s="5"/>
      <c r="C3" s="12"/>
      <c r="D3" s="13"/>
      <c r="E3" s="12"/>
      <c r="F3" s="13"/>
      <c r="G3" s="5"/>
      <c r="H3" s="5"/>
      <c r="I3" s="12"/>
      <c r="J3" s="14"/>
    </row>
    <row r="4">
      <c r="A4" s="15"/>
      <c r="B4" s="15"/>
      <c r="C4" s="16" t="s">
        <v>8</v>
      </c>
      <c r="D4" s="16" t="s">
        <v>9</v>
      </c>
      <c r="E4" s="17" t="s">
        <v>8</v>
      </c>
      <c r="F4" s="17" t="s">
        <v>9</v>
      </c>
      <c r="G4" s="15"/>
      <c r="H4" s="15"/>
      <c r="I4" s="18" t="s">
        <v>10</v>
      </c>
      <c r="J4" s="18" t="s">
        <v>11</v>
      </c>
      <c r="K4" s="19" t="s">
        <v>0</v>
      </c>
    </row>
    <row r="5" ht="33.75" customHeight="1">
      <c r="A5" s="20" t="s">
        <v>12</v>
      </c>
      <c r="B5" s="21" t="s">
        <v>13</v>
      </c>
      <c r="C5" s="22">
        <f>countifs(Government!B:B,"NCR", Government!G:G,"Government")</f>
        <v>0</v>
      </c>
      <c r="D5" s="22">
        <f>SUMIFS(Government!I:I,Government!B:B,"NCR", Government!G:G,"Government")</f>
        <v>0</v>
      </c>
      <c r="E5" s="22">
        <f>countifs(Government!B:B,"NCR", Government!G:G,"Private")</f>
        <v>0</v>
      </c>
      <c r="F5" s="22">
        <f>SUMIFS(Government!I:I,Government!B:B,"NCR", Government!G:G,"Private")</f>
        <v>0</v>
      </c>
      <c r="G5" s="23">
        <f t="shared" ref="G5:H5" si="1">SUM(C5,E5)</f>
        <v>0</v>
      </c>
      <c r="H5" s="23">
        <f t="shared" si="1"/>
        <v>0</v>
      </c>
      <c r="I5" s="22">
        <f t="shared" ref="I5:J5" si="2">C5+E5</f>
        <v>0</v>
      </c>
      <c r="J5" s="22">
        <f t="shared" si="2"/>
        <v>0</v>
      </c>
      <c r="K5" s="20" t="s">
        <v>12</v>
      </c>
      <c r="L5" s="24">
        <f t="shared" ref="L5:L21" si="5">SUM(D5,F5)</f>
        <v>0</v>
      </c>
    </row>
    <row r="6" ht="33.75" customHeight="1">
      <c r="A6" s="20" t="s">
        <v>14</v>
      </c>
      <c r="B6" s="21" t="s">
        <v>15</v>
      </c>
      <c r="C6" s="22">
        <f>countifs(Government!B:B,"Region 1", Government!G:G,"Government")</f>
        <v>0</v>
      </c>
      <c r="D6" s="22">
        <f>SUMIFS(Government!I:I,Government!B:B,"Region 1", Government!G:G,"Government")</f>
        <v>0</v>
      </c>
      <c r="E6" s="22">
        <f>countifs(Government!B:B,"Region 1", Government!G:G,"Private")</f>
        <v>0</v>
      </c>
      <c r="F6" s="22">
        <f>SUMIFS(Government!I:I,Government!B:B,"Region 1", Government!G:G,"Private")</f>
        <v>0</v>
      </c>
      <c r="G6" s="23">
        <f t="shared" ref="G6:H6" si="3">SUM(C6,E6)</f>
        <v>0</v>
      </c>
      <c r="H6" s="23">
        <f t="shared" si="3"/>
        <v>0</v>
      </c>
      <c r="I6" s="25">
        <f t="shared" ref="I6:J6" si="4">C6+E6</f>
        <v>0</v>
      </c>
      <c r="J6" s="25">
        <f t="shared" si="4"/>
        <v>0</v>
      </c>
      <c r="K6" s="20" t="s">
        <v>14</v>
      </c>
      <c r="L6" s="24">
        <f t="shared" si="5"/>
        <v>0</v>
      </c>
    </row>
    <row r="7" ht="33.75" customHeight="1">
      <c r="A7" s="20" t="s">
        <v>16</v>
      </c>
      <c r="B7" s="21" t="s">
        <v>17</v>
      </c>
      <c r="C7" s="22">
        <f>countifs(Government!B:B,"Region 2", Government!G:G,"Government")</f>
        <v>0</v>
      </c>
      <c r="D7" s="22">
        <f>SUMIFS(Government!I:I,Government!B:B,"Region 2", Government!G:G,"Government")</f>
        <v>0</v>
      </c>
      <c r="E7" s="22">
        <f>countifs(Government!B:B,"Region 2", Government!G:G,"Private")</f>
        <v>0</v>
      </c>
      <c r="F7" s="22">
        <f>SUMIFS(Government!I:I,Government!B:B,"Region 2", Government!G:G,"Private")</f>
        <v>0</v>
      </c>
      <c r="G7" s="23">
        <f t="shared" ref="G7:H7" si="6">SUM(C7,E7)</f>
        <v>0</v>
      </c>
      <c r="H7" s="23">
        <f t="shared" si="6"/>
        <v>0</v>
      </c>
      <c r="I7" s="25">
        <f t="shared" ref="I7:J7" si="7">C7+E7</f>
        <v>0</v>
      </c>
      <c r="J7" s="25">
        <f t="shared" si="7"/>
        <v>0</v>
      </c>
      <c r="K7" s="20" t="s">
        <v>16</v>
      </c>
      <c r="L7" s="24">
        <f t="shared" si="5"/>
        <v>0</v>
      </c>
    </row>
    <row r="8" ht="33.75" customHeight="1">
      <c r="A8" s="20" t="s">
        <v>18</v>
      </c>
      <c r="B8" s="21" t="s">
        <v>19</v>
      </c>
      <c r="C8" s="22">
        <f>countifs(Government!B:B,"Region 3", Government!G:G,"Government")</f>
        <v>0</v>
      </c>
      <c r="D8" s="22">
        <f>SUMIFS(Government!I:I,Government!B:B,"Region 3", Government!G:G,"Government")</f>
        <v>0</v>
      </c>
      <c r="E8" s="22">
        <f>countifs(Government!B:B,"Region 3", Government!G:G,"Private")</f>
        <v>0</v>
      </c>
      <c r="F8" s="22">
        <f>SUMIFS(Government!I:I,Government!B:B,"Region 3", Government!G:G,"Private")</f>
        <v>0</v>
      </c>
      <c r="G8" s="23">
        <f t="shared" ref="G8:H8" si="8">SUM(C8,E8)</f>
        <v>0</v>
      </c>
      <c r="H8" s="23">
        <f t="shared" si="8"/>
        <v>0</v>
      </c>
      <c r="I8" s="25">
        <f t="shared" ref="I8:J8" si="9">C8+E8</f>
        <v>0</v>
      </c>
      <c r="J8" s="25">
        <f t="shared" si="9"/>
        <v>0</v>
      </c>
      <c r="K8" s="20" t="s">
        <v>18</v>
      </c>
      <c r="L8" s="24">
        <f t="shared" si="5"/>
        <v>0</v>
      </c>
    </row>
    <row r="9" ht="33.75" customHeight="1">
      <c r="A9" s="20" t="s">
        <v>20</v>
      </c>
      <c r="B9" s="21" t="s">
        <v>21</v>
      </c>
      <c r="C9" s="22">
        <f>countifs(Government!B:B,"Region 4-A", Government!G:G,"Government")</f>
        <v>0</v>
      </c>
      <c r="D9" s="22">
        <f>SUMIFS(Government!I:I,Government!B:B,"Region 4-A", Government!G:G,"Government")</f>
        <v>0</v>
      </c>
      <c r="E9" s="22">
        <f>countifs(Government!B:B,"Region 4-A", Government!G:G,"Private")</f>
        <v>0</v>
      </c>
      <c r="F9" s="22">
        <f>SUMIFS(Government!I:I,Government!B:B,"Region 4-A", Government!G:G,"Private")</f>
        <v>0</v>
      </c>
      <c r="G9" s="23">
        <f t="shared" ref="G9:H9" si="10">SUM(C9,E9)</f>
        <v>0</v>
      </c>
      <c r="H9" s="23">
        <f t="shared" si="10"/>
        <v>0</v>
      </c>
      <c r="I9" s="25">
        <f t="shared" ref="I9:J9" si="11">C9+E9</f>
        <v>0</v>
      </c>
      <c r="J9" s="25">
        <f t="shared" si="11"/>
        <v>0</v>
      </c>
      <c r="K9" s="20" t="s">
        <v>20</v>
      </c>
      <c r="L9" s="24">
        <f t="shared" si="5"/>
        <v>0</v>
      </c>
    </row>
    <row r="10" ht="33.75" customHeight="1">
      <c r="A10" s="20" t="s">
        <v>22</v>
      </c>
      <c r="B10" s="21" t="s">
        <v>23</v>
      </c>
      <c r="C10" s="22">
        <f>countifs(Government!B:B,"Region 4-B", Government!G:G,"Government")</f>
        <v>0</v>
      </c>
      <c r="D10" s="22">
        <f>SUMIFS(Government!I:I,Government!B:B,"Region 4-B", Government!G:G,"Government")</f>
        <v>0</v>
      </c>
      <c r="E10" s="22">
        <f>countifs(Government!B:B,"Region 4-B", Government!G:G,"Private")</f>
        <v>0</v>
      </c>
      <c r="F10" s="22">
        <f>SUMIFS(Government!I:I,Government!B:B,"Region 4-B", Government!G:G,"Private")</f>
        <v>0</v>
      </c>
      <c r="G10" s="23">
        <f t="shared" ref="G10:H10" si="12">SUM(C10,E10)</f>
        <v>0</v>
      </c>
      <c r="H10" s="23">
        <f t="shared" si="12"/>
        <v>0</v>
      </c>
      <c r="I10" s="25">
        <f t="shared" ref="I10:J10" si="13">C10+E10</f>
        <v>0</v>
      </c>
      <c r="J10" s="25">
        <f t="shared" si="13"/>
        <v>0</v>
      </c>
      <c r="K10" s="20" t="s">
        <v>22</v>
      </c>
      <c r="L10" s="24">
        <f t="shared" si="5"/>
        <v>0</v>
      </c>
    </row>
    <row r="11" ht="33.75" customHeight="1">
      <c r="A11" s="20" t="s">
        <v>24</v>
      </c>
      <c r="B11" s="21" t="s">
        <v>25</v>
      </c>
      <c r="C11" s="22">
        <f>countifs(Government!B:B,"Region 5", Government!G:G,"Government")</f>
        <v>0</v>
      </c>
      <c r="D11" s="22">
        <f>SUMIFS(Government!I:I,Government!B:B,"Region 5", Government!G:G,"Government")</f>
        <v>0</v>
      </c>
      <c r="E11" s="22">
        <f>countifs(Government!B:B,"Region 5", Government!G:G,"Private")</f>
        <v>0</v>
      </c>
      <c r="F11" s="22">
        <f>SUMIFS(Government!I:I,Government!B:B,"Region 5", Government!G:G,"Private")</f>
        <v>0</v>
      </c>
      <c r="G11" s="23">
        <f t="shared" ref="G11:H11" si="14">SUM(C11,E11)</f>
        <v>0</v>
      </c>
      <c r="H11" s="23">
        <f t="shared" si="14"/>
        <v>0</v>
      </c>
      <c r="I11" s="25">
        <f t="shared" ref="I11:J11" si="15">C11+E11</f>
        <v>0</v>
      </c>
      <c r="J11" s="25">
        <f t="shared" si="15"/>
        <v>0</v>
      </c>
      <c r="K11" s="20" t="s">
        <v>24</v>
      </c>
      <c r="L11" s="24">
        <f t="shared" si="5"/>
        <v>0</v>
      </c>
    </row>
    <row r="12" ht="33.75" customHeight="1">
      <c r="A12" s="20" t="s">
        <v>26</v>
      </c>
      <c r="B12" s="21" t="s">
        <v>27</v>
      </c>
      <c r="C12" s="22">
        <f>countifs(Government!B:B,"Region 6", Government!G:G,"Government")</f>
        <v>0</v>
      </c>
      <c r="D12" s="22">
        <f>SUMIFS(Government!I:I,Government!B:B,"Region 6", Government!G:G,"Government")</f>
        <v>0</v>
      </c>
      <c r="E12" s="22">
        <f>countifs(Government!B:B,"Region 6", Government!G:G,"Private")</f>
        <v>0</v>
      </c>
      <c r="F12" s="22">
        <f>SUMIFS(Government!I:I,Government!B:B,"Region 6", Government!G:G,"Private")</f>
        <v>0</v>
      </c>
      <c r="G12" s="23">
        <f t="shared" ref="G12:H12" si="16">SUM(C12,E12)</f>
        <v>0</v>
      </c>
      <c r="H12" s="23">
        <f t="shared" si="16"/>
        <v>0</v>
      </c>
      <c r="I12" s="25">
        <f t="shared" ref="I12:J12" si="17">C12+E12</f>
        <v>0</v>
      </c>
      <c r="J12" s="25">
        <f t="shared" si="17"/>
        <v>0</v>
      </c>
      <c r="K12" s="20" t="s">
        <v>26</v>
      </c>
      <c r="L12" s="24">
        <f t="shared" si="5"/>
        <v>0</v>
      </c>
    </row>
    <row r="13" ht="33.75" customHeight="1">
      <c r="A13" s="20" t="s">
        <v>28</v>
      </c>
      <c r="B13" s="21" t="s">
        <v>29</v>
      </c>
      <c r="C13" s="22">
        <f>countifs(Government!B:B,"Region 7", Government!G:G,"Government")</f>
        <v>0</v>
      </c>
      <c r="D13" s="22">
        <f>SUMIFS(Government!I:I,Government!B:B,"Region 7", Government!G:G,"Government")</f>
        <v>0</v>
      </c>
      <c r="E13" s="22">
        <f>countifs(Government!B:B,"Region 7", Government!G:G,"Private")</f>
        <v>0</v>
      </c>
      <c r="F13" s="22">
        <f>SUMIFS(Government!I:I,Government!B:B,"Region 7", Government!G:G,"Private")</f>
        <v>0</v>
      </c>
      <c r="G13" s="23">
        <f t="shared" ref="G13:H13" si="18">SUM(C13,E13)</f>
        <v>0</v>
      </c>
      <c r="H13" s="23">
        <f t="shared" si="18"/>
        <v>0</v>
      </c>
      <c r="I13" s="25">
        <f t="shared" ref="I13:J13" si="19">C13+E13</f>
        <v>0</v>
      </c>
      <c r="J13" s="25">
        <f t="shared" si="19"/>
        <v>0</v>
      </c>
      <c r="K13" s="20" t="s">
        <v>28</v>
      </c>
      <c r="L13" s="24">
        <f t="shared" si="5"/>
        <v>0</v>
      </c>
    </row>
    <row r="14" ht="33.75" customHeight="1">
      <c r="A14" s="20" t="s">
        <v>30</v>
      </c>
      <c r="B14" s="21" t="s">
        <v>31</v>
      </c>
      <c r="C14" s="22">
        <f>countifs(Government!B:B,"Region 8", Government!G:G,"Government")</f>
        <v>0</v>
      </c>
      <c r="D14" s="22">
        <f>SUMIFS(Government!I:I,Government!B:B,"Region 8", Government!G:G,"Government")</f>
        <v>0</v>
      </c>
      <c r="E14" s="22">
        <f>countifs(Government!B:B,"Region 8", Government!G:G,"Private")</f>
        <v>0</v>
      </c>
      <c r="F14" s="22">
        <f>SUMIFS(Government!I:I,Government!B:B,"Region 8", Government!G:G,"Private")</f>
        <v>0</v>
      </c>
      <c r="G14" s="23">
        <f t="shared" ref="G14:H14" si="20">SUM(C14,E14)</f>
        <v>0</v>
      </c>
      <c r="H14" s="23">
        <f t="shared" si="20"/>
        <v>0</v>
      </c>
      <c r="I14" s="25">
        <f t="shared" ref="I14:J14" si="21">C14+E14</f>
        <v>0</v>
      </c>
      <c r="J14" s="25">
        <f t="shared" si="21"/>
        <v>0</v>
      </c>
      <c r="K14" s="20" t="s">
        <v>30</v>
      </c>
      <c r="L14" s="24">
        <f t="shared" si="5"/>
        <v>0</v>
      </c>
    </row>
    <row r="15" ht="33.75" customHeight="1">
      <c r="A15" s="20" t="s">
        <v>32</v>
      </c>
      <c r="B15" s="21" t="s">
        <v>33</v>
      </c>
      <c r="C15" s="22">
        <f>countifs(Government!B:B,"Region 9", Government!G:G,"Government")</f>
        <v>0</v>
      </c>
      <c r="D15" s="22">
        <f>SUMIFS(Government!I:I,Government!B:B,"Region 9", Government!G:G,"Government")</f>
        <v>0</v>
      </c>
      <c r="E15" s="22">
        <f>countifs(Government!B:B,"Region 9", Government!G:G,"Private")</f>
        <v>0</v>
      </c>
      <c r="F15" s="22">
        <f>SUMIFS(Government!I:I,Government!B:B,"Region 9", Government!G:G,"Private")</f>
        <v>0</v>
      </c>
      <c r="G15" s="23">
        <f t="shared" ref="G15:H15" si="22">SUM(C15,E15)</f>
        <v>0</v>
      </c>
      <c r="H15" s="23">
        <f t="shared" si="22"/>
        <v>0</v>
      </c>
      <c r="I15" s="25">
        <f t="shared" ref="I15:J15" si="23">C15+E15</f>
        <v>0</v>
      </c>
      <c r="J15" s="25">
        <f t="shared" si="23"/>
        <v>0</v>
      </c>
      <c r="K15" s="20" t="s">
        <v>32</v>
      </c>
      <c r="L15" s="24">
        <f t="shared" si="5"/>
        <v>0</v>
      </c>
    </row>
    <row r="16" ht="33.75" customHeight="1">
      <c r="A16" s="26" t="s">
        <v>34</v>
      </c>
      <c r="B16" s="21" t="s">
        <v>35</v>
      </c>
      <c r="C16" s="22">
        <f>countifs(Government!B:B,"Region 10", Government!G:G,"Government")</f>
        <v>0</v>
      </c>
      <c r="D16" s="22">
        <f>SUMIFS(Government!I:I,Government!B:B,"Region 10", Government!G:G,"Government")</f>
        <v>0</v>
      </c>
      <c r="E16" s="22">
        <f>countifs(Government!B:B,"Region 10", Government!G:G,"Private")</f>
        <v>0</v>
      </c>
      <c r="F16" s="22">
        <f>SUMIFS(Government!I:I,Government!B:B,"Region 10", Government!G:G,"Private")</f>
        <v>0</v>
      </c>
      <c r="G16" s="23">
        <f t="shared" ref="G16:H16" si="24">SUM(C16,E16)</f>
        <v>0</v>
      </c>
      <c r="H16" s="23">
        <f t="shared" si="24"/>
        <v>0</v>
      </c>
      <c r="I16" s="25">
        <f t="shared" ref="I16:J16" si="25">C16+E16</f>
        <v>0</v>
      </c>
      <c r="J16" s="25">
        <f t="shared" si="25"/>
        <v>0</v>
      </c>
      <c r="K16" s="26" t="s">
        <v>34</v>
      </c>
      <c r="L16" s="24">
        <f t="shared" si="5"/>
        <v>0</v>
      </c>
    </row>
    <row r="17" ht="33.75" customHeight="1">
      <c r="A17" s="20" t="s">
        <v>36</v>
      </c>
      <c r="B17" s="21" t="s">
        <v>37</v>
      </c>
      <c r="C17" s="22">
        <f>countifs(Government!B:B,"Region 11", Government!G:G,"Government")</f>
        <v>0</v>
      </c>
      <c r="D17" s="22">
        <f>SUMIFS(Government!I:I,Government!B:B,"Region 11", Government!G:G,"Government")</f>
        <v>0</v>
      </c>
      <c r="E17" s="22">
        <f>countifs(Government!B:B,"Region 11", Government!G:G,"Private")</f>
        <v>0</v>
      </c>
      <c r="F17" s="22">
        <f>SUMIFS(Government!I:I,Government!B:B,"Region 11", Government!G:G,"Private")</f>
        <v>0</v>
      </c>
      <c r="G17" s="23">
        <f t="shared" ref="G17:H17" si="26">SUM(C17,E17)</f>
        <v>0</v>
      </c>
      <c r="H17" s="23">
        <f t="shared" si="26"/>
        <v>0</v>
      </c>
      <c r="I17" s="25">
        <f t="shared" ref="I17:J17" si="27">C17+E17</f>
        <v>0</v>
      </c>
      <c r="J17" s="25">
        <f t="shared" si="27"/>
        <v>0</v>
      </c>
      <c r="K17" s="20" t="s">
        <v>36</v>
      </c>
      <c r="L17" s="24">
        <f t="shared" si="5"/>
        <v>0</v>
      </c>
    </row>
    <row r="18" ht="33.75" customHeight="1">
      <c r="A18" s="20" t="s">
        <v>38</v>
      </c>
      <c r="B18" s="21" t="s">
        <v>39</v>
      </c>
      <c r="C18" s="22">
        <f>countifs(Government!B:B,"Region 12", Government!G:G,"Government")</f>
        <v>0</v>
      </c>
      <c r="D18" s="22">
        <f>SUMIFS(Government!I:I,Government!B:B,"Region 12", Government!G:G,"Government")</f>
        <v>0</v>
      </c>
      <c r="E18" s="22">
        <f>countifs(Government!B:B,"Region 12", Government!G:G,"Private")</f>
        <v>0</v>
      </c>
      <c r="F18" s="22">
        <f>SUMIFS(Government!I:I,Government!B:B,"Region 12", Government!G:G,"Private")</f>
        <v>0</v>
      </c>
      <c r="G18" s="23">
        <f t="shared" ref="G18:H18" si="28">SUM(C18,E18)</f>
        <v>0</v>
      </c>
      <c r="H18" s="23">
        <f t="shared" si="28"/>
        <v>0</v>
      </c>
      <c r="I18" s="25">
        <f t="shared" ref="I18:J18" si="29">C18+E18</f>
        <v>0</v>
      </c>
      <c r="J18" s="25">
        <f t="shared" si="29"/>
        <v>0</v>
      </c>
      <c r="K18" s="20" t="s">
        <v>38</v>
      </c>
      <c r="L18" s="24">
        <f t="shared" si="5"/>
        <v>0</v>
      </c>
    </row>
    <row r="19" ht="33.75" customHeight="1">
      <c r="A19" s="20" t="s">
        <v>40</v>
      </c>
      <c r="B19" s="21" t="s">
        <v>41</v>
      </c>
      <c r="C19" s="22">
        <f>countifs(Government!B:B,"Region 13", Government!G:G,"Government")</f>
        <v>0</v>
      </c>
      <c r="D19" s="22">
        <f>SUMIFS(Government!I:I,Government!B:B,"Region 13", Government!G:G,"Government")</f>
        <v>0</v>
      </c>
      <c r="E19" s="22">
        <f>countifs(Government!B:B,"Region 13", Government!G:G,"Private")</f>
        <v>0</v>
      </c>
      <c r="F19" s="22">
        <f>SUMIFS(Government!I:I,Government!B:B,"Region 13", Government!G:G,"Private")</f>
        <v>0</v>
      </c>
      <c r="G19" s="23">
        <f t="shared" ref="G19:H19" si="30">SUM(C19,E19)</f>
        <v>0</v>
      </c>
      <c r="H19" s="23">
        <f t="shared" si="30"/>
        <v>0</v>
      </c>
      <c r="I19" s="25">
        <f t="shared" ref="I19:J19" si="31">C19+E19</f>
        <v>0</v>
      </c>
      <c r="J19" s="25">
        <f t="shared" si="31"/>
        <v>0</v>
      </c>
      <c r="K19" s="20" t="s">
        <v>40</v>
      </c>
      <c r="L19" s="24">
        <f t="shared" si="5"/>
        <v>0</v>
      </c>
    </row>
    <row r="20" ht="33.75" customHeight="1">
      <c r="A20" s="20" t="s">
        <v>42</v>
      </c>
      <c r="B20" s="21" t="s">
        <v>43</v>
      </c>
      <c r="C20" s="22">
        <f>countifs(Government!B:B,"CORDILLERA", Government!G:G,"Government")</f>
        <v>0</v>
      </c>
      <c r="D20" s="22">
        <f>SUMIFS(Government!I:I,Government!B:B,"CORDILLERA", Government!G:G,"Government")</f>
        <v>0</v>
      </c>
      <c r="E20" s="22">
        <f>countifs(Government!B:B,"CORDILLERA", Government!G:G,"Private")</f>
        <v>0</v>
      </c>
      <c r="F20" s="22">
        <f>SUMIFS(Government!I:I,Government!B:B,"CORDILLERA", Government!G:G,"Private")</f>
        <v>0</v>
      </c>
      <c r="G20" s="23">
        <f t="shared" ref="G20:H20" si="32">SUM(C20,E20)</f>
        <v>0</v>
      </c>
      <c r="H20" s="23">
        <f t="shared" si="32"/>
        <v>0</v>
      </c>
      <c r="I20" s="25">
        <f t="shared" ref="I20:J20" si="33">C20+E20</f>
        <v>0</v>
      </c>
      <c r="J20" s="25">
        <f t="shared" si="33"/>
        <v>0</v>
      </c>
      <c r="K20" s="20" t="s">
        <v>42</v>
      </c>
      <c r="L20" s="24">
        <f t="shared" si="5"/>
        <v>0</v>
      </c>
    </row>
    <row r="21" ht="33.75" customHeight="1">
      <c r="A21" s="20" t="s">
        <v>44</v>
      </c>
      <c r="B21" s="21" t="s">
        <v>45</v>
      </c>
      <c r="C21" s="22">
        <f>countifs(Government!B:B,"BARMM", Government!G:G,"Government")</f>
        <v>0</v>
      </c>
      <c r="D21" s="22">
        <f>SUMIFS(Government!I:I,Government!B:B,"BARMM", Government!G:G,"Government")</f>
        <v>0</v>
      </c>
      <c r="E21" s="22">
        <f>countifs(Government!B:B,"BARMM", Government!G:G,"Private")</f>
        <v>0</v>
      </c>
      <c r="F21" s="22">
        <f>SUMIFS(Government!I:I,Government!B:B,"BARMM", Government!G:G,"Private")</f>
        <v>0</v>
      </c>
      <c r="G21" s="23">
        <f t="shared" ref="G21:H21" si="34">SUM(C21,E21)</f>
        <v>0</v>
      </c>
      <c r="H21" s="23">
        <f t="shared" si="34"/>
        <v>0</v>
      </c>
      <c r="I21" s="25">
        <f t="shared" ref="I21:J21" si="35">C21+E21</f>
        <v>0</v>
      </c>
      <c r="J21" s="25">
        <f t="shared" si="35"/>
        <v>0</v>
      </c>
      <c r="K21" s="20" t="s">
        <v>44</v>
      </c>
      <c r="L21" s="24">
        <f t="shared" si="5"/>
        <v>0</v>
      </c>
    </row>
    <row r="22" ht="33.75" customHeight="1">
      <c r="A22" s="27" t="s">
        <v>46</v>
      </c>
      <c r="B22" s="4"/>
      <c r="C22" s="28">
        <f t="shared" ref="C22:D22" si="36">sum(C5:C21)</f>
        <v>0</v>
      </c>
      <c r="D22" s="28">
        <f t="shared" si="36"/>
        <v>0</v>
      </c>
      <c r="E22" s="29">
        <f t="shared" ref="E22:F22" si="37">SUM(E5:E21)</f>
        <v>0</v>
      </c>
      <c r="F22" s="29">
        <f t="shared" si="37"/>
        <v>0</v>
      </c>
      <c r="G22" s="30">
        <f t="shared" ref="G22:H22" si="38">SUM(C22,E22)</f>
        <v>0</v>
      </c>
      <c r="H22" s="30">
        <f t="shared" si="38"/>
        <v>0</v>
      </c>
      <c r="I22" s="31">
        <f t="shared" ref="I22:J22" si="39">SUM(I5:I21)</f>
        <v>0</v>
      </c>
      <c r="J22" s="31">
        <f t="shared" si="39"/>
        <v>0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>
      <c r="A23" s="33"/>
      <c r="B23" s="33"/>
      <c r="L23" s="24">
        <f>SUM(L5:L22)</f>
        <v>0</v>
      </c>
    </row>
    <row r="24">
      <c r="A24" s="33"/>
      <c r="B24" s="33"/>
    </row>
    <row r="25">
      <c r="A25" s="33"/>
      <c r="B25" s="33"/>
      <c r="H25" s="34">
        <f>SUM(D22,F22)</f>
        <v>0</v>
      </c>
    </row>
    <row r="26">
      <c r="A26" s="35"/>
      <c r="B26" s="35"/>
      <c r="C26" s="36"/>
    </row>
    <row r="27">
      <c r="A27" s="35"/>
      <c r="B27" s="35"/>
    </row>
    <row r="28">
      <c r="A28" s="37" t="s">
        <v>3</v>
      </c>
      <c r="B28" s="38">
        <f>C22</f>
        <v>0</v>
      </c>
      <c r="C28" s="39"/>
    </row>
    <row r="29">
      <c r="A29" s="37" t="s">
        <v>4</v>
      </c>
      <c r="B29" s="38">
        <f>E22</f>
        <v>0</v>
      </c>
    </row>
    <row r="30">
      <c r="A30" s="36"/>
      <c r="B30" s="36"/>
      <c r="C30" s="40"/>
    </row>
    <row r="31">
      <c r="A31" s="36"/>
      <c r="B31" s="36"/>
    </row>
    <row r="32">
      <c r="A32" s="1" t="s">
        <v>0</v>
      </c>
      <c r="B32" s="6" t="s">
        <v>3</v>
      </c>
    </row>
    <row r="33">
      <c r="A33" s="5"/>
      <c r="B33" s="41"/>
    </row>
    <row r="34">
      <c r="A34" s="5"/>
      <c r="B34" s="41"/>
    </row>
    <row r="35">
      <c r="A35" s="15"/>
      <c r="B35" s="12"/>
    </row>
    <row r="36">
      <c r="A36" s="20" t="s">
        <v>12</v>
      </c>
      <c r="B36" s="22">
        <v>5.0</v>
      </c>
    </row>
    <row r="37">
      <c r="A37" s="20" t="s">
        <v>14</v>
      </c>
      <c r="B37" s="22">
        <v>9.0</v>
      </c>
    </row>
    <row r="38">
      <c r="A38" s="20" t="s">
        <v>16</v>
      </c>
      <c r="B38" s="22">
        <v>22.0</v>
      </c>
    </row>
    <row r="39">
      <c r="A39" s="20" t="s">
        <v>18</v>
      </c>
      <c r="B39" s="22">
        <v>14.0</v>
      </c>
    </row>
    <row r="40">
      <c r="A40" s="20" t="s">
        <v>20</v>
      </c>
      <c r="B40" s="22">
        <v>27.0</v>
      </c>
    </row>
    <row r="41">
      <c r="A41" s="20" t="s">
        <v>22</v>
      </c>
      <c r="B41" s="22">
        <v>25.0</v>
      </c>
    </row>
    <row r="42">
      <c r="A42" s="20" t="s">
        <v>24</v>
      </c>
      <c r="B42" s="22">
        <v>32.0</v>
      </c>
    </row>
    <row r="43">
      <c r="A43" s="20" t="s">
        <v>26</v>
      </c>
      <c r="B43" s="22">
        <v>28.0</v>
      </c>
    </row>
    <row r="44">
      <c r="A44" s="20" t="s">
        <v>28</v>
      </c>
      <c r="B44" s="22">
        <v>42.0</v>
      </c>
    </row>
    <row r="45">
      <c r="A45" s="20" t="s">
        <v>30</v>
      </c>
      <c r="B45" s="22">
        <v>29.0</v>
      </c>
    </row>
    <row r="46">
      <c r="A46" s="20" t="s">
        <v>32</v>
      </c>
      <c r="B46" s="22">
        <v>19.0</v>
      </c>
    </row>
    <row r="47">
      <c r="A47" s="26" t="s">
        <v>34</v>
      </c>
      <c r="B47" s="22">
        <v>19.0</v>
      </c>
    </row>
    <row r="48">
      <c r="A48" s="20" t="s">
        <v>36</v>
      </c>
      <c r="B48" s="22">
        <v>13.0</v>
      </c>
    </row>
    <row r="49">
      <c r="A49" s="20" t="s">
        <v>38</v>
      </c>
      <c r="B49" s="22">
        <v>15.0</v>
      </c>
    </row>
    <row r="50">
      <c r="A50" s="20" t="s">
        <v>40</v>
      </c>
      <c r="B50" s="22">
        <v>21.0</v>
      </c>
    </row>
    <row r="51">
      <c r="A51" s="20" t="s">
        <v>42</v>
      </c>
      <c r="B51" s="22">
        <v>16.0</v>
      </c>
    </row>
    <row r="52">
      <c r="A52" s="20" t="s">
        <v>44</v>
      </c>
      <c r="B52" s="22">
        <v>16.0</v>
      </c>
    </row>
    <row r="53">
      <c r="A53" s="33"/>
      <c r="B53" s="33"/>
    </row>
    <row r="54">
      <c r="A54" s="1" t="s">
        <v>0</v>
      </c>
      <c r="B54" s="8" t="s">
        <v>4</v>
      </c>
      <c r="C54" s="7"/>
    </row>
    <row r="55">
      <c r="A55" s="5"/>
      <c r="B55" s="41"/>
      <c r="C55" s="42"/>
    </row>
    <row r="56">
      <c r="A56" s="5"/>
      <c r="B56" s="41"/>
      <c r="C56" s="42"/>
    </row>
    <row r="57">
      <c r="A57" s="15"/>
      <c r="B57" s="12"/>
      <c r="C57" s="13"/>
    </row>
    <row r="58">
      <c r="A58" s="20" t="s">
        <v>12</v>
      </c>
      <c r="B58" s="43">
        <v>14.0</v>
      </c>
      <c r="C58" s="4"/>
    </row>
    <row r="59">
      <c r="A59" s="20" t="s">
        <v>14</v>
      </c>
      <c r="B59" s="43">
        <v>24.0</v>
      </c>
      <c r="C59" s="4"/>
    </row>
    <row r="60">
      <c r="A60" s="20" t="s">
        <v>16</v>
      </c>
      <c r="B60" s="43">
        <v>8.0</v>
      </c>
      <c r="C60" s="4"/>
    </row>
    <row r="61">
      <c r="A61" s="20" t="s">
        <v>18</v>
      </c>
      <c r="B61" s="43">
        <v>18.0</v>
      </c>
      <c r="C61" s="4"/>
    </row>
    <row r="62">
      <c r="A62" s="20" t="s">
        <v>20</v>
      </c>
      <c r="B62" s="43">
        <v>19.0</v>
      </c>
      <c r="C62" s="4"/>
    </row>
    <row r="63">
      <c r="A63" s="20" t="s">
        <v>22</v>
      </c>
      <c r="B63" s="43">
        <v>11.0</v>
      </c>
      <c r="C63" s="4"/>
    </row>
    <row r="64">
      <c r="A64" s="20" t="s">
        <v>24</v>
      </c>
      <c r="B64" s="43">
        <v>24.0</v>
      </c>
      <c r="C64" s="4"/>
    </row>
    <row r="65">
      <c r="A65" s="20" t="s">
        <v>26</v>
      </c>
      <c r="B65" s="43">
        <v>4.0</v>
      </c>
      <c r="C65" s="4"/>
    </row>
    <row r="66">
      <c r="A66" s="20" t="s">
        <v>28</v>
      </c>
      <c r="B66" s="43">
        <v>12.0</v>
      </c>
      <c r="C66" s="4"/>
    </row>
    <row r="67">
      <c r="A67" s="20" t="s">
        <v>30</v>
      </c>
      <c r="B67" s="43">
        <v>10.0</v>
      </c>
      <c r="C67" s="4"/>
    </row>
    <row r="68">
      <c r="A68" s="20" t="s">
        <v>32</v>
      </c>
      <c r="B68" s="43">
        <v>12.0</v>
      </c>
      <c r="C68" s="4"/>
    </row>
    <row r="69">
      <c r="A69" s="26" t="s">
        <v>34</v>
      </c>
      <c r="B69" s="43">
        <v>17.0</v>
      </c>
      <c r="C69" s="4"/>
    </row>
    <row r="70">
      <c r="A70" s="20" t="s">
        <v>36</v>
      </c>
      <c r="B70" s="43">
        <v>31.0</v>
      </c>
      <c r="C70" s="4"/>
    </row>
    <row r="71">
      <c r="A71" s="20" t="s">
        <v>38</v>
      </c>
      <c r="B71" s="43">
        <v>27.0</v>
      </c>
      <c r="C71" s="4"/>
    </row>
    <row r="72">
      <c r="A72" s="20" t="s">
        <v>40</v>
      </c>
      <c r="B72" s="43">
        <v>6.0</v>
      </c>
      <c r="C72" s="4"/>
    </row>
    <row r="73">
      <c r="A73" s="20" t="s">
        <v>42</v>
      </c>
      <c r="B73" s="43">
        <v>7.0</v>
      </c>
      <c r="C73" s="4"/>
    </row>
    <row r="74">
      <c r="A74" s="20" t="s">
        <v>44</v>
      </c>
      <c r="B74" s="43">
        <v>12.0</v>
      </c>
      <c r="C74" s="4"/>
    </row>
    <row r="75">
      <c r="A75" s="33"/>
      <c r="B75" s="33"/>
    </row>
    <row r="76">
      <c r="A76" s="33"/>
      <c r="B76" s="33"/>
    </row>
    <row r="77">
      <c r="A77" s="33"/>
      <c r="B77" s="33"/>
    </row>
    <row r="78">
      <c r="A78" s="33"/>
      <c r="B78" s="33"/>
    </row>
    <row r="79">
      <c r="A79" s="33"/>
      <c r="B79" s="33"/>
    </row>
    <row r="80">
      <c r="A80" s="33"/>
      <c r="B80" s="33"/>
    </row>
    <row r="81">
      <c r="A81" s="33"/>
      <c r="B81" s="33"/>
    </row>
    <row r="82">
      <c r="A82" s="33"/>
      <c r="B82" s="33"/>
    </row>
    <row r="83">
      <c r="A83" s="33"/>
      <c r="B83" s="33"/>
    </row>
    <row r="84">
      <c r="A84" s="33"/>
      <c r="B84" s="33"/>
    </row>
    <row r="85">
      <c r="A85" s="33"/>
      <c r="B85" s="33"/>
    </row>
    <row r="86">
      <c r="A86" s="33"/>
      <c r="B86" s="33"/>
    </row>
    <row r="87">
      <c r="A87" s="33"/>
      <c r="B87" s="33"/>
    </row>
    <row r="88">
      <c r="A88" s="33"/>
      <c r="B88" s="33"/>
    </row>
    <row r="89">
      <c r="A89" s="33"/>
      <c r="B89" s="33"/>
    </row>
    <row r="90">
      <c r="A90" s="33"/>
      <c r="B90" s="33"/>
    </row>
    <row r="91">
      <c r="A91" s="33"/>
      <c r="B91" s="33"/>
    </row>
    <row r="92">
      <c r="A92" s="33"/>
      <c r="B92" s="33"/>
    </row>
    <row r="93">
      <c r="A93" s="33"/>
      <c r="B93" s="33"/>
    </row>
    <row r="94">
      <c r="A94" s="33"/>
      <c r="B94" s="33"/>
    </row>
    <row r="95">
      <c r="A95" s="33"/>
      <c r="B95" s="33"/>
    </row>
    <row r="96">
      <c r="A96" s="33"/>
      <c r="B96" s="33"/>
    </row>
    <row r="97">
      <c r="A97" s="33"/>
      <c r="B97" s="33"/>
    </row>
    <row r="98">
      <c r="A98" s="33"/>
      <c r="B98" s="33"/>
    </row>
    <row r="99">
      <c r="A99" s="33"/>
      <c r="B99" s="33"/>
    </row>
    <row r="100">
      <c r="A100" s="33"/>
      <c r="B100" s="33"/>
    </row>
    <row r="101">
      <c r="A101" s="33"/>
      <c r="B101" s="33"/>
    </row>
    <row r="102">
      <c r="A102" s="33"/>
      <c r="B102" s="33"/>
    </row>
    <row r="103">
      <c r="A103" s="33"/>
      <c r="B103" s="33"/>
    </row>
    <row r="104">
      <c r="A104" s="33"/>
      <c r="B104" s="33"/>
    </row>
    <row r="105">
      <c r="A105" s="33"/>
      <c r="B105" s="33"/>
    </row>
    <row r="106">
      <c r="A106" s="33"/>
      <c r="B106" s="33"/>
    </row>
    <row r="107">
      <c r="A107" s="33"/>
      <c r="B107" s="33"/>
    </row>
    <row r="108">
      <c r="A108" s="33"/>
      <c r="B108" s="33"/>
    </row>
    <row r="109">
      <c r="A109" s="33"/>
      <c r="B109" s="33"/>
    </row>
    <row r="110">
      <c r="A110" s="33"/>
      <c r="B110" s="33"/>
    </row>
    <row r="111">
      <c r="A111" s="33"/>
      <c r="B111" s="33"/>
    </row>
    <row r="112">
      <c r="A112" s="33"/>
      <c r="B112" s="33"/>
    </row>
    <row r="113">
      <c r="A113" s="33"/>
      <c r="B113" s="33"/>
    </row>
    <row r="114">
      <c r="A114" s="33"/>
      <c r="B114" s="33"/>
    </row>
    <row r="115">
      <c r="A115" s="33"/>
      <c r="B115" s="33"/>
    </row>
    <row r="116">
      <c r="A116" s="33"/>
      <c r="B116" s="33"/>
    </row>
    <row r="117">
      <c r="A117" s="33"/>
      <c r="B117" s="33"/>
    </row>
    <row r="118">
      <c r="A118" s="33"/>
      <c r="B118" s="33"/>
    </row>
    <row r="119">
      <c r="A119" s="33"/>
      <c r="B119" s="33"/>
    </row>
    <row r="120">
      <c r="A120" s="33"/>
      <c r="B120" s="33"/>
    </row>
    <row r="121">
      <c r="A121" s="33"/>
      <c r="B121" s="33"/>
    </row>
    <row r="122">
      <c r="A122" s="33"/>
      <c r="B122" s="33"/>
    </row>
    <row r="123">
      <c r="A123" s="33"/>
      <c r="B123" s="33"/>
    </row>
    <row r="124">
      <c r="A124" s="33"/>
      <c r="B124" s="33"/>
    </row>
    <row r="125">
      <c r="A125" s="33"/>
      <c r="B125" s="33"/>
    </row>
    <row r="126">
      <c r="A126" s="33"/>
      <c r="B126" s="33"/>
    </row>
    <row r="127">
      <c r="A127" s="33"/>
      <c r="B127" s="33"/>
    </row>
    <row r="128">
      <c r="A128" s="33"/>
      <c r="B128" s="33"/>
    </row>
    <row r="129">
      <c r="A129" s="33"/>
      <c r="B129" s="33"/>
    </row>
    <row r="130">
      <c r="A130" s="33"/>
      <c r="B130" s="33"/>
    </row>
    <row r="131">
      <c r="A131" s="33"/>
      <c r="B131" s="33"/>
    </row>
    <row r="132">
      <c r="A132" s="33"/>
      <c r="B132" s="33"/>
    </row>
    <row r="133">
      <c r="A133" s="33"/>
      <c r="B133" s="33"/>
    </row>
    <row r="134">
      <c r="A134" s="33"/>
      <c r="B134" s="33"/>
    </row>
    <row r="135">
      <c r="A135" s="33"/>
      <c r="B135" s="33"/>
    </row>
    <row r="136">
      <c r="A136" s="33"/>
      <c r="B136" s="33"/>
    </row>
    <row r="137">
      <c r="A137" s="33"/>
      <c r="B137" s="33"/>
    </row>
    <row r="138">
      <c r="A138" s="33"/>
      <c r="B138" s="33"/>
    </row>
    <row r="139">
      <c r="A139" s="33"/>
      <c r="B139" s="33"/>
    </row>
    <row r="140">
      <c r="A140" s="33"/>
      <c r="B140" s="33"/>
    </row>
    <row r="141">
      <c r="A141" s="33"/>
      <c r="B141" s="33"/>
    </row>
    <row r="142">
      <c r="A142" s="33"/>
      <c r="B142" s="33"/>
    </row>
    <row r="143">
      <c r="A143" s="33"/>
      <c r="B143" s="33"/>
    </row>
    <row r="144">
      <c r="A144" s="33"/>
      <c r="B144" s="33"/>
    </row>
    <row r="145">
      <c r="A145" s="33"/>
      <c r="B145" s="33"/>
    </row>
    <row r="146">
      <c r="A146" s="33"/>
      <c r="B146" s="33"/>
    </row>
    <row r="147">
      <c r="A147" s="33"/>
      <c r="B147" s="33"/>
    </row>
    <row r="148">
      <c r="A148" s="33"/>
      <c r="B148" s="33"/>
    </row>
    <row r="149">
      <c r="A149" s="33"/>
      <c r="B149" s="33"/>
    </row>
    <row r="150">
      <c r="A150" s="33"/>
      <c r="B150" s="33"/>
    </row>
    <row r="151">
      <c r="A151" s="33"/>
      <c r="B151" s="33"/>
    </row>
    <row r="152">
      <c r="A152" s="33"/>
      <c r="B152" s="33"/>
    </row>
    <row r="153">
      <c r="A153" s="33"/>
      <c r="B153" s="33"/>
    </row>
    <row r="154">
      <c r="A154" s="33"/>
      <c r="B154" s="33"/>
    </row>
    <row r="155">
      <c r="A155" s="33"/>
      <c r="B155" s="33"/>
    </row>
    <row r="156">
      <c r="A156" s="33"/>
      <c r="B156" s="33"/>
    </row>
    <row r="157">
      <c r="A157" s="33"/>
      <c r="B157" s="33"/>
    </row>
    <row r="158">
      <c r="A158" s="33"/>
      <c r="B158" s="33"/>
    </row>
    <row r="159">
      <c r="A159" s="33"/>
      <c r="B159" s="33"/>
    </row>
    <row r="160">
      <c r="A160" s="33"/>
      <c r="B160" s="33"/>
    </row>
    <row r="161">
      <c r="A161" s="33"/>
      <c r="B161" s="33"/>
    </row>
    <row r="162">
      <c r="A162" s="33"/>
      <c r="B162" s="33"/>
    </row>
    <row r="163">
      <c r="A163" s="33"/>
      <c r="B163" s="33"/>
    </row>
    <row r="164">
      <c r="A164" s="33"/>
      <c r="B164" s="33"/>
    </row>
    <row r="165">
      <c r="A165" s="33"/>
      <c r="B165" s="33"/>
    </row>
    <row r="166">
      <c r="A166" s="33"/>
      <c r="B166" s="33"/>
    </row>
    <row r="167">
      <c r="A167" s="33"/>
      <c r="B167" s="33"/>
    </row>
    <row r="168">
      <c r="A168" s="33"/>
      <c r="B168" s="33"/>
    </row>
    <row r="169">
      <c r="A169" s="33"/>
      <c r="B169" s="33"/>
    </row>
    <row r="170">
      <c r="A170" s="33"/>
      <c r="B170" s="33"/>
    </row>
    <row r="171">
      <c r="A171" s="33"/>
      <c r="B171" s="33"/>
    </row>
    <row r="172">
      <c r="A172" s="33"/>
      <c r="B172" s="33"/>
    </row>
    <row r="173">
      <c r="A173" s="33"/>
      <c r="B173" s="33"/>
    </row>
    <row r="174">
      <c r="A174" s="33"/>
      <c r="B174" s="33"/>
    </row>
    <row r="175">
      <c r="A175" s="33"/>
      <c r="B175" s="33"/>
    </row>
    <row r="176">
      <c r="A176" s="33"/>
      <c r="B176" s="33"/>
    </row>
    <row r="177">
      <c r="A177" s="33"/>
      <c r="B177" s="33"/>
    </row>
    <row r="178">
      <c r="A178" s="33"/>
      <c r="B178" s="33"/>
    </row>
    <row r="179">
      <c r="A179" s="33"/>
      <c r="B179" s="33"/>
    </row>
    <row r="180">
      <c r="A180" s="33"/>
      <c r="B180" s="33"/>
    </row>
    <row r="181">
      <c r="A181" s="33"/>
      <c r="B181" s="33"/>
    </row>
    <row r="182">
      <c r="A182" s="33"/>
      <c r="B182" s="33"/>
    </row>
    <row r="183">
      <c r="A183" s="33"/>
      <c r="B183" s="33"/>
    </row>
    <row r="184">
      <c r="A184" s="33"/>
      <c r="B184" s="33"/>
    </row>
    <row r="185">
      <c r="A185" s="33"/>
      <c r="B185" s="33"/>
    </row>
    <row r="186">
      <c r="A186" s="33"/>
      <c r="B186" s="33"/>
    </row>
    <row r="187">
      <c r="A187" s="33"/>
      <c r="B187" s="33"/>
    </row>
    <row r="188">
      <c r="A188" s="33"/>
      <c r="B188" s="33"/>
    </row>
    <row r="189">
      <c r="A189" s="33"/>
      <c r="B189" s="33"/>
    </row>
    <row r="190">
      <c r="A190" s="33"/>
      <c r="B190" s="33"/>
    </row>
    <row r="191">
      <c r="A191" s="33"/>
      <c r="B191" s="33"/>
    </row>
    <row r="192">
      <c r="A192" s="33"/>
      <c r="B192" s="33"/>
    </row>
    <row r="193">
      <c r="A193" s="33"/>
      <c r="B193" s="33"/>
    </row>
    <row r="194">
      <c r="A194" s="33"/>
      <c r="B194" s="33"/>
    </row>
    <row r="195">
      <c r="A195" s="33"/>
      <c r="B195" s="33"/>
    </row>
    <row r="196">
      <c r="A196" s="33"/>
      <c r="B196" s="33"/>
    </row>
    <row r="197">
      <c r="A197" s="33"/>
      <c r="B197" s="33"/>
    </row>
    <row r="198">
      <c r="A198" s="33"/>
      <c r="B198" s="33"/>
    </row>
    <row r="199">
      <c r="A199" s="33"/>
      <c r="B199" s="33"/>
    </row>
    <row r="200">
      <c r="A200" s="33"/>
      <c r="B200" s="33"/>
    </row>
    <row r="201">
      <c r="A201" s="33"/>
      <c r="B201" s="33"/>
    </row>
    <row r="202">
      <c r="A202" s="33"/>
      <c r="B202" s="33"/>
    </row>
    <row r="203">
      <c r="A203" s="33"/>
      <c r="B203" s="33"/>
    </row>
    <row r="204">
      <c r="A204" s="33"/>
      <c r="B204" s="33"/>
    </row>
    <row r="205">
      <c r="A205" s="33"/>
      <c r="B205" s="33"/>
    </row>
    <row r="206">
      <c r="A206" s="33"/>
      <c r="B206" s="33"/>
    </row>
    <row r="207">
      <c r="A207" s="33"/>
      <c r="B207" s="33"/>
    </row>
    <row r="208">
      <c r="A208" s="33"/>
      <c r="B208" s="33"/>
    </row>
    <row r="209">
      <c r="A209" s="33"/>
      <c r="B209" s="33"/>
    </row>
    <row r="210">
      <c r="A210" s="33"/>
      <c r="B210" s="33"/>
    </row>
    <row r="211">
      <c r="A211" s="33"/>
      <c r="B211" s="33"/>
    </row>
    <row r="212">
      <c r="A212" s="33"/>
      <c r="B212" s="33"/>
    </row>
    <row r="213">
      <c r="A213" s="33"/>
      <c r="B213" s="33"/>
    </row>
    <row r="214">
      <c r="A214" s="33"/>
      <c r="B214" s="33"/>
    </row>
    <row r="215">
      <c r="A215" s="33"/>
      <c r="B215" s="33"/>
    </row>
    <row r="216">
      <c r="A216" s="33"/>
      <c r="B216" s="33"/>
    </row>
    <row r="217">
      <c r="A217" s="33"/>
      <c r="B217" s="33"/>
    </row>
    <row r="218">
      <c r="A218" s="33"/>
      <c r="B218" s="33"/>
    </row>
    <row r="219">
      <c r="A219" s="33"/>
      <c r="B219" s="33"/>
    </row>
    <row r="220">
      <c r="A220" s="33"/>
      <c r="B220" s="33"/>
    </row>
    <row r="221">
      <c r="A221" s="33"/>
      <c r="B221" s="33"/>
    </row>
    <row r="222">
      <c r="A222" s="33"/>
      <c r="B222" s="33"/>
    </row>
    <row r="223">
      <c r="A223" s="33"/>
      <c r="B223" s="33"/>
    </row>
    <row r="224">
      <c r="A224" s="33"/>
      <c r="B224" s="33"/>
    </row>
    <row r="225">
      <c r="A225" s="33"/>
      <c r="B225" s="33"/>
    </row>
    <row r="226">
      <c r="A226" s="33"/>
      <c r="B226" s="33"/>
    </row>
    <row r="227">
      <c r="A227" s="33"/>
      <c r="B227" s="33"/>
    </row>
    <row r="228">
      <c r="A228" s="33"/>
      <c r="B228" s="33"/>
    </row>
    <row r="229">
      <c r="A229" s="33"/>
      <c r="B229" s="33"/>
    </row>
    <row r="230">
      <c r="A230" s="33"/>
      <c r="B230" s="33"/>
    </row>
    <row r="231">
      <c r="A231" s="33"/>
      <c r="B231" s="33"/>
    </row>
    <row r="232">
      <c r="A232" s="33"/>
      <c r="B232" s="33"/>
    </row>
    <row r="233">
      <c r="A233" s="33"/>
      <c r="B233" s="33"/>
    </row>
    <row r="234">
      <c r="A234" s="33"/>
      <c r="B234" s="33"/>
    </row>
    <row r="235">
      <c r="A235" s="33"/>
      <c r="B235" s="33"/>
    </row>
    <row r="236">
      <c r="A236" s="33"/>
      <c r="B236" s="33"/>
    </row>
    <row r="237">
      <c r="A237" s="33"/>
      <c r="B237" s="33"/>
    </row>
    <row r="238">
      <c r="A238" s="33"/>
      <c r="B238" s="33"/>
    </row>
    <row r="239">
      <c r="A239" s="33"/>
      <c r="B239" s="33"/>
    </row>
    <row r="240">
      <c r="A240" s="33"/>
      <c r="B240" s="33"/>
    </row>
    <row r="241">
      <c r="A241" s="33"/>
      <c r="B241" s="33"/>
    </row>
    <row r="242">
      <c r="A242" s="33"/>
      <c r="B242" s="33"/>
    </row>
    <row r="243">
      <c r="A243" s="33"/>
      <c r="B243" s="33"/>
    </row>
    <row r="244">
      <c r="A244" s="33"/>
      <c r="B244" s="33"/>
    </row>
    <row r="245">
      <c r="A245" s="33"/>
      <c r="B245" s="33"/>
    </row>
    <row r="246">
      <c r="A246" s="33"/>
      <c r="B246" s="33"/>
    </row>
    <row r="247">
      <c r="A247" s="33"/>
      <c r="B247" s="33"/>
    </row>
    <row r="248">
      <c r="A248" s="33"/>
      <c r="B248" s="33"/>
    </row>
    <row r="249">
      <c r="A249" s="33"/>
      <c r="B249" s="33"/>
    </row>
    <row r="250">
      <c r="A250" s="33"/>
      <c r="B250" s="33"/>
    </row>
    <row r="251">
      <c r="A251" s="33"/>
      <c r="B251" s="33"/>
    </row>
    <row r="252">
      <c r="A252" s="33"/>
      <c r="B252" s="33"/>
    </row>
    <row r="253">
      <c r="A253" s="33"/>
      <c r="B253" s="33"/>
    </row>
    <row r="254">
      <c r="A254" s="33"/>
      <c r="B254" s="33"/>
    </row>
    <row r="255">
      <c r="A255" s="33"/>
      <c r="B255" s="33"/>
    </row>
    <row r="256">
      <c r="A256" s="33"/>
      <c r="B256" s="33"/>
    </row>
    <row r="257">
      <c r="A257" s="33"/>
      <c r="B257" s="33"/>
    </row>
    <row r="258">
      <c r="A258" s="33"/>
      <c r="B258" s="33"/>
    </row>
    <row r="259">
      <c r="A259" s="33"/>
      <c r="B259" s="33"/>
    </row>
    <row r="260">
      <c r="A260" s="33"/>
      <c r="B260" s="33"/>
    </row>
    <row r="261">
      <c r="A261" s="33"/>
      <c r="B261" s="33"/>
    </row>
    <row r="262">
      <c r="A262" s="33"/>
      <c r="B262" s="33"/>
    </row>
    <row r="263">
      <c r="A263" s="33"/>
      <c r="B263" s="33"/>
    </row>
    <row r="264">
      <c r="A264" s="33"/>
      <c r="B264" s="33"/>
    </row>
    <row r="265">
      <c r="A265" s="33"/>
      <c r="B265" s="33"/>
    </row>
    <row r="266">
      <c r="A266" s="33"/>
      <c r="B266" s="33"/>
    </row>
    <row r="267">
      <c r="A267" s="33"/>
      <c r="B267" s="33"/>
    </row>
    <row r="268">
      <c r="A268" s="33"/>
      <c r="B268" s="33"/>
    </row>
    <row r="269">
      <c r="A269" s="33"/>
      <c r="B269" s="33"/>
    </row>
    <row r="270">
      <c r="A270" s="33"/>
      <c r="B270" s="33"/>
    </row>
    <row r="271">
      <c r="A271" s="33"/>
      <c r="B271" s="33"/>
    </row>
    <row r="272">
      <c r="A272" s="33"/>
      <c r="B272" s="33"/>
    </row>
    <row r="273">
      <c r="A273" s="33"/>
      <c r="B273" s="33"/>
    </row>
    <row r="274">
      <c r="A274" s="33"/>
      <c r="B274" s="33"/>
    </row>
    <row r="275">
      <c r="A275" s="33"/>
      <c r="B275" s="33"/>
    </row>
    <row r="276">
      <c r="A276" s="33"/>
      <c r="B276" s="33"/>
    </row>
    <row r="277">
      <c r="A277" s="33"/>
      <c r="B277" s="33"/>
    </row>
    <row r="278">
      <c r="A278" s="33"/>
      <c r="B278" s="33"/>
    </row>
    <row r="279">
      <c r="A279" s="33"/>
      <c r="B279" s="33"/>
    </row>
    <row r="280">
      <c r="A280" s="33"/>
      <c r="B280" s="33"/>
    </row>
    <row r="281">
      <c r="A281" s="33"/>
      <c r="B281" s="33"/>
    </row>
    <row r="282">
      <c r="A282" s="33"/>
      <c r="B282" s="33"/>
    </row>
    <row r="283">
      <c r="A283" s="33"/>
      <c r="B283" s="33"/>
    </row>
    <row r="284">
      <c r="A284" s="33"/>
      <c r="B284" s="33"/>
    </row>
    <row r="285">
      <c r="A285" s="33"/>
      <c r="B285" s="33"/>
    </row>
    <row r="286">
      <c r="A286" s="33"/>
      <c r="B286" s="33"/>
    </row>
    <row r="287">
      <c r="A287" s="33"/>
      <c r="B287" s="33"/>
    </row>
    <row r="288">
      <c r="A288" s="33"/>
      <c r="B288" s="33"/>
    </row>
    <row r="289">
      <c r="A289" s="33"/>
      <c r="B289" s="33"/>
    </row>
    <row r="290">
      <c r="A290" s="33"/>
      <c r="B290" s="33"/>
    </row>
    <row r="291">
      <c r="A291" s="33"/>
      <c r="B291" s="33"/>
    </row>
    <row r="292">
      <c r="A292" s="33"/>
      <c r="B292" s="33"/>
    </row>
    <row r="293">
      <c r="A293" s="33"/>
      <c r="B293" s="33"/>
    </row>
    <row r="294">
      <c r="A294" s="33"/>
      <c r="B294" s="33"/>
    </row>
    <row r="295">
      <c r="A295" s="33"/>
      <c r="B295" s="33"/>
    </row>
    <row r="296">
      <c r="A296" s="33"/>
      <c r="B296" s="33"/>
    </row>
    <row r="297">
      <c r="A297" s="33"/>
      <c r="B297" s="33"/>
    </row>
    <row r="298">
      <c r="A298" s="33"/>
      <c r="B298" s="33"/>
    </row>
    <row r="299">
      <c r="A299" s="33"/>
      <c r="B299" s="33"/>
    </row>
    <row r="300">
      <c r="A300" s="33"/>
      <c r="B300" s="33"/>
    </row>
    <row r="301">
      <c r="A301" s="33"/>
      <c r="B301" s="33"/>
    </row>
    <row r="302">
      <c r="A302" s="33"/>
      <c r="B302" s="33"/>
    </row>
    <row r="303">
      <c r="A303" s="33"/>
      <c r="B303" s="33"/>
    </row>
    <row r="304">
      <c r="A304" s="33"/>
      <c r="B304" s="33"/>
    </row>
    <row r="305">
      <c r="A305" s="33"/>
      <c r="B305" s="33"/>
    </row>
    <row r="306">
      <c r="A306" s="33"/>
      <c r="B306" s="33"/>
    </row>
    <row r="307">
      <c r="A307" s="33"/>
      <c r="B307" s="33"/>
    </row>
    <row r="308">
      <c r="A308" s="33"/>
      <c r="B308" s="33"/>
    </row>
    <row r="309">
      <c r="A309" s="33"/>
      <c r="B309" s="33"/>
    </row>
    <row r="310">
      <c r="A310" s="33"/>
      <c r="B310" s="33"/>
    </row>
    <row r="311">
      <c r="A311" s="33"/>
      <c r="B311" s="33"/>
    </row>
    <row r="312">
      <c r="A312" s="33"/>
      <c r="B312" s="33"/>
    </row>
    <row r="313">
      <c r="A313" s="33"/>
      <c r="B313" s="33"/>
    </row>
    <row r="314">
      <c r="A314" s="33"/>
      <c r="B314" s="33"/>
    </row>
    <row r="315">
      <c r="A315" s="33"/>
      <c r="B315" s="33"/>
    </row>
    <row r="316">
      <c r="A316" s="33"/>
      <c r="B316" s="33"/>
    </row>
    <row r="317">
      <c r="A317" s="33"/>
      <c r="B317" s="33"/>
    </row>
    <row r="318">
      <c r="A318" s="33"/>
      <c r="B318" s="33"/>
    </row>
    <row r="319">
      <c r="A319" s="33"/>
      <c r="B319" s="33"/>
    </row>
    <row r="320">
      <c r="A320" s="33"/>
      <c r="B320" s="33"/>
    </row>
    <row r="321">
      <c r="A321" s="33"/>
      <c r="B321" s="33"/>
    </row>
    <row r="322">
      <c r="A322" s="33"/>
      <c r="B322" s="33"/>
    </row>
    <row r="323">
      <c r="A323" s="33"/>
      <c r="B323" s="33"/>
    </row>
    <row r="324">
      <c r="A324" s="33"/>
      <c r="B324" s="33"/>
    </row>
    <row r="325">
      <c r="A325" s="33"/>
      <c r="B325" s="33"/>
    </row>
    <row r="326">
      <c r="A326" s="33"/>
      <c r="B326" s="33"/>
    </row>
    <row r="327">
      <c r="A327" s="33"/>
      <c r="B327" s="33"/>
    </row>
    <row r="328">
      <c r="A328" s="33"/>
      <c r="B328" s="33"/>
    </row>
    <row r="329">
      <c r="A329" s="33"/>
      <c r="B329" s="33"/>
    </row>
    <row r="330">
      <c r="A330" s="33"/>
      <c r="B330" s="33"/>
    </row>
    <row r="331">
      <c r="A331" s="33"/>
      <c r="B331" s="33"/>
    </row>
    <row r="332">
      <c r="A332" s="33"/>
      <c r="B332" s="33"/>
    </row>
    <row r="333">
      <c r="A333" s="33"/>
      <c r="B333" s="33"/>
    </row>
    <row r="334">
      <c r="A334" s="33"/>
      <c r="B334" s="33"/>
    </row>
    <row r="335">
      <c r="A335" s="33"/>
      <c r="B335" s="33"/>
    </row>
    <row r="336">
      <c r="A336" s="33"/>
      <c r="B336" s="33"/>
    </row>
    <row r="337">
      <c r="A337" s="33"/>
      <c r="B337" s="33"/>
    </row>
    <row r="338">
      <c r="A338" s="33"/>
      <c r="B338" s="33"/>
    </row>
    <row r="339">
      <c r="A339" s="33"/>
      <c r="B339" s="33"/>
    </row>
    <row r="340">
      <c r="A340" s="33"/>
      <c r="B340" s="33"/>
    </row>
    <row r="341">
      <c r="A341" s="33"/>
      <c r="B341" s="33"/>
    </row>
    <row r="342">
      <c r="A342" s="33"/>
      <c r="B342" s="33"/>
    </row>
    <row r="343">
      <c r="A343" s="33"/>
      <c r="B343" s="33"/>
    </row>
    <row r="344">
      <c r="A344" s="33"/>
      <c r="B344" s="33"/>
    </row>
    <row r="345">
      <c r="A345" s="33"/>
      <c r="B345" s="33"/>
    </row>
    <row r="346">
      <c r="A346" s="33"/>
      <c r="B346" s="33"/>
    </row>
    <row r="347">
      <c r="A347" s="33"/>
      <c r="B347" s="33"/>
    </row>
    <row r="348">
      <c r="A348" s="33"/>
      <c r="B348" s="33"/>
    </row>
    <row r="349">
      <c r="A349" s="33"/>
      <c r="B349" s="33"/>
    </row>
    <row r="350">
      <c r="A350" s="33"/>
      <c r="B350" s="33"/>
    </row>
    <row r="351">
      <c r="A351" s="33"/>
      <c r="B351" s="33"/>
    </row>
    <row r="352">
      <c r="A352" s="33"/>
      <c r="B352" s="33"/>
    </row>
    <row r="353">
      <c r="A353" s="33"/>
      <c r="B353" s="33"/>
    </row>
    <row r="354">
      <c r="A354" s="33"/>
      <c r="B354" s="33"/>
    </row>
    <row r="355">
      <c r="A355" s="33"/>
      <c r="B355" s="33"/>
    </row>
    <row r="356">
      <c r="A356" s="33"/>
      <c r="B356" s="33"/>
    </row>
    <row r="357">
      <c r="A357" s="33"/>
      <c r="B357" s="33"/>
    </row>
    <row r="358">
      <c r="A358" s="33"/>
      <c r="B358" s="33"/>
    </row>
    <row r="359">
      <c r="A359" s="33"/>
      <c r="B359" s="33"/>
    </row>
    <row r="360">
      <c r="A360" s="33"/>
      <c r="B360" s="33"/>
    </row>
    <row r="361">
      <c r="A361" s="33"/>
      <c r="B361" s="33"/>
    </row>
    <row r="362">
      <c r="A362" s="33"/>
      <c r="B362" s="33"/>
    </row>
    <row r="363">
      <c r="A363" s="33"/>
      <c r="B363" s="33"/>
    </row>
    <row r="364">
      <c r="A364" s="33"/>
      <c r="B364" s="33"/>
    </row>
    <row r="365">
      <c r="A365" s="33"/>
      <c r="B365" s="33"/>
    </row>
    <row r="366">
      <c r="A366" s="33"/>
      <c r="B366" s="33"/>
    </row>
    <row r="367">
      <c r="A367" s="33"/>
      <c r="B367" s="33"/>
    </row>
    <row r="368">
      <c r="A368" s="33"/>
      <c r="B368" s="33"/>
    </row>
    <row r="369">
      <c r="A369" s="33"/>
      <c r="B369" s="33"/>
    </row>
    <row r="370">
      <c r="A370" s="33"/>
      <c r="B370" s="33"/>
    </row>
    <row r="371">
      <c r="A371" s="33"/>
      <c r="B371" s="33"/>
    </row>
    <row r="372">
      <c r="A372" s="33"/>
      <c r="B372" s="33"/>
    </row>
    <row r="373">
      <c r="A373" s="33"/>
      <c r="B373" s="33"/>
    </row>
    <row r="374">
      <c r="A374" s="33"/>
      <c r="B374" s="33"/>
    </row>
    <row r="375">
      <c r="A375" s="33"/>
      <c r="B375" s="33"/>
    </row>
    <row r="376">
      <c r="A376" s="33"/>
      <c r="B376" s="33"/>
    </row>
    <row r="377">
      <c r="A377" s="33"/>
      <c r="B377" s="33"/>
    </row>
    <row r="378">
      <c r="A378" s="33"/>
      <c r="B378" s="33"/>
    </row>
    <row r="379">
      <c r="A379" s="33"/>
      <c r="B379" s="33"/>
    </row>
    <row r="380">
      <c r="A380" s="33"/>
      <c r="B380" s="33"/>
    </row>
    <row r="381">
      <c r="A381" s="33"/>
      <c r="B381" s="33"/>
    </row>
    <row r="382">
      <c r="A382" s="33"/>
      <c r="B382" s="33"/>
    </row>
    <row r="383">
      <c r="A383" s="33"/>
      <c r="B383" s="33"/>
    </row>
    <row r="384">
      <c r="A384" s="33"/>
      <c r="B384" s="33"/>
    </row>
    <row r="385">
      <c r="A385" s="33"/>
      <c r="B385" s="33"/>
    </row>
    <row r="386">
      <c r="A386" s="33"/>
      <c r="B386" s="33"/>
    </row>
    <row r="387">
      <c r="A387" s="33"/>
      <c r="B387" s="33"/>
    </row>
    <row r="388">
      <c r="A388" s="33"/>
      <c r="B388" s="33"/>
    </row>
    <row r="389">
      <c r="A389" s="33"/>
      <c r="B389" s="33"/>
    </row>
    <row r="390">
      <c r="A390" s="33"/>
      <c r="B390" s="33"/>
    </row>
    <row r="391">
      <c r="A391" s="33"/>
      <c r="B391" s="33"/>
    </row>
    <row r="392">
      <c r="A392" s="33"/>
      <c r="B392" s="33"/>
    </row>
    <row r="393">
      <c r="A393" s="33"/>
      <c r="B393" s="33"/>
    </row>
    <row r="394">
      <c r="A394" s="33"/>
      <c r="B394" s="33"/>
    </row>
    <row r="395">
      <c r="A395" s="33"/>
      <c r="B395" s="33"/>
    </row>
    <row r="396">
      <c r="A396" s="33"/>
      <c r="B396" s="33"/>
    </row>
    <row r="397">
      <c r="A397" s="33"/>
      <c r="B397" s="33"/>
    </row>
    <row r="398">
      <c r="A398" s="33"/>
      <c r="B398" s="33"/>
    </row>
    <row r="399">
      <c r="A399" s="33"/>
      <c r="B399" s="33"/>
    </row>
    <row r="400">
      <c r="A400" s="33"/>
      <c r="B400" s="33"/>
    </row>
    <row r="401">
      <c r="A401" s="33"/>
      <c r="B401" s="33"/>
    </row>
    <row r="402">
      <c r="A402" s="33"/>
      <c r="B402" s="33"/>
    </row>
    <row r="403">
      <c r="A403" s="33"/>
      <c r="B403" s="33"/>
    </row>
    <row r="404">
      <c r="A404" s="33"/>
      <c r="B404" s="33"/>
    </row>
    <row r="405">
      <c r="A405" s="33"/>
      <c r="B405" s="33"/>
    </row>
    <row r="406">
      <c r="A406" s="33"/>
      <c r="B406" s="33"/>
    </row>
    <row r="407">
      <c r="A407" s="33"/>
      <c r="B407" s="33"/>
    </row>
    <row r="408">
      <c r="A408" s="33"/>
      <c r="B408" s="33"/>
    </row>
    <row r="409">
      <c r="A409" s="33"/>
      <c r="B409" s="33"/>
    </row>
    <row r="410">
      <c r="A410" s="33"/>
      <c r="B410" s="33"/>
    </row>
    <row r="411">
      <c r="A411" s="33"/>
      <c r="B411" s="33"/>
    </row>
    <row r="412">
      <c r="A412" s="33"/>
      <c r="B412" s="33"/>
    </row>
    <row r="413">
      <c r="A413" s="33"/>
      <c r="B413" s="33"/>
    </row>
    <row r="414">
      <c r="A414" s="33"/>
      <c r="B414" s="33"/>
    </row>
    <row r="415">
      <c r="A415" s="33"/>
      <c r="B415" s="33"/>
    </row>
    <row r="416">
      <c r="A416" s="33"/>
      <c r="B416" s="33"/>
    </row>
    <row r="417">
      <c r="A417" s="33"/>
      <c r="B417" s="33"/>
    </row>
    <row r="418">
      <c r="A418" s="33"/>
      <c r="B418" s="33"/>
    </row>
    <row r="419">
      <c r="A419" s="33"/>
      <c r="B419" s="33"/>
    </row>
    <row r="420">
      <c r="A420" s="33"/>
      <c r="B420" s="33"/>
    </row>
    <row r="421">
      <c r="A421" s="33"/>
      <c r="B421" s="33"/>
    </row>
    <row r="422">
      <c r="A422" s="33"/>
      <c r="B422" s="33"/>
    </row>
    <row r="423">
      <c r="A423" s="33"/>
      <c r="B423" s="33"/>
    </row>
    <row r="424">
      <c r="A424" s="33"/>
      <c r="B424" s="33"/>
    </row>
    <row r="425">
      <c r="A425" s="33"/>
      <c r="B425" s="33"/>
    </row>
    <row r="426">
      <c r="A426" s="33"/>
      <c r="B426" s="33"/>
    </row>
    <row r="427">
      <c r="A427" s="33"/>
      <c r="B427" s="33"/>
    </row>
    <row r="428">
      <c r="A428" s="33"/>
      <c r="B428" s="33"/>
    </row>
    <row r="429">
      <c r="A429" s="33"/>
      <c r="B429" s="33"/>
    </row>
    <row r="430">
      <c r="A430" s="33"/>
      <c r="B430" s="33"/>
    </row>
    <row r="431">
      <c r="A431" s="33"/>
      <c r="B431" s="33"/>
    </row>
    <row r="432">
      <c r="A432" s="33"/>
      <c r="B432" s="33"/>
    </row>
    <row r="433">
      <c r="A433" s="33"/>
      <c r="B433" s="33"/>
    </row>
    <row r="434">
      <c r="A434" s="33"/>
      <c r="B434" s="33"/>
    </row>
    <row r="435">
      <c r="A435" s="33"/>
      <c r="B435" s="33"/>
    </row>
    <row r="436">
      <c r="A436" s="33"/>
      <c r="B436" s="33"/>
    </row>
    <row r="437">
      <c r="A437" s="33"/>
      <c r="B437" s="33"/>
    </row>
    <row r="438">
      <c r="A438" s="33"/>
      <c r="B438" s="33"/>
    </row>
    <row r="439">
      <c r="A439" s="33"/>
      <c r="B439" s="33"/>
    </row>
    <row r="440">
      <c r="A440" s="33"/>
      <c r="B440" s="33"/>
    </row>
    <row r="441">
      <c r="A441" s="33"/>
      <c r="B441" s="33"/>
    </row>
    <row r="442">
      <c r="A442" s="33"/>
      <c r="B442" s="33"/>
    </row>
    <row r="443">
      <c r="A443" s="33"/>
      <c r="B443" s="33"/>
    </row>
    <row r="444">
      <c r="A444" s="33"/>
      <c r="B444" s="33"/>
    </row>
    <row r="445">
      <c r="A445" s="33"/>
      <c r="B445" s="33"/>
    </row>
    <row r="446">
      <c r="A446" s="33"/>
      <c r="B446" s="33"/>
    </row>
    <row r="447">
      <c r="A447" s="33"/>
      <c r="B447" s="33"/>
    </row>
    <row r="448">
      <c r="A448" s="33"/>
      <c r="B448" s="33"/>
    </row>
    <row r="449">
      <c r="A449" s="33"/>
      <c r="B449" s="33"/>
    </row>
    <row r="450">
      <c r="A450" s="33"/>
      <c r="B450" s="33"/>
    </row>
    <row r="451">
      <c r="A451" s="33"/>
      <c r="B451" s="33"/>
    </row>
    <row r="452">
      <c r="A452" s="33"/>
      <c r="B452" s="33"/>
    </row>
    <row r="453">
      <c r="A453" s="33"/>
      <c r="B453" s="33"/>
    </row>
    <row r="454">
      <c r="A454" s="33"/>
      <c r="B454" s="33"/>
    </row>
    <row r="455">
      <c r="A455" s="33"/>
      <c r="B455" s="33"/>
    </row>
    <row r="456">
      <c r="A456" s="33"/>
      <c r="B456" s="33"/>
    </row>
    <row r="457">
      <c r="A457" s="33"/>
      <c r="B457" s="33"/>
    </row>
    <row r="458">
      <c r="A458" s="33"/>
      <c r="B458" s="33"/>
    </row>
    <row r="459">
      <c r="A459" s="33"/>
      <c r="B459" s="33"/>
    </row>
    <row r="460">
      <c r="A460" s="33"/>
      <c r="B460" s="33"/>
    </row>
    <row r="461">
      <c r="A461" s="33"/>
      <c r="B461" s="33"/>
    </row>
    <row r="462">
      <c r="A462" s="33"/>
      <c r="B462" s="33"/>
    </row>
    <row r="463">
      <c r="A463" s="33"/>
      <c r="B463" s="33"/>
    </row>
    <row r="464">
      <c r="A464" s="33"/>
      <c r="B464" s="33"/>
    </row>
    <row r="465">
      <c r="A465" s="33"/>
      <c r="B465" s="33"/>
    </row>
    <row r="466">
      <c r="A466" s="33"/>
      <c r="B466" s="33"/>
    </row>
    <row r="467">
      <c r="A467" s="33"/>
      <c r="B467" s="33"/>
    </row>
    <row r="468">
      <c r="A468" s="33"/>
      <c r="B468" s="33"/>
    </row>
    <row r="469">
      <c r="A469" s="33"/>
      <c r="B469" s="33"/>
    </row>
    <row r="470">
      <c r="A470" s="33"/>
      <c r="B470" s="33"/>
    </row>
    <row r="471">
      <c r="A471" s="33"/>
      <c r="B471" s="33"/>
    </row>
    <row r="472">
      <c r="A472" s="33"/>
      <c r="B472" s="33"/>
    </row>
    <row r="473">
      <c r="A473" s="33"/>
      <c r="B473" s="33"/>
    </row>
    <row r="474">
      <c r="A474" s="33"/>
      <c r="B474" s="33"/>
    </row>
    <row r="475">
      <c r="A475" s="33"/>
      <c r="B475" s="33"/>
    </row>
    <row r="476">
      <c r="A476" s="33"/>
      <c r="B476" s="33"/>
    </row>
    <row r="477">
      <c r="A477" s="33"/>
      <c r="B477" s="33"/>
    </row>
    <row r="478">
      <c r="A478" s="33"/>
      <c r="B478" s="33"/>
    </row>
    <row r="479">
      <c r="A479" s="33"/>
      <c r="B479" s="33"/>
    </row>
    <row r="480">
      <c r="A480" s="33"/>
      <c r="B480" s="33"/>
    </row>
    <row r="481">
      <c r="A481" s="33"/>
      <c r="B481" s="33"/>
    </row>
    <row r="482">
      <c r="A482" s="33"/>
      <c r="B482" s="33"/>
    </row>
    <row r="483">
      <c r="A483" s="33"/>
      <c r="B483" s="33"/>
    </row>
    <row r="484">
      <c r="A484" s="33"/>
      <c r="B484" s="33"/>
    </row>
    <row r="485">
      <c r="A485" s="33"/>
      <c r="B485" s="33"/>
    </row>
    <row r="486">
      <c r="A486" s="33"/>
      <c r="B486" s="33"/>
    </row>
    <row r="487">
      <c r="A487" s="33"/>
      <c r="B487" s="33"/>
    </row>
    <row r="488">
      <c r="A488" s="33"/>
      <c r="B488" s="33"/>
    </row>
    <row r="489">
      <c r="A489" s="33"/>
      <c r="B489" s="33"/>
    </row>
    <row r="490">
      <c r="A490" s="33"/>
      <c r="B490" s="33"/>
    </row>
    <row r="491">
      <c r="A491" s="33"/>
      <c r="B491" s="33"/>
    </row>
    <row r="492">
      <c r="A492" s="33"/>
      <c r="B492" s="33"/>
    </row>
    <row r="493">
      <c r="A493" s="33"/>
      <c r="B493" s="33"/>
    </row>
    <row r="494">
      <c r="A494" s="33"/>
      <c r="B494" s="33"/>
    </row>
    <row r="495">
      <c r="A495" s="33"/>
      <c r="B495" s="33"/>
    </row>
    <row r="496">
      <c r="A496" s="33"/>
      <c r="B496" s="33"/>
    </row>
    <row r="497">
      <c r="A497" s="33"/>
      <c r="B497" s="33"/>
    </row>
    <row r="498">
      <c r="A498" s="33"/>
      <c r="B498" s="33"/>
    </row>
    <row r="499">
      <c r="A499" s="33"/>
      <c r="B499" s="33"/>
    </row>
    <row r="500">
      <c r="A500" s="33"/>
      <c r="B500" s="33"/>
    </row>
    <row r="501">
      <c r="A501" s="33"/>
      <c r="B501" s="33"/>
    </row>
    <row r="502">
      <c r="A502" s="33"/>
      <c r="B502" s="33"/>
    </row>
    <row r="503">
      <c r="A503" s="33"/>
      <c r="B503" s="33"/>
    </row>
    <row r="504">
      <c r="A504" s="33"/>
      <c r="B504" s="33"/>
    </row>
    <row r="505">
      <c r="A505" s="33"/>
      <c r="B505" s="33"/>
    </row>
    <row r="506">
      <c r="A506" s="33"/>
      <c r="B506" s="33"/>
    </row>
    <row r="507">
      <c r="A507" s="33"/>
      <c r="B507" s="33"/>
    </row>
    <row r="508">
      <c r="A508" s="33"/>
      <c r="B508" s="33"/>
    </row>
    <row r="509">
      <c r="A509" s="33"/>
      <c r="B509" s="33"/>
    </row>
    <row r="510">
      <c r="A510" s="33"/>
      <c r="B510" s="33"/>
    </row>
    <row r="511">
      <c r="A511" s="33"/>
      <c r="B511" s="33"/>
    </row>
    <row r="512">
      <c r="A512" s="33"/>
      <c r="B512" s="33"/>
    </row>
    <row r="513">
      <c r="A513" s="33"/>
      <c r="B513" s="33"/>
    </row>
    <row r="514">
      <c r="A514" s="33"/>
      <c r="B514" s="33"/>
    </row>
    <row r="515">
      <c r="A515" s="33"/>
      <c r="B515" s="33"/>
    </row>
    <row r="516">
      <c r="A516" s="33"/>
      <c r="B516" s="33"/>
    </row>
    <row r="517">
      <c r="A517" s="33"/>
      <c r="B517" s="33"/>
    </row>
    <row r="518">
      <c r="A518" s="33"/>
      <c r="B518" s="33"/>
    </row>
    <row r="519">
      <c r="A519" s="33"/>
      <c r="B519" s="33"/>
    </row>
    <row r="520">
      <c r="A520" s="33"/>
      <c r="B520" s="33"/>
    </row>
    <row r="521">
      <c r="A521" s="33"/>
      <c r="B521" s="33"/>
    </row>
    <row r="522">
      <c r="A522" s="33"/>
      <c r="B522" s="33"/>
    </row>
    <row r="523">
      <c r="A523" s="33"/>
      <c r="B523" s="33"/>
    </row>
    <row r="524">
      <c r="A524" s="33"/>
      <c r="B524" s="33"/>
    </row>
    <row r="525">
      <c r="A525" s="33"/>
      <c r="B525" s="33"/>
    </row>
    <row r="526">
      <c r="A526" s="33"/>
      <c r="B526" s="33"/>
    </row>
    <row r="527">
      <c r="A527" s="33"/>
      <c r="B527" s="33"/>
    </row>
    <row r="528">
      <c r="A528" s="33"/>
      <c r="B528" s="33"/>
    </row>
    <row r="529">
      <c r="A529" s="33"/>
      <c r="B529" s="33"/>
    </row>
    <row r="530">
      <c r="A530" s="33"/>
      <c r="B530" s="33"/>
    </row>
    <row r="531">
      <c r="A531" s="33"/>
      <c r="B531" s="33"/>
    </row>
    <row r="532">
      <c r="A532" s="33"/>
      <c r="B532" s="33"/>
    </row>
    <row r="533">
      <c r="A533" s="33"/>
      <c r="B533" s="33"/>
    </row>
    <row r="534">
      <c r="A534" s="33"/>
      <c r="B534" s="33"/>
    </row>
    <row r="535">
      <c r="A535" s="33"/>
      <c r="B535" s="33"/>
    </row>
    <row r="536">
      <c r="A536" s="33"/>
      <c r="B536" s="33"/>
    </row>
    <row r="537">
      <c r="A537" s="33"/>
      <c r="B537" s="33"/>
    </row>
    <row r="538">
      <c r="A538" s="33"/>
      <c r="B538" s="33"/>
    </row>
    <row r="539">
      <c r="A539" s="33"/>
      <c r="B539" s="33"/>
    </row>
    <row r="540">
      <c r="A540" s="33"/>
      <c r="B540" s="33"/>
    </row>
    <row r="541">
      <c r="A541" s="33"/>
      <c r="B541" s="33"/>
    </row>
    <row r="542">
      <c r="A542" s="33"/>
      <c r="B542" s="33"/>
    </row>
    <row r="543">
      <c r="A543" s="33"/>
      <c r="B543" s="33"/>
    </row>
    <row r="544">
      <c r="A544" s="33"/>
      <c r="B544" s="33"/>
    </row>
    <row r="545">
      <c r="A545" s="33"/>
      <c r="B545" s="33"/>
    </row>
    <row r="546">
      <c r="A546" s="33"/>
      <c r="B546" s="33"/>
    </row>
    <row r="547">
      <c r="A547" s="33"/>
      <c r="B547" s="33"/>
    </row>
    <row r="548">
      <c r="A548" s="33"/>
      <c r="B548" s="33"/>
    </row>
    <row r="549">
      <c r="A549" s="33"/>
      <c r="B549" s="33"/>
    </row>
    <row r="550">
      <c r="A550" s="33"/>
      <c r="B550" s="33"/>
    </row>
    <row r="551">
      <c r="A551" s="33"/>
      <c r="B551" s="33"/>
    </row>
    <row r="552">
      <c r="A552" s="33"/>
      <c r="B552" s="33"/>
    </row>
    <row r="553">
      <c r="A553" s="33"/>
      <c r="B553" s="33"/>
    </row>
    <row r="554">
      <c r="A554" s="33"/>
      <c r="B554" s="33"/>
    </row>
    <row r="555">
      <c r="A555" s="33"/>
      <c r="B555" s="33"/>
    </row>
    <row r="556">
      <c r="A556" s="33"/>
      <c r="B556" s="33"/>
    </row>
    <row r="557">
      <c r="A557" s="33"/>
      <c r="B557" s="33"/>
    </row>
    <row r="558">
      <c r="A558" s="33"/>
      <c r="B558" s="33"/>
    </row>
    <row r="559">
      <c r="A559" s="33"/>
      <c r="B559" s="33"/>
    </row>
    <row r="560">
      <c r="A560" s="33"/>
      <c r="B560" s="33"/>
    </row>
    <row r="561">
      <c r="A561" s="33"/>
      <c r="B561" s="33"/>
    </row>
    <row r="562">
      <c r="A562" s="33"/>
      <c r="B562" s="33"/>
    </row>
    <row r="563">
      <c r="A563" s="33"/>
      <c r="B563" s="33"/>
    </row>
    <row r="564">
      <c r="A564" s="33"/>
      <c r="B564" s="33"/>
    </row>
    <row r="565">
      <c r="A565" s="33"/>
      <c r="B565" s="33"/>
    </row>
    <row r="566">
      <c r="A566" s="33"/>
      <c r="B566" s="33"/>
    </row>
    <row r="567">
      <c r="A567" s="33"/>
      <c r="B567" s="33"/>
    </row>
    <row r="568">
      <c r="A568" s="33"/>
      <c r="B568" s="33"/>
    </row>
    <row r="569">
      <c r="A569" s="33"/>
      <c r="B569" s="33"/>
    </row>
    <row r="570">
      <c r="A570" s="33"/>
      <c r="B570" s="33"/>
    </row>
    <row r="571">
      <c r="A571" s="33"/>
      <c r="B571" s="33"/>
    </row>
    <row r="572">
      <c r="A572" s="33"/>
      <c r="B572" s="33"/>
    </row>
    <row r="573">
      <c r="A573" s="33"/>
      <c r="B573" s="33"/>
    </row>
    <row r="574">
      <c r="A574" s="33"/>
      <c r="B574" s="33"/>
    </row>
    <row r="575">
      <c r="A575" s="33"/>
      <c r="B575" s="33"/>
    </row>
    <row r="576">
      <c r="A576" s="33"/>
      <c r="B576" s="33"/>
    </row>
    <row r="577">
      <c r="A577" s="33"/>
      <c r="B577" s="33"/>
    </row>
    <row r="578">
      <c r="A578" s="33"/>
      <c r="B578" s="33"/>
    </row>
    <row r="579">
      <c r="A579" s="33"/>
      <c r="B579" s="33"/>
    </row>
    <row r="580">
      <c r="A580" s="33"/>
      <c r="B580" s="33"/>
    </row>
    <row r="581">
      <c r="A581" s="33"/>
      <c r="B581" s="33"/>
    </row>
    <row r="582">
      <c r="A582" s="33"/>
      <c r="B582" s="33"/>
    </row>
    <row r="583">
      <c r="A583" s="33"/>
      <c r="B583" s="33"/>
    </row>
    <row r="584">
      <c r="A584" s="33"/>
      <c r="B584" s="33"/>
    </row>
    <row r="585">
      <c r="A585" s="33"/>
      <c r="B585" s="33"/>
    </row>
    <row r="586">
      <c r="A586" s="33"/>
      <c r="B586" s="33"/>
    </row>
    <row r="587">
      <c r="A587" s="33"/>
      <c r="B587" s="33"/>
    </row>
    <row r="588">
      <c r="A588" s="33"/>
      <c r="B588" s="33"/>
    </row>
    <row r="589">
      <c r="A589" s="33"/>
      <c r="B589" s="33"/>
    </row>
    <row r="590">
      <c r="A590" s="33"/>
      <c r="B590" s="33"/>
    </row>
    <row r="591">
      <c r="A591" s="33"/>
      <c r="B591" s="33"/>
    </row>
    <row r="592">
      <c r="A592" s="33"/>
      <c r="B592" s="33"/>
    </row>
    <row r="593">
      <c r="A593" s="33"/>
      <c r="B593" s="33"/>
    </row>
    <row r="594">
      <c r="A594" s="33"/>
      <c r="B594" s="33"/>
    </row>
    <row r="595">
      <c r="A595" s="33"/>
      <c r="B595" s="33"/>
    </row>
    <row r="596">
      <c r="A596" s="33"/>
      <c r="B596" s="33"/>
    </row>
    <row r="597">
      <c r="A597" s="33"/>
      <c r="B597" s="33"/>
    </row>
    <row r="598">
      <c r="A598" s="33"/>
      <c r="B598" s="33"/>
    </row>
    <row r="599">
      <c r="A599" s="33"/>
      <c r="B599" s="33"/>
    </row>
    <row r="600">
      <c r="A600" s="33"/>
      <c r="B600" s="33"/>
    </row>
    <row r="601">
      <c r="A601" s="33"/>
      <c r="B601" s="33"/>
    </row>
    <row r="602">
      <c r="A602" s="33"/>
      <c r="B602" s="33"/>
    </row>
    <row r="603">
      <c r="A603" s="33"/>
      <c r="B603" s="33"/>
    </row>
    <row r="604">
      <c r="A604" s="33"/>
      <c r="B604" s="33"/>
    </row>
    <row r="605">
      <c r="A605" s="33"/>
      <c r="B605" s="33"/>
    </row>
    <row r="606">
      <c r="A606" s="33"/>
      <c r="B606" s="33"/>
    </row>
    <row r="607">
      <c r="A607" s="33"/>
      <c r="B607" s="33"/>
    </row>
    <row r="608">
      <c r="A608" s="33"/>
      <c r="B608" s="33"/>
    </row>
    <row r="609">
      <c r="A609" s="33"/>
      <c r="B609" s="33"/>
    </row>
    <row r="610">
      <c r="A610" s="33"/>
      <c r="B610" s="33"/>
    </row>
    <row r="611">
      <c r="A611" s="33"/>
      <c r="B611" s="33"/>
    </row>
    <row r="612">
      <c r="A612" s="33"/>
      <c r="B612" s="33"/>
    </row>
    <row r="613">
      <c r="A613" s="33"/>
      <c r="B613" s="33"/>
    </row>
    <row r="614">
      <c r="A614" s="33"/>
      <c r="B614" s="33"/>
    </row>
    <row r="615">
      <c r="A615" s="33"/>
      <c r="B615" s="33"/>
    </row>
    <row r="616">
      <c r="A616" s="33"/>
      <c r="B616" s="33"/>
    </row>
    <row r="617">
      <c r="A617" s="33"/>
      <c r="B617" s="33"/>
    </row>
    <row r="618">
      <c r="A618" s="33"/>
      <c r="B618" s="33"/>
    </row>
    <row r="619">
      <c r="A619" s="33"/>
      <c r="B619" s="33"/>
    </row>
    <row r="620">
      <c r="A620" s="33"/>
      <c r="B620" s="33"/>
    </row>
    <row r="621">
      <c r="A621" s="33"/>
      <c r="B621" s="33"/>
    </row>
    <row r="622">
      <c r="A622" s="33"/>
      <c r="B622" s="33"/>
    </row>
    <row r="623">
      <c r="A623" s="33"/>
      <c r="B623" s="33"/>
    </row>
    <row r="624">
      <c r="A624" s="33"/>
      <c r="B624" s="33"/>
    </row>
    <row r="625">
      <c r="A625" s="33"/>
      <c r="B625" s="33"/>
    </row>
    <row r="626">
      <c r="A626" s="33"/>
      <c r="B626" s="33"/>
    </row>
    <row r="627">
      <c r="A627" s="33"/>
      <c r="B627" s="33"/>
    </row>
    <row r="628">
      <c r="A628" s="33"/>
      <c r="B628" s="33"/>
    </row>
    <row r="629">
      <c r="A629" s="33"/>
      <c r="B629" s="33"/>
    </row>
    <row r="630">
      <c r="A630" s="33"/>
      <c r="B630" s="33"/>
    </row>
    <row r="631">
      <c r="A631" s="33"/>
      <c r="B631" s="33"/>
    </row>
    <row r="632">
      <c r="A632" s="33"/>
      <c r="B632" s="33"/>
    </row>
    <row r="633">
      <c r="A633" s="33"/>
      <c r="B633" s="33"/>
    </row>
    <row r="634">
      <c r="A634" s="33"/>
      <c r="B634" s="33"/>
    </row>
    <row r="635">
      <c r="A635" s="33"/>
      <c r="B635" s="33"/>
    </row>
    <row r="636">
      <c r="A636" s="33"/>
      <c r="B636" s="33"/>
    </row>
    <row r="637">
      <c r="A637" s="33"/>
      <c r="B637" s="33"/>
    </row>
    <row r="638">
      <c r="A638" s="33"/>
      <c r="B638" s="33"/>
    </row>
    <row r="639">
      <c r="A639" s="33"/>
      <c r="B639" s="33"/>
    </row>
    <row r="640">
      <c r="A640" s="33"/>
      <c r="B640" s="33"/>
    </row>
    <row r="641">
      <c r="A641" s="33"/>
      <c r="B641" s="33"/>
    </row>
    <row r="642">
      <c r="A642" s="33"/>
      <c r="B642" s="33"/>
    </row>
    <row r="643">
      <c r="A643" s="33"/>
      <c r="B643" s="33"/>
    </row>
    <row r="644">
      <c r="A644" s="33"/>
      <c r="B644" s="33"/>
    </row>
    <row r="645">
      <c r="A645" s="33"/>
      <c r="B645" s="33"/>
    </row>
    <row r="646">
      <c r="A646" s="33"/>
      <c r="B646" s="33"/>
    </row>
    <row r="647">
      <c r="A647" s="33"/>
      <c r="B647" s="33"/>
    </row>
    <row r="648">
      <c r="A648" s="33"/>
      <c r="B648" s="33"/>
    </row>
    <row r="649">
      <c r="A649" s="33"/>
      <c r="B649" s="33"/>
    </row>
    <row r="650">
      <c r="A650" s="33"/>
      <c r="B650" s="33"/>
    </row>
    <row r="651">
      <c r="A651" s="33"/>
      <c r="B651" s="33"/>
    </row>
    <row r="652">
      <c r="A652" s="33"/>
      <c r="B652" s="33"/>
    </row>
    <row r="653">
      <c r="A653" s="33"/>
      <c r="B653" s="33"/>
    </row>
    <row r="654">
      <c r="A654" s="33"/>
      <c r="B654" s="33"/>
    </row>
    <row r="655">
      <c r="A655" s="33"/>
      <c r="B655" s="33"/>
    </row>
    <row r="656">
      <c r="A656" s="33"/>
      <c r="B656" s="33"/>
    </row>
    <row r="657">
      <c r="A657" s="33"/>
      <c r="B657" s="33"/>
    </row>
    <row r="658">
      <c r="A658" s="33"/>
      <c r="B658" s="33"/>
    </row>
    <row r="659">
      <c r="A659" s="33"/>
      <c r="B659" s="33"/>
    </row>
    <row r="660">
      <c r="A660" s="33"/>
      <c r="B660" s="33"/>
    </row>
    <row r="661">
      <c r="A661" s="33"/>
      <c r="B661" s="33"/>
    </row>
    <row r="662">
      <c r="A662" s="33"/>
      <c r="B662" s="33"/>
    </row>
    <row r="663">
      <c r="A663" s="33"/>
      <c r="B663" s="33"/>
    </row>
    <row r="664">
      <c r="A664" s="33"/>
      <c r="B664" s="33"/>
    </row>
    <row r="665">
      <c r="A665" s="33"/>
      <c r="B665" s="33"/>
    </row>
    <row r="666">
      <c r="A666" s="33"/>
      <c r="B666" s="33"/>
    </row>
    <row r="667">
      <c r="A667" s="33"/>
      <c r="B667" s="33"/>
    </row>
    <row r="668">
      <c r="A668" s="33"/>
      <c r="B668" s="33"/>
    </row>
    <row r="669">
      <c r="A669" s="33"/>
      <c r="B669" s="33"/>
    </row>
    <row r="670">
      <c r="A670" s="33"/>
      <c r="B670" s="33"/>
    </row>
    <row r="671">
      <c r="A671" s="33"/>
      <c r="B671" s="33"/>
    </row>
    <row r="672">
      <c r="A672" s="33"/>
      <c r="B672" s="33"/>
    </row>
    <row r="673">
      <c r="A673" s="33"/>
      <c r="B673" s="33"/>
    </row>
    <row r="674">
      <c r="A674" s="33"/>
      <c r="B674" s="33"/>
    </row>
    <row r="675">
      <c r="A675" s="33"/>
      <c r="B675" s="33"/>
    </row>
    <row r="676">
      <c r="A676" s="33"/>
      <c r="B676" s="33"/>
    </row>
    <row r="677">
      <c r="A677" s="33"/>
      <c r="B677" s="33"/>
    </row>
    <row r="678">
      <c r="A678" s="33"/>
      <c r="B678" s="33"/>
    </row>
    <row r="679">
      <c r="A679" s="33"/>
      <c r="B679" s="33"/>
    </row>
    <row r="680">
      <c r="A680" s="33"/>
      <c r="B680" s="33"/>
    </row>
    <row r="681">
      <c r="A681" s="33"/>
      <c r="B681" s="33"/>
    </row>
    <row r="682">
      <c r="A682" s="33"/>
      <c r="B682" s="33"/>
    </row>
    <row r="683">
      <c r="A683" s="33"/>
      <c r="B683" s="33"/>
    </row>
    <row r="684">
      <c r="A684" s="33"/>
      <c r="B684" s="33"/>
    </row>
    <row r="685">
      <c r="A685" s="33"/>
      <c r="B685" s="33"/>
    </row>
    <row r="686">
      <c r="A686" s="33"/>
      <c r="B686" s="33"/>
    </row>
    <row r="687">
      <c r="A687" s="33"/>
      <c r="B687" s="33"/>
    </row>
    <row r="688">
      <c r="A688" s="33"/>
      <c r="B688" s="33"/>
    </row>
    <row r="689">
      <c r="A689" s="33"/>
      <c r="B689" s="33"/>
    </row>
    <row r="690">
      <c r="A690" s="33"/>
      <c r="B690" s="33"/>
    </row>
    <row r="691">
      <c r="A691" s="33"/>
      <c r="B691" s="33"/>
    </row>
    <row r="692">
      <c r="A692" s="33"/>
      <c r="B692" s="33"/>
    </row>
    <row r="693">
      <c r="A693" s="33"/>
      <c r="B693" s="33"/>
    </row>
    <row r="694">
      <c r="A694" s="33"/>
      <c r="B694" s="33"/>
    </row>
    <row r="695">
      <c r="A695" s="33"/>
      <c r="B695" s="33"/>
    </row>
    <row r="696">
      <c r="A696" s="33"/>
      <c r="B696" s="33"/>
    </row>
    <row r="697">
      <c r="A697" s="33"/>
      <c r="B697" s="33"/>
    </row>
    <row r="698">
      <c r="A698" s="33"/>
      <c r="B698" s="33"/>
    </row>
    <row r="699">
      <c r="A699" s="33"/>
      <c r="B699" s="33"/>
    </row>
    <row r="700">
      <c r="A700" s="33"/>
      <c r="B700" s="33"/>
    </row>
    <row r="701">
      <c r="A701" s="33"/>
      <c r="B701" s="33"/>
    </row>
    <row r="702">
      <c r="A702" s="33"/>
      <c r="B702" s="33"/>
    </row>
    <row r="703">
      <c r="A703" s="33"/>
      <c r="B703" s="33"/>
    </row>
    <row r="704">
      <c r="A704" s="33"/>
      <c r="B704" s="33"/>
    </row>
    <row r="705">
      <c r="A705" s="33"/>
      <c r="B705" s="33"/>
    </row>
    <row r="706">
      <c r="A706" s="33"/>
      <c r="B706" s="33"/>
    </row>
    <row r="707">
      <c r="A707" s="33"/>
      <c r="B707" s="33"/>
    </row>
    <row r="708">
      <c r="A708" s="33"/>
      <c r="B708" s="33"/>
    </row>
    <row r="709">
      <c r="A709" s="33"/>
      <c r="B709" s="33"/>
    </row>
    <row r="710">
      <c r="A710" s="33"/>
      <c r="B710" s="33"/>
    </row>
    <row r="711">
      <c r="A711" s="33"/>
      <c r="B711" s="33"/>
    </row>
    <row r="712">
      <c r="A712" s="33"/>
      <c r="B712" s="33"/>
    </row>
    <row r="713">
      <c r="A713" s="33"/>
      <c r="B713" s="33"/>
    </row>
    <row r="714">
      <c r="A714" s="33"/>
      <c r="B714" s="33"/>
    </row>
    <row r="715">
      <c r="A715" s="33"/>
      <c r="B715" s="33"/>
    </row>
    <row r="716">
      <c r="A716" s="33"/>
      <c r="B716" s="33"/>
    </row>
    <row r="717">
      <c r="A717" s="33"/>
      <c r="B717" s="33"/>
    </row>
    <row r="718">
      <c r="A718" s="33"/>
      <c r="B718" s="33"/>
    </row>
    <row r="719">
      <c r="A719" s="33"/>
      <c r="B719" s="33"/>
    </row>
    <row r="720">
      <c r="A720" s="33"/>
      <c r="B720" s="33"/>
    </row>
    <row r="721">
      <c r="A721" s="33"/>
      <c r="B721" s="33"/>
    </row>
    <row r="722">
      <c r="A722" s="33"/>
      <c r="B722" s="33"/>
    </row>
    <row r="723">
      <c r="A723" s="33"/>
      <c r="B723" s="33"/>
    </row>
    <row r="724">
      <c r="A724" s="33"/>
      <c r="B724" s="33"/>
    </row>
    <row r="725">
      <c r="A725" s="33"/>
      <c r="B725" s="33"/>
    </row>
    <row r="726">
      <c r="A726" s="33"/>
      <c r="B726" s="33"/>
    </row>
    <row r="727">
      <c r="A727" s="33"/>
      <c r="B727" s="33"/>
    </row>
    <row r="728">
      <c r="A728" s="33"/>
      <c r="B728" s="33"/>
    </row>
    <row r="729">
      <c r="A729" s="33"/>
      <c r="B729" s="33"/>
    </row>
    <row r="730">
      <c r="A730" s="33"/>
      <c r="B730" s="33"/>
    </row>
    <row r="731">
      <c r="A731" s="33"/>
      <c r="B731" s="33"/>
    </row>
    <row r="732">
      <c r="A732" s="33"/>
      <c r="B732" s="33"/>
    </row>
    <row r="733">
      <c r="A733" s="33"/>
      <c r="B733" s="33"/>
    </row>
    <row r="734">
      <c r="A734" s="33"/>
      <c r="B734" s="33"/>
    </row>
    <row r="735">
      <c r="A735" s="33"/>
      <c r="B735" s="33"/>
    </row>
    <row r="736">
      <c r="A736" s="33"/>
      <c r="B736" s="33"/>
    </row>
    <row r="737">
      <c r="A737" s="33"/>
      <c r="B737" s="33"/>
    </row>
    <row r="738">
      <c r="A738" s="33"/>
      <c r="B738" s="33"/>
    </row>
    <row r="739">
      <c r="A739" s="33"/>
      <c r="B739" s="33"/>
    </row>
    <row r="740">
      <c r="A740" s="33"/>
      <c r="B740" s="33"/>
    </row>
    <row r="741">
      <c r="A741" s="33"/>
      <c r="B741" s="33"/>
    </row>
    <row r="742">
      <c r="A742" s="33"/>
      <c r="B742" s="33"/>
    </row>
    <row r="743">
      <c r="A743" s="33"/>
      <c r="B743" s="33"/>
    </row>
    <row r="744">
      <c r="A744" s="33"/>
      <c r="B744" s="33"/>
    </row>
    <row r="745">
      <c r="A745" s="33"/>
      <c r="B745" s="33"/>
    </row>
    <row r="746">
      <c r="A746" s="33"/>
      <c r="B746" s="33"/>
    </row>
    <row r="747">
      <c r="A747" s="33"/>
      <c r="B747" s="33"/>
    </row>
    <row r="748">
      <c r="A748" s="33"/>
      <c r="B748" s="33"/>
    </row>
    <row r="749">
      <c r="A749" s="33"/>
      <c r="B749" s="33"/>
    </row>
    <row r="750">
      <c r="A750" s="33"/>
      <c r="B750" s="33"/>
    </row>
    <row r="751">
      <c r="A751" s="33"/>
      <c r="B751" s="33"/>
    </row>
    <row r="752">
      <c r="A752" s="33"/>
      <c r="B752" s="33"/>
    </row>
    <row r="753">
      <c r="A753" s="33"/>
      <c r="B753" s="33"/>
    </row>
    <row r="754">
      <c r="A754" s="33"/>
      <c r="B754" s="33"/>
    </row>
    <row r="755">
      <c r="A755" s="33"/>
      <c r="B755" s="33"/>
    </row>
    <row r="756">
      <c r="A756" s="33"/>
      <c r="B756" s="33"/>
    </row>
    <row r="757">
      <c r="A757" s="33"/>
      <c r="B757" s="33"/>
    </row>
    <row r="758">
      <c r="A758" s="33"/>
      <c r="B758" s="33"/>
    </row>
    <row r="759">
      <c r="A759" s="33"/>
      <c r="B759" s="33"/>
    </row>
    <row r="760">
      <c r="A760" s="33"/>
      <c r="B760" s="33"/>
    </row>
    <row r="761">
      <c r="A761" s="33"/>
      <c r="B761" s="33"/>
    </row>
    <row r="762">
      <c r="A762" s="33"/>
      <c r="B762" s="33"/>
    </row>
    <row r="763">
      <c r="A763" s="33"/>
      <c r="B763" s="33"/>
    </row>
    <row r="764">
      <c r="A764" s="33"/>
      <c r="B764" s="33"/>
    </row>
    <row r="765">
      <c r="A765" s="33"/>
      <c r="B765" s="33"/>
    </row>
    <row r="766">
      <c r="A766" s="33"/>
      <c r="B766" s="33"/>
    </row>
    <row r="767">
      <c r="A767" s="33"/>
      <c r="B767" s="33"/>
    </row>
    <row r="768">
      <c r="A768" s="33"/>
      <c r="B768" s="33"/>
    </row>
    <row r="769">
      <c r="A769" s="33"/>
      <c r="B769" s="33"/>
    </row>
    <row r="770">
      <c r="A770" s="33"/>
      <c r="B770" s="33"/>
    </row>
    <row r="771">
      <c r="A771" s="33"/>
      <c r="B771" s="33"/>
    </row>
    <row r="772">
      <c r="A772" s="33"/>
      <c r="B772" s="33"/>
    </row>
    <row r="773">
      <c r="A773" s="33"/>
      <c r="B773" s="33"/>
    </row>
    <row r="774">
      <c r="A774" s="33"/>
      <c r="B774" s="33"/>
    </row>
    <row r="775">
      <c r="A775" s="33"/>
      <c r="B775" s="33"/>
    </row>
    <row r="776">
      <c r="A776" s="33"/>
      <c r="B776" s="33"/>
    </row>
    <row r="777">
      <c r="A777" s="33"/>
      <c r="B777" s="33"/>
    </row>
    <row r="778">
      <c r="A778" s="33"/>
      <c r="B778" s="33"/>
    </row>
    <row r="779">
      <c r="A779" s="33"/>
      <c r="B779" s="33"/>
    </row>
    <row r="780">
      <c r="A780" s="33"/>
      <c r="B780" s="33"/>
    </row>
    <row r="781">
      <c r="A781" s="33"/>
      <c r="B781" s="33"/>
    </row>
    <row r="782">
      <c r="A782" s="33"/>
      <c r="B782" s="33"/>
    </row>
    <row r="783">
      <c r="A783" s="33"/>
      <c r="B783" s="33"/>
    </row>
    <row r="784">
      <c r="A784" s="33"/>
      <c r="B784" s="33"/>
    </row>
    <row r="785">
      <c r="A785" s="33"/>
      <c r="B785" s="33"/>
    </row>
    <row r="786">
      <c r="A786" s="33"/>
      <c r="B786" s="33"/>
    </row>
    <row r="787">
      <c r="A787" s="33"/>
      <c r="B787" s="33"/>
    </row>
    <row r="788">
      <c r="A788" s="33"/>
      <c r="B788" s="33"/>
    </row>
    <row r="789">
      <c r="A789" s="33"/>
      <c r="B789" s="33"/>
    </row>
    <row r="790">
      <c r="A790" s="33"/>
      <c r="B790" s="33"/>
    </row>
    <row r="791">
      <c r="A791" s="33"/>
      <c r="B791" s="33"/>
    </row>
    <row r="792">
      <c r="A792" s="33"/>
      <c r="B792" s="33"/>
    </row>
    <row r="793">
      <c r="A793" s="33"/>
      <c r="B793" s="33"/>
    </row>
    <row r="794">
      <c r="A794" s="33"/>
      <c r="B794" s="33"/>
    </row>
    <row r="795">
      <c r="A795" s="33"/>
      <c r="B795" s="33"/>
    </row>
    <row r="796">
      <c r="A796" s="33"/>
      <c r="B796" s="33"/>
    </row>
    <row r="797">
      <c r="A797" s="33"/>
      <c r="B797" s="33"/>
    </row>
    <row r="798">
      <c r="A798" s="33"/>
      <c r="B798" s="33"/>
    </row>
    <row r="799">
      <c r="A799" s="33"/>
      <c r="B799" s="33"/>
    </row>
    <row r="800">
      <c r="A800" s="33"/>
      <c r="B800" s="33"/>
    </row>
    <row r="801">
      <c r="A801" s="33"/>
      <c r="B801" s="33"/>
    </row>
    <row r="802">
      <c r="A802" s="33"/>
      <c r="B802" s="33"/>
    </row>
    <row r="803">
      <c r="A803" s="33"/>
      <c r="B803" s="33"/>
    </row>
    <row r="804">
      <c r="A804" s="33"/>
      <c r="B804" s="33"/>
    </row>
    <row r="805">
      <c r="A805" s="33"/>
      <c r="B805" s="33"/>
    </row>
    <row r="806">
      <c r="A806" s="33"/>
      <c r="B806" s="33"/>
    </row>
    <row r="807">
      <c r="A807" s="33"/>
      <c r="B807" s="33"/>
    </row>
    <row r="808">
      <c r="A808" s="33"/>
      <c r="B808" s="33"/>
    </row>
    <row r="809">
      <c r="A809" s="33"/>
      <c r="B809" s="33"/>
    </row>
    <row r="810">
      <c r="A810" s="33"/>
      <c r="B810" s="33"/>
    </row>
    <row r="811">
      <c r="A811" s="33"/>
      <c r="B811" s="33"/>
    </row>
    <row r="812">
      <c r="A812" s="33"/>
      <c r="B812" s="33"/>
    </row>
    <row r="813">
      <c r="A813" s="33"/>
      <c r="B813" s="33"/>
    </row>
    <row r="814">
      <c r="A814" s="33"/>
      <c r="B814" s="33"/>
    </row>
    <row r="815">
      <c r="A815" s="33"/>
      <c r="B815" s="33"/>
    </row>
    <row r="816">
      <c r="A816" s="33"/>
      <c r="B816" s="33"/>
    </row>
    <row r="817">
      <c r="A817" s="33"/>
      <c r="B817" s="33"/>
    </row>
    <row r="818">
      <c r="A818" s="33"/>
      <c r="B818" s="33"/>
    </row>
    <row r="819">
      <c r="A819" s="33"/>
      <c r="B819" s="33"/>
    </row>
    <row r="820">
      <c r="A820" s="33"/>
      <c r="B820" s="33"/>
    </row>
    <row r="821">
      <c r="A821" s="33"/>
      <c r="B821" s="33"/>
    </row>
    <row r="822">
      <c r="A822" s="33"/>
      <c r="B822" s="33"/>
    </row>
    <row r="823">
      <c r="A823" s="33"/>
      <c r="B823" s="33"/>
    </row>
    <row r="824">
      <c r="A824" s="33"/>
      <c r="B824" s="33"/>
    </row>
    <row r="825">
      <c r="A825" s="33"/>
      <c r="B825" s="33"/>
    </row>
    <row r="826">
      <c r="A826" s="33"/>
      <c r="B826" s="33"/>
    </row>
    <row r="827">
      <c r="A827" s="33"/>
      <c r="B827" s="33"/>
    </row>
    <row r="828">
      <c r="A828" s="33"/>
      <c r="B828" s="33"/>
    </row>
    <row r="829">
      <c r="A829" s="33"/>
      <c r="B829" s="33"/>
    </row>
    <row r="830">
      <c r="A830" s="33"/>
      <c r="B830" s="33"/>
    </row>
    <row r="831">
      <c r="A831" s="33"/>
      <c r="B831" s="33"/>
    </row>
    <row r="832">
      <c r="A832" s="33"/>
      <c r="B832" s="33"/>
    </row>
    <row r="833">
      <c r="A833" s="33"/>
      <c r="B833" s="33"/>
    </row>
    <row r="834">
      <c r="A834" s="33"/>
      <c r="B834" s="33"/>
    </row>
    <row r="835">
      <c r="A835" s="33"/>
      <c r="B835" s="33"/>
    </row>
    <row r="836">
      <c r="A836" s="33"/>
      <c r="B836" s="33"/>
    </row>
    <row r="837">
      <c r="A837" s="33"/>
      <c r="B837" s="33"/>
    </row>
    <row r="838">
      <c r="A838" s="33"/>
      <c r="B838" s="33"/>
    </row>
    <row r="839">
      <c r="A839" s="33"/>
      <c r="B839" s="33"/>
    </row>
    <row r="840">
      <c r="A840" s="33"/>
      <c r="B840" s="33"/>
    </row>
    <row r="841">
      <c r="A841" s="33"/>
      <c r="B841" s="33"/>
    </row>
    <row r="842">
      <c r="A842" s="33"/>
      <c r="B842" s="33"/>
    </row>
    <row r="843">
      <c r="A843" s="33"/>
      <c r="B843" s="33"/>
    </row>
    <row r="844">
      <c r="A844" s="33"/>
      <c r="B844" s="33"/>
    </row>
    <row r="845">
      <c r="A845" s="33"/>
      <c r="B845" s="33"/>
    </row>
    <row r="846">
      <c r="A846" s="33"/>
      <c r="B846" s="33"/>
    </row>
    <row r="847">
      <c r="A847" s="33"/>
      <c r="B847" s="33"/>
    </row>
    <row r="848">
      <c r="A848" s="33"/>
      <c r="B848" s="33"/>
    </row>
    <row r="849">
      <c r="A849" s="33"/>
      <c r="B849" s="33"/>
    </row>
    <row r="850">
      <c r="A850" s="33"/>
      <c r="B850" s="33"/>
    </row>
    <row r="851">
      <c r="A851" s="33"/>
      <c r="B851" s="33"/>
    </row>
    <row r="852">
      <c r="A852" s="33"/>
      <c r="B852" s="33"/>
    </row>
    <row r="853">
      <c r="A853" s="33"/>
      <c r="B853" s="33"/>
    </row>
    <row r="854">
      <c r="A854" s="33"/>
      <c r="B854" s="33"/>
    </row>
    <row r="855">
      <c r="A855" s="33"/>
      <c r="B855" s="33"/>
    </row>
    <row r="856">
      <c r="A856" s="33"/>
      <c r="B856" s="33"/>
    </row>
    <row r="857">
      <c r="A857" s="33"/>
      <c r="B857" s="33"/>
    </row>
    <row r="858">
      <c r="A858" s="33"/>
      <c r="B858" s="33"/>
    </row>
    <row r="859">
      <c r="A859" s="33"/>
      <c r="B859" s="33"/>
    </row>
    <row r="860">
      <c r="A860" s="33"/>
      <c r="B860" s="33"/>
    </row>
    <row r="861">
      <c r="A861" s="33"/>
      <c r="B861" s="33"/>
    </row>
    <row r="862">
      <c r="A862" s="33"/>
      <c r="B862" s="33"/>
    </row>
    <row r="863">
      <c r="A863" s="33"/>
      <c r="B863" s="33"/>
    </row>
    <row r="864">
      <c r="A864" s="33"/>
      <c r="B864" s="33"/>
    </row>
    <row r="865">
      <c r="A865" s="33"/>
      <c r="B865" s="33"/>
    </row>
    <row r="866">
      <c r="A866" s="33"/>
      <c r="B866" s="33"/>
    </row>
    <row r="867">
      <c r="A867" s="33"/>
      <c r="B867" s="33"/>
    </row>
    <row r="868">
      <c r="A868" s="33"/>
      <c r="B868" s="33"/>
    </row>
    <row r="869">
      <c r="A869" s="33"/>
      <c r="B869" s="33"/>
    </row>
    <row r="870">
      <c r="A870" s="33"/>
      <c r="B870" s="33"/>
    </row>
    <row r="871">
      <c r="A871" s="33"/>
      <c r="B871" s="33"/>
    </row>
    <row r="872">
      <c r="A872" s="33"/>
      <c r="B872" s="33"/>
    </row>
    <row r="873">
      <c r="A873" s="33"/>
      <c r="B873" s="33"/>
    </row>
    <row r="874">
      <c r="A874" s="33"/>
      <c r="B874" s="33"/>
    </row>
    <row r="875">
      <c r="A875" s="33"/>
      <c r="B875" s="33"/>
    </row>
    <row r="876">
      <c r="A876" s="33"/>
      <c r="B876" s="33"/>
    </row>
    <row r="877">
      <c r="A877" s="33"/>
      <c r="B877" s="33"/>
    </row>
    <row r="878">
      <c r="A878" s="33"/>
      <c r="B878" s="33"/>
    </row>
    <row r="879">
      <c r="A879" s="33"/>
      <c r="B879" s="33"/>
    </row>
    <row r="880">
      <c r="A880" s="33"/>
      <c r="B880" s="33"/>
    </row>
    <row r="881">
      <c r="A881" s="33"/>
      <c r="B881" s="33"/>
    </row>
    <row r="882">
      <c r="A882" s="33"/>
      <c r="B882" s="33"/>
    </row>
    <row r="883">
      <c r="A883" s="33"/>
      <c r="B883" s="33"/>
    </row>
    <row r="884">
      <c r="A884" s="33"/>
      <c r="B884" s="33"/>
    </row>
    <row r="885">
      <c r="A885" s="33"/>
      <c r="B885" s="33"/>
    </row>
    <row r="886">
      <c r="A886" s="33"/>
      <c r="B886" s="33"/>
    </row>
    <row r="887">
      <c r="A887" s="33"/>
      <c r="B887" s="33"/>
    </row>
    <row r="888">
      <c r="A888" s="33"/>
      <c r="B888" s="33"/>
    </row>
    <row r="889">
      <c r="A889" s="33"/>
      <c r="B889" s="33"/>
    </row>
    <row r="890">
      <c r="A890" s="33"/>
      <c r="B890" s="33"/>
    </row>
    <row r="891">
      <c r="A891" s="33"/>
      <c r="B891" s="33"/>
    </row>
    <row r="892">
      <c r="A892" s="33"/>
      <c r="B892" s="33"/>
    </row>
    <row r="893">
      <c r="A893" s="33"/>
      <c r="B893" s="33"/>
    </row>
    <row r="894">
      <c r="A894" s="33"/>
      <c r="B894" s="33"/>
    </row>
    <row r="895">
      <c r="A895" s="33"/>
      <c r="B895" s="33"/>
    </row>
    <row r="896">
      <c r="A896" s="33"/>
      <c r="B896" s="33"/>
    </row>
    <row r="897">
      <c r="A897" s="33"/>
      <c r="B897" s="33"/>
    </row>
    <row r="898">
      <c r="A898" s="33"/>
      <c r="B898" s="33"/>
    </row>
    <row r="899">
      <c r="A899" s="33"/>
      <c r="B899" s="33"/>
    </row>
    <row r="900">
      <c r="A900" s="33"/>
      <c r="B900" s="33"/>
    </row>
    <row r="901">
      <c r="A901" s="33"/>
      <c r="B901" s="33"/>
    </row>
    <row r="902">
      <c r="A902" s="33"/>
      <c r="B902" s="33"/>
    </row>
    <row r="903">
      <c r="A903" s="33"/>
      <c r="B903" s="33"/>
    </row>
    <row r="904">
      <c r="A904" s="33"/>
      <c r="B904" s="33"/>
    </row>
    <row r="905">
      <c r="A905" s="33"/>
      <c r="B905" s="33"/>
    </row>
    <row r="906">
      <c r="A906" s="33"/>
      <c r="B906" s="33"/>
    </row>
    <row r="907">
      <c r="A907" s="33"/>
      <c r="B907" s="33"/>
    </row>
    <row r="908">
      <c r="A908" s="33"/>
      <c r="B908" s="33"/>
    </row>
    <row r="909">
      <c r="A909" s="33"/>
      <c r="B909" s="33"/>
    </row>
    <row r="910">
      <c r="A910" s="33"/>
      <c r="B910" s="33"/>
    </row>
    <row r="911">
      <c r="A911" s="33"/>
      <c r="B911" s="33"/>
    </row>
    <row r="912">
      <c r="A912" s="33"/>
      <c r="B912" s="33"/>
    </row>
    <row r="913">
      <c r="A913" s="33"/>
      <c r="B913" s="33"/>
    </row>
    <row r="914">
      <c r="A914" s="33"/>
      <c r="B914" s="33"/>
    </row>
    <row r="915">
      <c r="A915" s="33"/>
      <c r="B915" s="33"/>
    </row>
    <row r="916">
      <c r="A916" s="33"/>
      <c r="B916" s="33"/>
    </row>
    <row r="917">
      <c r="A917" s="33"/>
      <c r="B917" s="33"/>
    </row>
    <row r="918">
      <c r="A918" s="33"/>
      <c r="B918" s="33"/>
    </row>
    <row r="919">
      <c r="A919" s="33"/>
      <c r="B919" s="33"/>
    </row>
    <row r="920">
      <c r="A920" s="33"/>
      <c r="B920" s="33"/>
    </row>
    <row r="921">
      <c r="A921" s="33"/>
      <c r="B921" s="33"/>
    </row>
    <row r="922">
      <c r="A922" s="33"/>
      <c r="B922" s="33"/>
    </row>
    <row r="923">
      <c r="A923" s="33"/>
      <c r="B923" s="33"/>
    </row>
    <row r="924">
      <c r="A924" s="33"/>
      <c r="B924" s="33"/>
    </row>
    <row r="925">
      <c r="A925" s="33"/>
      <c r="B925" s="33"/>
    </row>
    <row r="926">
      <c r="A926" s="33"/>
      <c r="B926" s="33"/>
    </row>
    <row r="927">
      <c r="A927" s="33"/>
      <c r="B927" s="33"/>
    </row>
    <row r="928">
      <c r="A928" s="33"/>
      <c r="B928" s="33"/>
    </row>
    <row r="929">
      <c r="A929" s="33"/>
      <c r="B929" s="33"/>
    </row>
    <row r="930">
      <c r="A930" s="33"/>
      <c r="B930" s="33"/>
    </row>
    <row r="931">
      <c r="A931" s="33"/>
      <c r="B931" s="33"/>
    </row>
    <row r="932">
      <c r="A932" s="33"/>
      <c r="B932" s="33"/>
    </row>
    <row r="933">
      <c r="A933" s="33"/>
      <c r="B933" s="33"/>
    </row>
    <row r="934">
      <c r="A934" s="33"/>
      <c r="B934" s="33"/>
    </row>
    <row r="935">
      <c r="A935" s="33"/>
      <c r="B935" s="33"/>
    </row>
    <row r="936">
      <c r="A936" s="33"/>
      <c r="B936" s="33"/>
    </row>
    <row r="937">
      <c r="A937" s="33"/>
      <c r="B937" s="33"/>
    </row>
    <row r="938">
      <c r="A938" s="33"/>
      <c r="B938" s="33"/>
    </row>
    <row r="939">
      <c r="A939" s="33"/>
      <c r="B939" s="33"/>
    </row>
    <row r="940">
      <c r="A940" s="33"/>
      <c r="B940" s="33"/>
    </row>
    <row r="941">
      <c r="A941" s="33"/>
      <c r="B941" s="33"/>
    </row>
    <row r="942">
      <c r="A942" s="33"/>
      <c r="B942" s="33"/>
    </row>
    <row r="943">
      <c r="A943" s="33"/>
      <c r="B943" s="33"/>
    </row>
    <row r="944">
      <c r="A944" s="33"/>
      <c r="B944" s="33"/>
    </row>
    <row r="945">
      <c r="A945" s="33"/>
      <c r="B945" s="33"/>
    </row>
    <row r="946">
      <c r="A946" s="33"/>
      <c r="B946" s="33"/>
    </row>
    <row r="947">
      <c r="A947" s="33"/>
      <c r="B947" s="33"/>
    </row>
    <row r="948">
      <c r="A948" s="33"/>
      <c r="B948" s="33"/>
    </row>
    <row r="949">
      <c r="A949" s="33"/>
      <c r="B949" s="33"/>
    </row>
    <row r="950">
      <c r="A950" s="33"/>
      <c r="B950" s="33"/>
    </row>
    <row r="951">
      <c r="A951" s="33"/>
      <c r="B951" s="33"/>
    </row>
    <row r="952">
      <c r="A952" s="33"/>
      <c r="B952" s="33"/>
    </row>
    <row r="953">
      <c r="A953" s="33"/>
      <c r="B953" s="33"/>
    </row>
    <row r="954">
      <c r="A954" s="33"/>
      <c r="B954" s="33"/>
    </row>
    <row r="955">
      <c r="A955" s="33"/>
      <c r="B955" s="33"/>
    </row>
    <row r="956">
      <c r="A956" s="33"/>
      <c r="B956" s="33"/>
    </row>
    <row r="957">
      <c r="A957" s="33"/>
      <c r="B957" s="33"/>
    </row>
    <row r="958">
      <c r="A958" s="33"/>
      <c r="B958" s="33"/>
    </row>
    <row r="959">
      <c r="A959" s="33"/>
      <c r="B959" s="33"/>
    </row>
    <row r="960">
      <c r="A960" s="33"/>
      <c r="B960" s="33"/>
    </row>
    <row r="961">
      <c r="A961" s="33"/>
      <c r="B961" s="33"/>
    </row>
    <row r="962">
      <c r="A962" s="33"/>
      <c r="B962" s="33"/>
    </row>
    <row r="963">
      <c r="A963" s="33"/>
      <c r="B963" s="33"/>
    </row>
    <row r="964">
      <c r="A964" s="33"/>
      <c r="B964" s="33"/>
    </row>
    <row r="965">
      <c r="A965" s="33"/>
      <c r="B965" s="33"/>
    </row>
    <row r="966">
      <c r="A966" s="33"/>
      <c r="B966" s="33"/>
    </row>
    <row r="967">
      <c r="A967" s="33"/>
      <c r="B967" s="33"/>
    </row>
    <row r="968">
      <c r="A968" s="33"/>
      <c r="B968" s="33"/>
    </row>
    <row r="969">
      <c r="A969" s="33"/>
      <c r="B969" s="33"/>
    </row>
    <row r="970">
      <c r="A970" s="33"/>
      <c r="B970" s="33"/>
    </row>
    <row r="971">
      <c r="A971" s="33"/>
      <c r="B971" s="33"/>
    </row>
    <row r="972">
      <c r="A972" s="33"/>
      <c r="B972" s="33"/>
    </row>
    <row r="973">
      <c r="A973" s="33"/>
      <c r="B973" s="33"/>
    </row>
    <row r="974">
      <c r="A974" s="33"/>
      <c r="B974" s="33"/>
    </row>
    <row r="975">
      <c r="A975" s="33"/>
      <c r="B975" s="33"/>
    </row>
    <row r="976">
      <c r="A976" s="33"/>
      <c r="B976" s="33"/>
    </row>
    <row r="977">
      <c r="A977" s="33"/>
      <c r="B977" s="33"/>
    </row>
    <row r="978">
      <c r="A978" s="33"/>
      <c r="B978" s="33"/>
    </row>
    <row r="979">
      <c r="A979" s="33"/>
      <c r="B979" s="33"/>
    </row>
    <row r="980">
      <c r="A980" s="33"/>
      <c r="B980" s="33"/>
    </row>
    <row r="981">
      <c r="A981" s="33"/>
      <c r="B981" s="33"/>
    </row>
    <row r="982">
      <c r="A982" s="33"/>
      <c r="B982" s="33"/>
    </row>
    <row r="983">
      <c r="A983" s="33"/>
      <c r="B983" s="33"/>
    </row>
    <row r="984">
      <c r="A984" s="33"/>
      <c r="B984" s="33"/>
    </row>
    <row r="985">
      <c r="A985" s="33"/>
      <c r="B985" s="33"/>
    </row>
    <row r="986">
      <c r="A986" s="33"/>
      <c r="B986" s="33"/>
    </row>
    <row r="987">
      <c r="A987" s="33"/>
      <c r="B987" s="33"/>
    </row>
    <row r="988">
      <c r="A988" s="33"/>
      <c r="B988" s="33"/>
    </row>
    <row r="989">
      <c r="A989" s="33"/>
      <c r="B989" s="33"/>
    </row>
    <row r="990">
      <c r="A990" s="33"/>
      <c r="B990" s="33"/>
    </row>
    <row r="991">
      <c r="A991" s="33"/>
      <c r="B991" s="33"/>
    </row>
    <row r="992">
      <c r="A992" s="33"/>
      <c r="B992" s="33"/>
    </row>
    <row r="993">
      <c r="A993" s="33"/>
      <c r="B993" s="33"/>
    </row>
    <row r="994">
      <c r="A994" s="33"/>
      <c r="B994" s="33"/>
    </row>
    <row r="995">
      <c r="A995" s="33"/>
      <c r="B995" s="33"/>
    </row>
    <row r="996">
      <c r="A996" s="33"/>
      <c r="B996" s="33"/>
    </row>
    <row r="997">
      <c r="A997" s="33"/>
      <c r="B997" s="33"/>
    </row>
    <row r="998">
      <c r="A998" s="33"/>
      <c r="B998" s="33"/>
    </row>
    <row r="999">
      <c r="A999" s="33"/>
      <c r="B999" s="33"/>
    </row>
    <row r="1000">
      <c r="A1000" s="33"/>
      <c r="B1000" s="33"/>
    </row>
  </sheetData>
  <mergeCells count="33">
    <mergeCell ref="A1:A4"/>
    <mergeCell ref="C1:J1"/>
    <mergeCell ref="C2:D3"/>
    <mergeCell ref="E2:F3"/>
    <mergeCell ref="G2:G4"/>
    <mergeCell ref="H2:H4"/>
    <mergeCell ref="I2:J3"/>
    <mergeCell ref="B1:B4"/>
    <mergeCell ref="A22:B22"/>
    <mergeCell ref="C26:D27"/>
    <mergeCell ref="C28:C29"/>
    <mergeCell ref="C30:C31"/>
    <mergeCell ref="A32:A35"/>
    <mergeCell ref="B32:B35"/>
    <mergeCell ref="A54:A57"/>
    <mergeCell ref="B54:C57"/>
    <mergeCell ref="B58:C58"/>
    <mergeCell ref="B59:C59"/>
    <mergeCell ref="B60:C60"/>
    <mergeCell ref="B61:C61"/>
    <mergeCell ref="B62:C62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69:C69"/>
  </mergeCells>
  <printOptions/>
  <pageMargins bottom="0.75" footer="0.0" header="0.0" left="0.7" right="0.7" top="0.75"/>
  <pageSetup paperSize="9" orientation="landscape"/>
  <headerFooter>
    <oddHeader>&amp;LNumber of Regulated Hospitals as of Dec. 31, 2022</oddHeader>
  </headerFooter>
  <colBreaks count="2" manualBreakCount="2">
    <brk man="1"/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7" max="7" width="35.88"/>
  </cols>
  <sheetData>
    <row r="1">
      <c r="A1" s="44" t="s">
        <v>47</v>
      </c>
      <c r="B1" s="45" t="s">
        <v>0</v>
      </c>
      <c r="C1" s="45" t="s">
        <v>1</v>
      </c>
      <c r="D1" s="45" t="s">
        <v>48</v>
      </c>
      <c r="E1" s="46" t="s">
        <v>49</v>
      </c>
      <c r="F1" s="46" t="s">
        <v>50</v>
      </c>
      <c r="G1" s="46" t="s">
        <v>51</v>
      </c>
      <c r="H1" s="45" t="s">
        <v>52</v>
      </c>
      <c r="I1" s="46" t="s">
        <v>53</v>
      </c>
      <c r="J1" s="45" t="s">
        <v>9</v>
      </c>
      <c r="K1" s="47" t="s">
        <v>54</v>
      </c>
      <c r="L1" s="48" t="s">
        <v>55</v>
      </c>
      <c r="M1" s="45" t="s">
        <v>56</v>
      </c>
      <c r="N1" s="45" t="s">
        <v>57</v>
      </c>
      <c r="O1" s="46" t="s">
        <v>58</v>
      </c>
      <c r="P1" s="49" t="s">
        <v>59</v>
      </c>
      <c r="Q1" s="45" t="s">
        <v>60</v>
      </c>
      <c r="R1" s="46" t="s">
        <v>61</v>
      </c>
      <c r="S1" s="46" t="s">
        <v>62</v>
      </c>
      <c r="T1" s="50" t="s">
        <v>63</v>
      </c>
      <c r="U1" s="46" t="s">
        <v>64</v>
      </c>
      <c r="V1" s="51"/>
      <c r="W1" s="51"/>
      <c r="X1" s="51"/>
      <c r="Y1" s="51"/>
      <c r="Z1" s="51"/>
    </row>
    <row r="2">
      <c r="A2" s="52"/>
      <c r="B2" s="53" t="s">
        <v>34</v>
      </c>
      <c r="C2" s="54"/>
      <c r="D2" s="55"/>
      <c r="E2" s="56"/>
      <c r="F2" s="57"/>
      <c r="G2" s="58" t="s">
        <v>65</v>
      </c>
      <c r="H2" s="59"/>
      <c r="I2" s="59"/>
      <c r="J2" s="60"/>
      <c r="K2" s="60"/>
      <c r="L2" s="60"/>
      <c r="M2" s="61"/>
      <c r="N2" s="54"/>
      <c r="O2" s="54"/>
      <c r="P2" s="62"/>
      <c r="Q2" s="54"/>
      <c r="R2" s="60"/>
      <c r="S2" s="63"/>
      <c r="T2" s="64"/>
      <c r="U2" s="65"/>
      <c r="V2" s="51"/>
      <c r="W2" s="51"/>
      <c r="X2" s="51"/>
      <c r="Y2" s="51"/>
      <c r="Z2" s="51"/>
    </row>
    <row r="3">
      <c r="A3" s="52">
        <v>1.0</v>
      </c>
      <c r="B3" s="59" t="s">
        <v>40</v>
      </c>
      <c r="C3" s="54"/>
      <c r="D3" s="55" t="s">
        <v>66</v>
      </c>
      <c r="E3" s="56" t="s">
        <v>67</v>
      </c>
      <c r="F3" s="57" t="s">
        <v>68</v>
      </c>
      <c r="G3" s="57" t="s">
        <v>69</v>
      </c>
      <c r="H3" s="59" t="s">
        <v>70</v>
      </c>
      <c r="I3" s="59"/>
      <c r="J3" s="60">
        <v>16.0</v>
      </c>
      <c r="K3" s="60"/>
      <c r="L3" s="60"/>
      <c r="M3" s="61" t="s">
        <v>71</v>
      </c>
      <c r="N3" s="54"/>
      <c r="O3" s="54"/>
      <c r="P3" s="62" t="s">
        <v>72</v>
      </c>
      <c r="Q3" s="54"/>
      <c r="R3" s="60"/>
      <c r="S3" s="63"/>
      <c r="T3" s="64"/>
      <c r="U3" s="65" t="s">
        <v>73</v>
      </c>
      <c r="V3" s="51"/>
      <c r="W3" s="51"/>
      <c r="X3" s="51"/>
      <c r="Y3" s="51"/>
      <c r="Z3" s="51"/>
    </row>
    <row r="4">
      <c r="A4" s="66">
        <v>2.0</v>
      </c>
      <c r="B4" s="67" t="s">
        <v>40</v>
      </c>
      <c r="C4" s="68"/>
      <c r="D4" s="69" t="s">
        <v>66</v>
      </c>
      <c r="E4" s="70" t="s">
        <v>67</v>
      </c>
      <c r="F4" s="69" t="s">
        <v>74</v>
      </c>
      <c r="G4" s="71" t="s">
        <v>75</v>
      </c>
      <c r="H4" s="68"/>
      <c r="I4" s="67" t="s">
        <v>76</v>
      </c>
      <c r="J4" s="72">
        <v>10.0</v>
      </c>
      <c r="K4" s="72"/>
      <c r="L4" s="72"/>
      <c r="M4" s="73" t="s">
        <v>77</v>
      </c>
      <c r="N4" s="68"/>
      <c r="O4" s="74"/>
      <c r="P4" s="75"/>
      <c r="Q4" s="68"/>
      <c r="R4" s="74"/>
      <c r="S4" s="74"/>
      <c r="T4" s="76" t="s">
        <v>78</v>
      </c>
      <c r="U4" s="77" t="s">
        <v>73</v>
      </c>
      <c r="V4" s="51"/>
      <c r="W4" s="51"/>
      <c r="X4" s="51"/>
      <c r="Y4" s="51"/>
      <c r="Z4" s="51"/>
    </row>
    <row r="5">
      <c r="A5" s="52">
        <v>3.0</v>
      </c>
      <c r="B5" s="78" t="s">
        <v>40</v>
      </c>
      <c r="C5" s="79"/>
      <c r="D5" s="80" t="s">
        <v>66</v>
      </c>
      <c r="E5" s="81" t="s">
        <v>67</v>
      </c>
      <c r="F5" s="82" t="s">
        <v>79</v>
      </c>
      <c r="G5" s="82" t="s">
        <v>80</v>
      </c>
      <c r="H5" s="78" t="s">
        <v>70</v>
      </c>
      <c r="I5" s="78"/>
      <c r="J5" s="83">
        <v>44.0</v>
      </c>
      <c r="K5" s="83"/>
      <c r="L5" s="83"/>
      <c r="M5" s="84"/>
      <c r="N5" s="79"/>
      <c r="O5" s="85"/>
      <c r="P5" s="86" t="s">
        <v>81</v>
      </c>
      <c r="Q5" s="79"/>
      <c r="R5" s="87">
        <v>45027.0</v>
      </c>
      <c r="S5" s="88">
        <v>45291.0</v>
      </c>
      <c r="T5" s="89" t="s">
        <v>82</v>
      </c>
      <c r="U5" s="79"/>
      <c r="V5" s="51"/>
      <c r="W5" s="51"/>
      <c r="X5" s="51"/>
      <c r="Y5" s="51"/>
      <c r="Z5" s="51"/>
    </row>
    <row r="6">
      <c r="A6" s="66">
        <v>4.0</v>
      </c>
      <c r="B6" s="78" t="s">
        <v>40</v>
      </c>
      <c r="C6" s="79"/>
      <c r="D6" s="90" t="s">
        <v>83</v>
      </c>
      <c r="E6" s="81" t="s">
        <v>84</v>
      </c>
      <c r="F6" s="91" t="s">
        <v>85</v>
      </c>
      <c r="G6" s="91" t="s">
        <v>86</v>
      </c>
      <c r="H6" s="78" t="s">
        <v>70</v>
      </c>
      <c r="I6" s="78"/>
      <c r="J6" s="92">
        <v>15.0</v>
      </c>
      <c r="K6" s="92"/>
      <c r="L6" s="92"/>
      <c r="M6" s="93" t="s">
        <v>87</v>
      </c>
      <c r="N6" s="79"/>
      <c r="O6" s="85"/>
      <c r="P6" s="94" t="s">
        <v>88</v>
      </c>
      <c r="Q6" s="79"/>
      <c r="R6" s="87">
        <v>44927.0</v>
      </c>
      <c r="S6" s="88">
        <v>45291.0</v>
      </c>
      <c r="T6" s="89" t="s">
        <v>89</v>
      </c>
      <c r="U6" s="95" t="s">
        <v>73</v>
      </c>
      <c r="V6" s="51"/>
      <c r="W6" s="51"/>
      <c r="X6" s="51"/>
      <c r="Y6" s="51"/>
      <c r="Z6" s="51"/>
    </row>
    <row r="7">
      <c r="A7" s="52">
        <v>5.0</v>
      </c>
      <c r="B7" s="78" t="s">
        <v>40</v>
      </c>
      <c r="C7" s="79"/>
      <c r="D7" s="96" t="s">
        <v>90</v>
      </c>
      <c r="E7" s="81" t="s">
        <v>91</v>
      </c>
      <c r="F7" s="97" t="s">
        <v>92</v>
      </c>
      <c r="G7" s="97" t="s">
        <v>93</v>
      </c>
      <c r="H7" s="78" t="s">
        <v>70</v>
      </c>
      <c r="I7" s="78"/>
      <c r="J7" s="98">
        <v>30.0</v>
      </c>
      <c r="K7" s="98"/>
      <c r="L7" s="98"/>
      <c r="M7" s="99" t="s">
        <v>94</v>
      </c>
      <c r="N7" s="79"/>
      <c r="O7" s="85"/>
      <c r="P7" s="100" t="s">
        <v>95</v>
      </c>
      <c r="Q7" s="79"/>
      <c r="R7" s="101"/>
      <c r="S7" s="101"/>
      <c r="T7" s="102"/>
      <c r="U7" s="95" t="s">
        <v>73</v>
      </c>
      <c r="V7" s="51"/>
      <c r="W7" s="51"/>
      <c r="X7" s="51"/>
      <c r="Y7" s="51"/>
      <c r="Z7" s="51"/>
    </row>
    <row r="8">
      <c r="A8" s="66">
        <v>6.0</v>
      </c>
      <c r="B8" s="78" t="s">
        <v>40</v>
      </c>
      <c r="C8" s="79"/>
      <c r="D8" s="96" t="s">
        <v>90</v>
      </c>
      <c r="E8" s="81" t="s">
        <v>96</v>
      </c>
      <c r="F8" s="97" t="s">
        <v>97</v>
      </c>
      <c r="G8" s="97" t="s">
        <v>98</v>
      </c>
      <c r="H8" s="78" t="s">
        <v>70</v>
      </c>
      <c r="I8" s="78"/>
      <c r="J8" s="98">
        <v>10.0</v>
      </c>
      <c r="K8" s="98"/>
      <c r="L8" s="98"/>
      <c r="M8" s="99" t="s">
        <v>99</v>
      </c>
      <c r="N8" s="79"/>
      <c r="O8" s="85"/>
      <c r="P8" s="103" t="s">
        <v>100</v>
      </c>
      <c r="Q8" s="79"/>
      <c r="R8" s="101"/>
      <c r="S8" s="101"/>
      <c r="T8" s="102"/>
      <c r="U8" s="95" t="s">
        <v>73</v>
      </c>
      <c r="V8" s="51"/>
      <c r="W8" s="51"/>
      <c r="X8" s="51"/>
      <c r="Y8" s="51"/>
      <c r="Z8" s="51"/>
    </row>
    <row r="9">
      <c r="A9" s="52">
        <v>7.0</v>
      </c>
      <c r="B9" s="104" t="s">
        <v>40</v>
      </c>
      <c r="C9" s="105"/>
      <c r="D9" s="106" t="s">
        <v>101</v>
      </c>
      <c r="E9" s="107"/>
      <c r="F9" s="102" t="s">
        <v>102</v>
      </c>
      <c r="G9" s="102" t="s">
        <v>103</v>
      </c>
      <c r="H9" s="96" t="s">
        <v>104</v>
      </c>
      <c r="I9" s="104" t="s">
        <v>105</v>
      </c>
      <c r="J9" s="108">
        <v>10.0</v>
      </c>
      <c r="K9" s="108"/>
      <c r="L9" s="108"/>
      <c r="M9" s="84" t="s">
        <v>106</v>
      </c>
      <c r="N9" s="102"/>
      <c r="O9" s="101"/>
      <c r="P9" s="109" t="s">
        <v>107</v>
      </c>
      <c r="Q9" s="102"/>
      <c r="R9" s="101"/>
      <c r="S9" s="101"/>
      <c r="T9" s="110" t="s">
        <v>108</v>
      </c>
      <c r="U9" s="111" t="s">
        <v>73</v>
      </c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112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112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112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12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112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112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112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112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112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112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112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112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112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112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112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112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112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112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112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112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112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112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112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112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112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112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112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112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112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112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112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112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12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112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112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112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112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112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112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112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112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112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112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112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112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112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112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112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112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112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112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112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112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112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112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112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112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112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112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112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112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112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112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112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112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112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112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112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112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112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112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112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112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112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112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112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112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112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112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112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112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112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112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112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112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112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112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112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112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112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112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112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112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112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112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112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112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112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112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112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112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112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112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112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112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112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112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112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112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112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112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112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112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112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112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112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112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112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112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112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112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112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112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112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112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112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112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112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112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112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112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112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112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112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112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112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112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112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112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112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112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112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112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112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112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112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112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112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112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112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112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112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112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112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112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112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112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112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112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112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112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112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112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112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112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112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112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112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112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112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112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112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112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112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112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112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112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112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112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112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112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112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112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112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112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112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112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112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112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112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112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112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112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112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112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112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112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112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112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112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112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112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112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112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112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112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112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112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112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112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112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112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112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112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112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112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112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112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112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112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112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112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112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112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112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112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112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112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112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112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112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112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112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112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112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112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112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112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112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112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112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112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112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112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112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112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112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112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112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112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112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112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112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112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112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112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112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112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112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112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112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112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112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112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112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112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112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112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112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112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112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112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112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112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112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112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112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112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112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112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112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112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112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112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112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112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112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112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112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112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112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112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112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112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112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112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112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112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112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112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112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112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112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112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112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112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112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112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112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112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112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112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112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112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112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112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112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112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112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112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112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112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112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112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112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112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112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112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112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112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112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112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112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112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112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112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112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112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112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112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112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112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112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112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112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112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112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112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112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112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112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112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112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112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112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112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112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112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112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112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112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112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112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112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112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112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112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112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112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112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112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112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112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112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112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112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112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112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112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112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112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112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112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112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112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112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112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112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112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112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112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112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112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112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112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112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112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112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112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112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112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112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112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112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112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112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112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112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112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112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112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112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112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112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112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112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112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112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112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112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112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112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112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112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112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112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112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112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112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112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112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112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112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112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112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112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112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112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112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112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112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112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112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112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112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112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112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112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112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112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112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112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112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112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112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112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112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112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112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112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112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112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112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112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112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112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112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112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112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112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112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112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112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112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112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112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112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112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112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112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112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112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112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112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112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112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112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112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112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112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112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112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112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112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112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112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112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112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112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112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112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112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112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112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112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112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112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112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112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112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112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112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112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112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112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112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112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112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112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112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112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112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112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112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112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112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112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112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112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112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112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112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112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112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112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112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112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112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112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112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112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112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112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112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112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112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112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112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112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112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112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112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112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112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112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112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112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112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112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112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112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112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112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112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112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112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112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112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112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112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112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112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112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112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112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112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112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112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112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112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112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112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112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112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112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112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112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112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112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112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112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112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112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112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112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112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112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112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112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112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112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112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112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112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112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112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112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112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112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112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112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112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112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112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112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112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112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112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112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112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112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112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112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112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112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112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112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112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112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112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112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112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112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112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112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112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112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112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112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112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112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112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112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112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112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112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112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112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112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112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112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112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112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112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112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112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112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112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112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112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112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112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112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112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112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112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112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112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112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112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112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112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112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112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112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112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112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112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112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112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112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112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112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112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112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112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112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112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112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112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112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112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112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112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112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112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112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112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112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112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112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112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112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112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112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112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112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112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112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112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112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112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112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112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112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112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112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112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112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112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112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112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112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112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112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112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112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112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112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112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112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112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112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112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112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112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112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112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112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112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112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112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112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112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112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112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112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112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112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112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112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112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112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112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112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112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112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112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112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112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112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112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112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112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112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112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112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112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112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112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112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112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112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112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112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112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112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112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112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112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112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112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112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112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112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112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112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112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112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112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112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112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112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112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112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112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112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112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112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112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112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112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112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112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112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112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112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112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112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112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112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112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112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112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112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112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112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112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112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112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112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112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112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112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112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112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112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112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112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112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112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112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112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112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112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112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112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112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112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112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112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112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112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112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112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112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112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112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112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112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112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112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112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112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112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112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112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112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112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112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112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112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112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112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112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112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112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112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112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112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112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112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112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112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112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112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112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112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112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112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112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112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112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112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112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112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112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112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112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112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112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112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112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112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112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112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112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112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112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112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112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112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112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112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112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112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112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112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112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112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112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112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112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112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112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112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112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112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112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112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112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112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112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112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112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112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112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112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112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112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112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112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112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112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112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112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112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112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112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112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112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112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112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112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112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112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112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112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112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112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112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112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112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112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112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112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112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112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112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112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112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112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112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112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112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112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112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112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112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112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112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112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112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112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112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112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112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112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112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112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112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112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112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112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112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112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112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112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112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112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112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112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112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</sheetData>
  <dataValidations>
    <dataValidation type="list" allowBlank="1" showErrorMessage="1" sqref="E2:E9">
      <formula1>'Master Data'!$D$5:$D$1246</formula1>
    </dataValidation>
    <dataValidation type="list" allowBlank="1" showErrorMessage="1" sqref="H2:H9">
      <formula1>'Master Data'!$E$5:$E$6</formula1>
    </dataValidation>
    <dataValidation type="list" allowBlank="1" showErrorMessage="1" sqref="L4:L9">
      <formula1>'Master Data'!$K$5:$K$8</formula1>
    </dataValidation>
    <dataValidation type="list" allowBlank="1" showErrorMessage="1" sqref="I2:I9">
      <formula1>'Master Data'!$L$4:$L$13</formula1>
    </dataValidation>
    <dataValidation type="list" allowBlank="1" showErrorMessage="1" sqref="B2:B9">
      <formula1>'Master Data'!$A$5:$A$21</formula1>
    </dataValidation>
    <dataValidation type="list" allowBlank="1" showErrorMessage="1" sqref="D2:D9">
      <formula1>'Master Data'!$C$5:$C$98</formula1>
    </dataValidation>
    <dataValidation type="custom" allowBlank="1" showDropDown="1" showInputMessage="1" showErrorMessage="1" prompt="Inser Valid Date ( e.g. Month/Day/Year - 12/21/2023) " sqref="O4:P9 R2:S9">
      <formula1>OR(NOT(ISERROR(DATEVALUE(O2))), AND(ISNUMBER(O2), LEFT(CELL("format", O2))="D"))</formula1>
    </dataValidation>
    <dataValidation type="list" allowBlank="1" showErrorMessage="1" sqref="C2:C9">
      <formula1>'Master Data'!$B$5:$B$21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13"/>
    <col customWidth="1" hidden="1" min="3" max="3" width="17.88"/>
    <col customWidth="1" min="4" max="4" width="17.38"/>
    <col customWidth="1" min="5" max="5" width="15.38"/>
    <col customWidth="1" min="6" max="6" width="19.5"/>
    <col customWidth="1" min="8" max="8" width="19.0"/>
    <col customWidth="1" min="9" max="9" width="12.75"/>
    <col customWidth="1" min="10" max="10" width="19.63"/>
    <col customWidth="1" min="11" max="11" width="13.75"/>
    <col customWidth="1" min="12" max="12" width="14.0"/>
  </cols>
  <sheetData>
    <row r="1">
      <c r="A1" s="113" t="s">
        <v>47</v>
      </c>
      <c r="B1" s="113" t="s">
        <v>0</v>
      </c>
      <c r="C1" s="113" t="s">
        <v>1</v>
      </c>
      <c r="D1" s="113" t="s">
        <v>48</v>
      </c>
      <c r="E1" s="48" t="s">
        <v>109</v>
      </c>
      <c r="F1" s="48" t="s">
        <v>50</v>
      </c>
      <c r="G1" s="113" t="s">
        <v>52</v>
      </c>
      <c r="H1" s="113" t="s">
        <v>110</v>
      </c>
      <c r="I1" s="113" t="s">
        <v>111</v>
      </c>
      <c r="J1" s="113" t="s">
        <v>112</v>
      </c>
      <c r="K1" s="113" t="s">
        <v>113</v>
      </c>
      <c r="L1" s="113" t="s">
        <v>114</v>
      </c>
      <c r="M1" s="48" t="s">
        <v>61</v>
      </c>
      <c r="N1" s="48" t="s">
        <v>62</v>
      </c>
      <c r="O1" s="48" t="s">
        <v>115</v>
      </c>
      <c r="P1" s="48" t="s">
        <v>64</v>
      </c>
    </row>
    <row r="2">
      <c r="A2" s="114">
        <v>1.0</v>
      </c>
      <c r="B2" s="115"/>
      <c r="C2" s="116"/>
      <c r="D2" s="117"/>
      <c r="E2" s="117"/>
      <c r="F2" s="118" t="s">
        <v>116</v>
      </c>
      <c r="G2" s="114"/>
      <c r="H2" s="119"/>
      <c r="I2" s="119"/>
      <c r="J2" s="119"/>
      <c r="K2" s="119"/>
      <c r="L2" s="119"/>
      <c r="M2" s="119"/>
      <c r="N2" s="119"/>
      <c r="O2" s="119"/>
      <c r="P2" s="119"/>
    </row>
    <row r="3">
      <c r="A3" s="114">
        <v>2.0</v>
      </c>
      <c r="B3" s="115"/>
      <c r="C3" s="116"/>
      <c r="D3" s="117"/>
      <c r="E3" s="117"/>
      <c r="F3" s="119"/>
      <c r="G3" s="114"/>
      <c r="H3" s="119"/>
      <c r="I3" s="119"/>
      <c r="J3" s="119"/>
      <c r="K3" s="119"/>
      <c r="L3" s="119"/>
      <c r="M3" s="119"/>
      <c r="N3" s="119"/>
      <c r="O3" s="119"/>
      <c r="P3" s="119"/>
    </row>
    <row r="4">
      <c r="A4" s="114">
        <v>3.0</v>
      </c>
      <c r="B4" s="115"/>
      <c r="C4" s="116"/>
      <c r="D4" s="117"/>
      <c r="E4" s="117"/>
      <c r="F4" s="119"/>
      <c r="G4" s="114"/>
      <c r="H4" s="119"/>
      <c r="I4" s="119"/>
      <c r="J4" s="119"/>
      <c r="K4" s="119"/>
      <c r="L4" s="119"/>
      <c r="M4" s="119"/>
      <c r="N4" s="119"/>
      <c r="O4" s="119"/>
      <c r="P4" s="119"/>
    </row>
    <row r="5">
      <c r="A5" s="114">
        <v>4.0</v>
      </c>
      <c r="B5" s="115"/>
      <c r="C5" s="116"/>
      <c r="D5" s="117"/>
      <c r="E5" s="117"/>
      <c r="F5" s="119"/>
      <c r="G5" s="114"/>
      <c r="H5" s="119"/>
      <c r="I5" s="119"/>
      <c r="J5" s="119"/>
      <c r="K5" s="119"/>
      <c r="L5" s="119"/>
      <c r="M5" s="119"/>
      <c r="N5" s="119"/>
      <c r="O5" s="119"/>
      <c r="P5" s="119"/>
    </row>
    <row r="6">
      <c r="A6" s="114">
        <v>5.0</v>
      </c>
      <c r="B6" s="115"/>
      <c r="C6" s="116"/>
      <c r="D6" s="117"/>
      <c r="E6" s="117"/>
      <c r="F6" s="119"/>
      <c r="G6" s="114"/>
      <c r="H6" s="119"/>
      <c r="I6" s="119"/>
      <c r="J6" s="119"/>
      <c r="K6" s="119"/>
      <c r="L6" s="119"/>
      <c r="M6" s="119"/>
      <c r="N6" s="119"/>
      <c r="O6" s="119"/>
      <c r="P6" s="119"/>
    </row>
    <row r="7">
      <c r="A7" s="114">
        <v>6.0</v>
      </c>
      <c r="B7" s="115"/>
      <c r="C7" s="116"/>
      <c r="D7" s="117"/>
      <c r="E7" s="117"/>
      <c r="F7" s="119"/>
      <c r="G7" s="114"/>
      <c r="H7" s="119"/>
      <c r="I7" s="119"/>
      <c r="J7" s="119"/>
      <c r="K7" s="119"/>
      <c r="L7" s="119"/>
      <c r="M7" s="119"/>
      <c r="N7" s="119"/>
      <c r="O7" s="119"/>
      <c r="P7" s="119"/>
    </row>
    <row r="8">
      <c r="A8" s="114">
        <v>7.0</v>
      </c>
      <c r="B8" s="115"/>
      <c r="C8" s="116"/>
      <c r="D8" s="117"/>
      <c r="E8" s="117"/>
      <c r="F8" s="119"/>
      <c r="G8" s="114"/>
      <c r="H8" s="119"/>
      <c r="I8" s="119"/>
      <c r="J8" s="119"/>
      <c r="K8" s="119"/>
      <c r="L8" s="119"/>
      <c r="M8" s="119"/>
      <c r="N8" s="119"/>
      <c r="O8" s="119"/>
      <c r="P8" s="119"/>
    </row>
    <row r="9">
      <c r="A9" s="114">
        <v>8.0</v>
      </c>
      <c r="B9" s="115"/>
      <c r="C9" s="116"/>
      <c r="D9" s="117"/>
      <c r="E9" s="117"/>
      <c r="F9" s="119"/>
      <c r="G9" s="114"/>
      <c r="H9" s="119"/>
      <c r="I9" s="119"/>
      <c r="J9" s="119"/>
      <c r="K9" s="119"/>
      <c r="L9" s="119"/>
      <c r="M9" s="119"/>
      <c r="N9" s="119"/>
      <c r="O9" s="119"/>
      <c r="P9" s="119"/>
    </row>
    <row r="10">
      <c r="A10" s="114">
        <v>9.0</v>
      </c>
      <c r="B10" s="115"/>
      <c r="C10" s="116"/>
      <c r="D10" s="117"/>
      <c r="E10" s="117"/>
      <c r="F10" s="119"/>
      <c r="G10" s="114"/>
      <c r="H10" s="119"/>
      <c r="I10" s="119"/>
      <c r="J10" s="119"/>
      <c r="K10" s="119"/>
      <c r="L10" s="119"/>
      <c r="M10" s="119"/>
      <c r="N10" s="119"/>
      <c r="O10" s="119"/>
      <c r="P10" s="119"/>
    </row>
    <row r="11">
      <c r="A11" s="114">
        <v>10.0</v>
      </c>
      <c r="B11" s="115"/>
      <c r="C11" s="116"/>
      <c r="D11" s="117"/>
      <c r="E11" s="117"/>
      <c r="F11" s="119"/>
      <c r="G11" s="114"/>
      <c r="H11" s="119"/>
      <c r="I11" s="119"/>
      <c r="J11" s="119"/>
      <c r="K11" s="119"/>
      <c r="L11" s="119"/>
      <c r="M11" s="119"/>
      <c r="N11" s="119"/>
      <c r="O11" s="119"/>
      <c r="P11" s="119"/>
    </row>
    <row r="12">
      <c r="A12" s="114">
        <v>11.0</v>
      </c>
      <c r="B12" s="115"/>
      <c r="C12" s="116"/>
      <c r="D12" s="117"/>
      <c r="E12" s="117"/>
      <c r="F12" s="119"/>
      <c r="G12" s="114"/>
      <c r="H12" s="119"/>
      <c r="I12" s="119"/>
      <c r="J12" s="119"/>
      <c r="K12" s="119"/>
      <c r="L12" s="119"/>
      <c r="M12" s="119"/>
      <c r="N12" s="119"/>
      <c r="O12" s="119"/>
      <c r="P12" s="119"/>
    </row>
    <row r="13">
      <c r="A13" s="114">
        <v>12.0</v>
      </c>
      <c r="B13" s="115"/>
      <c r="C13" s="116"/>
      <c r="D13" s="117"/>
      <c r="E13" s="117"/>
      <c r="F13" s="119"/>
      <c r="G13" s="114"/>
      <c r="H13" s="119"/>
      <c r="I13" s="119"/>
      <c r="J13" s="119"/>
      <c r="K13" s="119"/>
      <c r="L13" s="119"/>
      <c r="M13" s="119"/>
      <c r="N13" s="119"/>
      <c r="O13" s="119"/>
      <c r="P13" s="119"/>
    </row>
    <row r="14">
      <c r="A14" s="114">
        <v>13.0</v>
      </c>
      <c r="B14" s="115"/>
      <c r="C14" s="116"/>
      <c r="D14" s="117"/>
      <c r="E14" s="117"/>
      <c r="F14" s="119"/>
      <c r="G14" s="114"/>
      <c r="H14" s="119"/>
      <c r="I14" s="119"/>
      <c r="J14" s="119"/>
      <c r="K14" s="119"/>
      <c r="L14" s="119"/>
      <c r="M14" s="119"/>
      <c r="N14" s="119"/>
      <c r="O14" s="119"/>
      <c r="P14" s="119"/>
    </row>
    <row r="15">
      <c r="A15" s="114">
        <v>14.0</v>
      </c>
      <c r="B15" s="115"/>
      <c r="C15" s="116"/>
      <c r="D15" s="117"/>
      <c r="E15" s="117"/>
      <c r="F15" s="119"/>
      <c r="G15" s="114"/>
      <c r="H15" s="119"/>
      <c r="I15" s="119"/>
      <c r="J15" s="119"/>
      <c r="K15" s="119"/>
      <c r="L15" s="119"/>
      <c r="M15" s="119"/>
      <c r="N15" s="119"/>
      <c r="O15" s="119"/>
      <c r="P15" s="119"/>
    </row>
    <row r="16">
      <c r="A16" s="114">
        <v>15.0</v>
      </c>
      <c r="B16" s="115"/>
      <c r="C16" s="116"/>
      <c r="D16" s="117"/>
      <c r="E16" s="117"/>
      <c r="F16" s="119"/>
      <c r="G16" s="114"/>
      <c r="H16" s="119"/>
      <c r="I16" s="119"/>
      <c r="J16" s="119"/>
      <c r="K16" s="119"/>
      <c r="L16" s="119"/>
      <c r="M16" s="119"/>
      <c r="N16" s="119"/>
      <c r="O16" s="119"/>
      <c r="P16" s="119"/>
    </row>
    <row r="17">
      <c r="A17" s="114">
        <v>16.0</v>
      </c>
      <c r="B17" s="115"/>
      <c r="C17" s="116"/>
      <c r="D17" s="117"/>
      <c r="E17" s="117"/>
      <c r="F17" s="119"/>
      <c r="G17" s="114"/>
      <c r="H17" s="119"/>
      <c r="I17" s="119"/>
      <c r="J17" s="119"/>
      <c r="K17" s="119"/>
      <c r="L17" s="119"/>
      <c r="M17" s="119"/>
      <c r="N17" s="119"/>
      <c r="O17" s="119"/>
      <c r="P17" s="119"/>
    </row>
    <row r="18">
      <c r="A18" s="114">
        <v>17.0</v>
      </c>
      <c r="B18" s="115"/>
      <c r="C18" s="116"/>
      <c r="D18" s="117"/>
      <c r="E18" s="117"/>
      <c r="F18" s="119"/>
      <c r="G18" s="114"/>
      <c r="H18" s="119"/>
      <c r="I18" s="119"/>
      <c r="J18" s="119"/>
      <c r="K18" s="119"/>
      <c r="L18" s="119"/>
      <c r="M18" s="119"/>
      <c r="N18" s="119"/>
      <c r="O18" s="119"/>
      <c r="P18" s="119"/>
    </row>
    <row r="19">
      <c r="A19" s="114">
        <v>18.0</v>
      </c>
      <c r="B19" s="115"/>
      <c r="C19" s="116"/>
      <c r="D19" s="117"/>
      <c r="E19" s="117"/>
      <c r="F19" s="119"/>
      <c r="G19" s="114"/>
      <c r="H19" s="119"/>
      <c r="I19" s="119"/>
      <c r="J19" s="119"/>
      <c r="K19" s="119"/>
      <c r="L19" s="119"/>
      <c r="M19" s="119"/>
      <c r="N19" s="119"/>
      <c r="O19" s="119"/>
      <c r="P19" s="119"/>
    </row>
    <row r="20">
      <c r="A20" s="114">
        <v>19.0</v>
      </c>
      <c r="B20" s="115"/>
      <c r="C20" s="116"/>
      <c r="D20" s="117"/>
      <c r="E20" s="117"/>
      <c r="F20" s="119"/>
      <c r="G20" s="114"/>
      <c r="H20" s="119"/>
      <c r="I20" s="119"/>
      <c r="J20" s="119"/>
      <c r="K20" s="119"/>
      <c r="L20" s="119"/>
      <c r="M20" s="119"/>
      <c r="N20" s="119"/>
      <c r="O20" s="119"/>
      <c r="P20" s="119"/>
    </row>
    <row r="21">
      <c r="A21" s="114">
        <v>20.0</v>
      </c>
      <c r="B21" s="115"/>
      <c r="C21" s="116"/>
      <c r="D21" s="117"/>
      <c r="E21" s="117"/>
      <c r="F21" s="119"/>
      <c r="G21" s="114"/>
      <c r="H21" s="119"/>
      <c r="I21" s="119"/>
      <c r="J21" s="119"/>
      <c r="K21" s="119"/>
      <c r="L21" s="119"/>
      <c r="M21" s="119"/>
      <c r="N21" s="119"/>
      <c r="O21" s="119"/>
      <c r="P21" s="119"/>
    </row>
    <row r="22">
      <c r="A22" s="114">
        <v>21.0</v>
      </c>
      <c r="B22" s="115"/>
      <c r="C22" s="116"/>
      <c r="D22" s="117"/>
      <c r="E22" s="117"/>
      <c r="F22" s="119"/>
      <c r="G22" s="114"/>
      <c r="H22" s="119"/>
      <c r="I22" s="119"/>
      <c r="J22" s="119"/>
      <c r="K22" s="119"/>
      <c r="L22" s="119"/>
      <c r="M22" s="119"/>
      <c r="N22" s="119"/>
      <c r="O22" s="119"/>
      <c r="P22" s="119"/>
    </row>
    <row r="23">
      <c r="A23" s="114">
        <v>22.0</v>
      </c>
      <c r="B23" s="115"/>
      <c r="C23" s="116"/>
      <c r="D23" s="117"/>
      <c r="E23" s="117"/>
      <c r="F23" s="119"/>
      <c r="G23" s="114"/>
      <c r="H23" s="119"/>
      <c r="I23" s="119"/>
      <c r="J23" s="119"/>
      <c r="K23" s="119"/>
      <c r="L23" s="119"/>
      <c r="M23" s="119"/>
      <c r="N23" s="119"/>
      <c r="O23" s="119"/>
      <c r="P23" s="119"/>
    </row>
    <row r="24">
      <c r="A24" s="114">
        <v>23.0</v>
      </c>
      <c r="B24" s="115"/>
      <c r="C24" s="116"/>
      <c r="D24" s="117"/>
      <c r="E24" s="117"/>
      <c r="F24" s="119"/>
      <c r="G24" s="114"/>
      <c r="H24" s="119"/>
      <c r="I24" s="119"/>
      <c r="J24" s="119"/>
      <c r="K24" s="119"/>
      <c r="L24" s="119"/>
      <c r="M24" s="119"/>
      <c r="N24" s="119"/>
      <c r="O24" s="119"/>
      <c r="P24" s="119"/>
    </row>
    <row r="25">
      <c r="A25" s="114">
        <v>24.0</v>
      </c>
      <c r="B25" s="115"/>
      <c r="C25" s="116"/>
      <c r="D25" s="117"/>
      <c r="E25" s="117"/>
      <c r="F25" s="119"/>
      <c r="G25" s="114"/>
      <c r="H25" s="119"/>
      <c r="I25" s="119"/>
      <c r="J25" s="119"/>
      <c r="K25" s="119"/>
      <c r="L25" s="119"/>
      <c r="M25" s="119"/>
      <c r="N25" s="119"/>
      <c r="O25" s="119"/>
      <c r="P25" s="119"/>
    </row>
    <row r="26">
      <c r="A26" s="114">
        <v>25.0</v>
      </c>
      <c r="B26" s="115"/>
      <c r="C26" s="116"/>
      <c r="D26" s="117"/>
      <c r="E26" s="117"/>
      <c r="F26" s="119"/>
      <c r="G26" s="114"/>
      <c r="H26" s="119"/>
      <c r="I26" s="119"/>
      <c r="J26" s="119"/>
      <c r="K26" s="119"/>
      <c r="L26" s="119"/>
      <c r="M26" s="119"/>
      <c r="N26" s="119"/>
      <c r="O26" s="119"/>
      <c r="P26" s="119"/>
    </row>
    <row r="27">
      <c r="A27" s="114">
        <v>26.0</v>
      </c>
      <c r="B27" s="115"/>
      <c r="C27" s="116"/>
      <c r="D27" s="117"/>
      <c r="E27" s="117"/>
      <c r="F27" s="119"/>
      <c r="G27" s="114"/>
      <c r="H27" s="119"/>
      <c r="I27" s="119"/>
      <c r="J27" s="119"/>
      <c r="K27" s="119"/>
      <c r="L27" s="119"/>
      <c r="M27" s="119"/>
      <c r="N27" s="119"/>
      <c r="O27" s="119"/>
      <c r="P27" s="119"/>
    </row>
    <row r="28">
      <c r="A28" s="114">
        <v>27.0</v>
      </c>
      <c r="B28" s="115"/>
      <c r="C28" s="116"/>
      <c r="D28" s="117"/>
      <c r="E28" s="117"/>
      <c r="F28" s="119"/>
      <c r="G28" s="114"/>
      <c r="H28" s="119"/>
      <c r="I28" s="119"/>
      <c r="J28" s="119"/>
      <c r="K28" s="119"/>
      <c r="L28" s="119"/>
      <c r="M28" s="119"/>
      <c r="N28" s="119"/>
      <c r="O28" s="119"/>
      <c r="P28" s="119"/>
    </row>
    <row r="29">
      <c r="A29" s="114">
        <v>28.0</v>
      </c>
      <c r="B29" s="115"/>
      <c r="C29" s="116"/>
      <c r="D29" s="117"/>
      <c r="E29" s="117"/>
      <c r="F29" s="119"/>
      <c r="G29" s="114"/>
      <c r="H29" s="119"/>
      <c r="I29" s="119"/>
      <c r="J29" s="119"/>
      <c r="K29" s="119"/>
      <c r="L29" s="119"/>
      <c r="M29" s="119"/>
      <c r="N29" s="119"/>
      <c r="O29" s="119"/>
      <c r="P29" s="119"/>
    </row>
    <row r="30">
      <c r="A30" s="114">
        <v>29.0</v>
      </c>
      <c r="B30" s="115"/>
      <c r="C30" s="116"/>
      <c r="D30" s="117"/>
      <c r="E30" s="117"/>
      <c r="F30" s="119"/>
      <c r="G30" s="114"/>
      <c r="H30" s="119"/>
      <c r="I30" s="119"/>
      <c r="J30" s="119"/>
      <c r="K30" s="119"/>
      <c r="L30" s="119"/>
      <c r="M30" s="119"/>
      <c r="N30" s="119"/>
      <c r="O30" s="119"/>
      <c r="P30" s="119"/>
    </row>
    <row r="31">
      <c r="A31" s="114">
        <v>30.0</v>
      </c>
      <c r="B31" s="115"/>
      <c r="C31" s="116"/>
      <c r="D31" s="117"/>
      <c r="E31" s="117"/>
      <c r="F31" s="119"/>
      <c r="G31" s="114"/>
      <c r="H31" s="119"/>
      <c r="I31" s="119"/>
      <c r="J31" s="119"/>
      <c r="K31" s="119"/>
      <c r="L31" s="119"/>
      <c r="M31" s="119"/>
      <c r="N31" s="119"/>
      <c r="O31" s="119"/>
      <c r="P31" s="119"/>
    </row>
    <row r="32">
      <c r="A32" s="114">
        <v>31.0</v>
      </c>
      <c r="B32" s="115"/>
      <c r="C32" s="116"/>
      <c r="D32" s="117"/>
      <c r="E32" s="117"/>
      <c r="F32" s="119"/>
      <c r="G32" s="114"/>
      <c r="H32" s="119"/>
      <c r="I32" s="119"/>
      <c r="J32" s="119"/>
      <c r="K32" s="119"/>
      <c r="L32" s="119"/>
      <c r="M32" s="119"/>
      <c r="N32" s="119"/>
      <c r="O32" s="119"/>
      <c r="P32" s="119"/>
    </row>
    <row r="33">
      <c r="A33" s="114">
        <v>32.0</v>
      </c>
      <c r="B33" s="115"/>
      <c r="C33" s="116"/>
      <c r="D33" s="117"/>
      <c r="E33" s="117"/>
      <c r="F33" s="119"/>
      <c r="G33" s="114"/>
      <c r="H33" s="119"/>
      <c r="I33" s="119"/>
      <c r="J33" s="119"/>
      <c r="K33" s="119"/>
      <c r="L33" s="119"/>
      <c r="M33" s="119"/>
      <c r="N33" s="119"/>
      <c r="O33" s="119"/>
      <c r="P33" s="119"/>
    </row>
    <row r="34">
      <c r="A34" s="114">
        <v>33.0</v>
      </c>
      <c r="B34" s="115"/>
      <c r="C34" s="116"/>
      <c r="D34" s="117"/>
      <c r="E34" s="117"/>
      <c r="F34" s="119"/>
      <c r="G34" s="114"/>
      <c r="H34" s="119"/>
      <c r="I34" s="119"/>
      <c r="J34" s="119"/>
      <c r="K34" s="119"/>
      <c r="L34" s="119"/>
      <c r="M34" s="119"/>
      <c r="N34" s="119"/>
      <c r="O34" s="119"/>
      <c r="P34" s="119"/>
    </row>
    <row r="35">
      <c r="A35" s="114">
        <v>34.0</v>
      </c>
      <c r="B35" s="115"/>
      <c r="C35" s="116"/>
      <c r="D35" s="117"/>
      <c r="E35" s="117"/>
      <c r="F35" s="119"/>
      <c r="G35" s="114"/>
      <c r="H35" s="119"/>
      <c r="I35" s="119"/>
      <c r="J35" s="119"/>
      <c r="K35" s="119"/>
      <c r="L35" s="119"/>
      <c r="M35" s="119"/>
      <c r="N35" s="119"/>
      <c r="O35" s="119"/>
      <c r="P35" s="119"/>
    </row>
    <row r="36">
      <c r="A36" s="114">
        <v>35.0</v>
      </c>
      <c r="B36" s="115"/>
      <c r="C36" s="116"/>
      <c r="D36" s="117"/>
      <c r="E36" s="117"/>
      <c r="F36" s="119"/>
      <c r="G36" s="114"/>
      <c r="H36" s="119"/>
      <c r="I36" s="119"/>
      <c r="J36" s="119"/>
      <c r="K36" s="119"/>
      <c r="L36" s="119"/>
      <c r="M36" s="119"/>
      <c r="N36" s="119"/>
      <c r="O36" s="119"/>
      <c r="P36" s="119"/>
    </row>
    <row r="37">
      <c r="A37" s="114">
        <v>36.0</v>
      </c>
      <c r="B37" s="115"/>
      <c r="C37" s="116"/>
      <c r="D37" s="117"/>
      <c r="E37" s="117"/>
      <c r="F37" s="119"/>
      <c r="G37" s="114"/>
      <c r="H37" s="119"/>
      <c r="I37" s="119"/>
      <c r="J37" s="119"/>
      <c r="K37" s="119"/>
      <c r="L37" s="119"/>
      <c r="M37" s="119"/>
      <c r="N37" s="119"/>
      <c r="O37" s="119"/>
      <c r="P37" s="119"/>
    </row>
    <row r="38">
      <c r="A38" s="114">
        <v>37.0</v>
      </c>
      <c r="B38" s="115"/>
      <c r="C38" s="116"/>
      <c r="D38" s="117"/>
      <c r="E38" s="117"/>
      <c r="F38" s="119"/>
      <c r="G38" s="114"/>
      <c r="H38" s="119"/>
      <c r="I38" s="119"/>
      <c r="J38" s="119"/>
      <c r="K38" s="119"/>
      <c r="L38" s="119"/>
      <c r="M38" s="119"/>
      <c r="N38" s="119"/>
      <c r="O38" s="119"/>
      <c r="P38" s="119"/>
    </row>
    <row r="39">
      <c r="A39" s="114">
        <v>38.0</v>
      </c>
      <c r="B39" s="115"/>
      <c r="C39" s="116"/>
      <c r="D39" s="117"/>
      <c r="E39" s="117"/>
      <c r="F39" s="119"/>
      <c r="G39" s="114"/>
      <c r="H39" s="119"/>
      <c r="I39" s="119"/>
      <c r="J39" s="119"/>
      <c r="K39" s="119"/>
      <c r="L39" s="119"/>
      <c r="M39" s="119"/>
      <c r="N39" s="119"/>
      <c r="O39" s="119"/>
      <c r="P39" s="119"/>
    </row>
    <row r="40">
      <c r="A40" s="114">
        <v>39.0</v>
      </c>
      <c r="B40" s="115"/>
      <c r="C40" s="116"/>
      <c r="D40" s="117"/>
      <c r="E40" s="117"/>
      <c r="F40" s="119"/>
      <c r="G40" s="114"/>
      <c r="H40" s="119"/>
      <c r="I40" s="119"/>
      <c r="J40" s="119"/>
      <c r="K40" s="119"/>
      <c r="L40" s="119"/>
      <c r="M40" s="119"/>
      <c r="N40" s="119"/>
      <c r="O40" s="119"/>
      <c r="P40" s="119"/>
    </row>
    <row r="41">
      <c r="A41" s="114">
        <v>40.0</v>
      </c>
      <c r="B41" s="115"/>
      <c r="C41" s="116"/>
      <c r="D41" s="117"/>
      <c r="E41" s="117"/>
      <c r="F41" s="119"/>
      <c r="G41" s="114"/>
      <c r="H41" s="119"/>
      <c r="I41" s="119"/>
      <c r="J41" s="119"/>
      <c r="K41" s="119"/>
      <c r="L41" s="119"/>
      <c r="M41" s="119"/>
      <c r="N41" s="119"/>
      <c r="O41" s="119"/>
      <c r="P41" s="119"/>
    </row>
    <row r="42">
      <c r="A42" s="114">
        <v>41.0</v>
      </c>
      <c r="B42" s="115"/>
      <c r="C42" s="116"/>
      <c r="D42" s="117"/>
      <c r="E42" s="117"/>
      <c r="F42" s="119"/>
      <c r="G42" s="114"/>
      <c r="H42" s="119"/>
      <c r="I42" s="119"/>
      <c r="J42" s="119"/>
      <c r="K42" s="119"/>
      <c r="L42" s="119"/>
      <c r="M42" s="119"/>
      <c r="N42" s="119"/>
      <c r="O42" s="119"/>
      <c r="P42" s="119"/>
    </row>
    <row r="43">
      <c r="A43" s="114">
        <v>42.0</v>
      </c>
      <c r="B43" s="115"/>
      <c r="C43" s="116"/>
      <c r="D43" s="117"/>
      <c r="E43" s="117"/>
      <c r="F43" s="119"/>
      <c r="G43" s="114"/>
      <c r="H43" s="119"/>
      <c r="I43" s="119"/>
      <c r="J43" s="119"/>
      <c r="K43" s="119"/>
      <c r="L43" s="119"/>
      <c r="M43" s="119"/>
      <c r="N43" s="119"/>
      <c r="O43" s="119"/>
      <c r="P43" s="119"/>
    </row>
    <row r="44">
      <c r="A44" s="114">
        <v>43.0</v>
      </c>
      <c r="B44" s="115"/>
      <c r="C44" s="116"/>
      <c r="D44" s="117"/>
      <c r="E44" s="117"/>
      <c r="F44" s="119"/>
      <c r="G44" s="114"/>
      <c r="H44" s="119"/>
      <c r="I44" s="119"/>
      <c r="J44" s="119"/>
      <c r="K44" s="119"/>
      <c r="L44" s="119"/>
      <c r="M44" s="119"/>
      <c r="N44" s="119"/>
      <c r="O44" s="119"/>
      <c r="P44" s="119"/>
    </row>
    <row r="45">
      <c r="A45" s="114">
        <v>44.0</v>
      </c>
      <c r="B45" s="115"/>
      <c r="C45" s="116"/>
      <c r="D45" s="117"/>
      <c r="E45" s="117"/>
      <c r="F45" s="119"/>
      <c r="G45" s="114"/>
      <c r="H45" s="119"/>
      <c r="I45" s="119"/>
      <c r="J45" s="119"/>
      <c r="K45" s="119"/>
      <c r="L45" s="119"/>
      <c r="M45" s="119"/>
      <c r="N45" s="119"/>
      <c r="O45" s="119"/>
      <c r="P45" s="119"/>
    </row>
    <row r="46">
      <c r="A46" s="114">
        <v>45.0</v>
      </c>
      <c r="B46" s="115"/>
      <c r="C46" s="116"/>
      <c r="D46" s="117"/>
      <c r="E46" s="117"/>
      <c r="F46" s="119"/>
      <c r="G46" s="114"/>
      <c r="H46" s="119"/>
      <c r="I46" s="119"/>
      <c r="J46" s="119"/>
      <c r="K46" s="119"/>
      <c r="L46" s="119"/>
      <c r="M46" s="119"/>
      <c r="N46" s="119"/>
      <c r="O46" s="119"/>
      <c r="P46" s="119"/>
    </row>
    <row r="47">
      <c r="A47" s="114">
        <v>46.0</v>
      </c>
      <c r="B47" s="115"/>
      <c r="C47" s="116"/>
      <c r="D47" s="117"/>
      <c r="E47" s="117"/>
      <c r="F47" s="119"/>
      <c r="G47" s="114"/>
      <c r="H47" s="119"/>
      <c r="I47" s="119"/>
      <c r="J47" s="119"/>
      <c r="K47" s="119"/>
      <c r="L47" s="119"/>
      <c r="M47" s="119"/>
      <c r="N47" s="119"/>
      <c r="O47" s="119"/>
      <c r="P47" s="119"/>
    </row>
    <row r="48">
      <c r="A48" s="114">
        <v>47.0</v>
      </c>
      <c r="B48" s="115"/>
      <c r="C48" s="116"/>
      <c r="D48" s="117"/>
      <c r="E48" s="117"/>
      <c r="F48" s="119"/>
      <c r="G48" s="114"/>
      <c r="H48" s="119"/>
      <c r="I48" s="119"/>
      <c r="J48" s="119"/>
      <c r="K48" s="119"/>
      <c r="L48" s="119"/>
      <c r="M48" s="119"/>
      <c r="N48" s="119"/>
      <c r="O48" s="119"/>
      <c r="P48" s="119"/>
    </row>
    <row r="49">
      <c r="A49" s="114">
        <v>48.0</v>
      </c>
      <c r="B49" s="115"/>
      <c r="C49" s="116"/>
      <c r="D49" s="117"/>
      <c r="E49" s="117"/>
      <c r="F49" s="119"/>
      <c r="G49" s="114"/>
      <c r="H49" s="119"/>
      <c r="I49" s="119"/>
      <c r="J49" s="119"/>
      <c r="K49" s="119"/>
      <c r="L49" s="119"/>
      <c r="M49" s="119"/>
      <c r="N49" s="119"/>
      <c r="O49" s="119"/>
      <c r="P49" s="119"/>
    </row>
    <row r="50">
      <c r="A50" s="114">
        <v>49.0</v>
      </c>
      <c r="B50" s="115"/>
      <c r="C50" s="116"/>
      <c r="D50" s="117"/>
      <c r="E50" s="117"/>
      <c r="F50" s="119"/>
      <c r="G50" s="114"/>
      <c r="H50" s="119"/>
      <c r="I50" s="119"/>
      <c r="J50" s="119"/>
      <c r="K50" s="119"/>
      <c r="L50" s="119"/>
      <c r="M50" s="119"/>
      <c r="N50" s="119"/>
      <c r="O50" s="119"/>
      <c r="P50" s="119"/>
    </row>
    <row r="51">
      <c r="A51" s="114">
        <v>50.0</v>
      </c>
      <c r="B51" s="115"/>
      <c r="C51" s="116"/>
      <c r="D51" s="117"/>
      <c r="E51" s="117"/>
      <c r="F51" s="119"/>
      <c r="G51" s="114"/>
      <c r="H51" s="119"/>
      <c r="I51" s="119"/>
      <c r="J51" s="119"/>
      <c r="K51" s="119"/>
      <c r="L51" s="119"/>
      <c r="M51" s="119"/>
      <c r="N51" s="119"/>
      <c r="O51" s="119"/>
      <c r="P51" s="119"/>
    </row>
    <row r="52">
      <c r="A52" s="114">
        <v>51.0</v>
      </c>
      <c r="B52" s="115"/>
      <c r="C52" s="116"/>
      <c r="D52" s="117"/>
      <c r="E52" s="117"/>
      <c r="F52" s="119"/>
      <c r="G52" s="114"/>
      <c r="H52" s="119"/>
      <c r="I52" s="119"/>
      <c r="J52" s="119"/>
      <c r="K52" s="119"/>
      <c r="L52" s="119"/>
      <c r="M52" s="119"/>
      <c r="N52" s="119"/>
      <c r="O52" s="119"/>
      <c r="P52" s="119"/>
    </row>
    <row r="53">
      <c r="A53" s="114">
        <v>52.0</v>
      </c>
      <c r="B53" s="115"/>
      <c r="C53" s="116"/>
      <c r="D53" s="117"/>
      <c r="E53" s="117"/>
      <c r="F53" s="119"/>
      <c r="G53" s="114"/>
      <c r="H53" s="119"/>
      <c r="I53" s="119"/>
      <c r="J53" s="119"/>
      <c r="K53" s="119"/>
      <c r="L53" s="119"/>
      <c r="M53" s="119"/>
      <c r="N53" s="119"/>
      <c r="O53" s="119"/>
      <c r="P53" s="119"/>
    </row>
    <row r="54">
      <c r="A54" s="114">
        <v>53.0</v>
      </c>
      <c r="B54" s="115"/>
      <c r="C54" s="116"/>
      <c r="D54" s="117"/>
      <c r="E54" s="117"/>
      <c r="F54" s="119"/>
      <c r="G54" s="114"/>
      <c r="H54" s="119"/>
      <c r="I54" s="119"/>
      <c r="J54" s="119"/>
      <c r="K54" s="119"/>
      <c r="L54" s="119"/>
      <c r="M54" s="119"/>
      <c r="N54" s="119"/>
      <c r="O54" s="119"/>
      <c r="P54" s="119"/>
    </row>
    <row r="55">
      <c r="A55" s="114">
        <v>54.0</v>
      </c>
      <c r="B55" s="115"/>
      <c r="C55" s="116"/>
      <c r="D55" s="117"/>
      <c r="E55" s="117"/>
      <c r="F55" s="119"/>
      <c r="G55" s="114"/>
      <c r="H55" s="119"/>
      <c r="I55" s="119"/>
      <c r="J55" s="119"/>
      <c r="K55" s="119"/>
      <c r="L55" s="119"/>
      <c r="M55" s="119"/>
      <c r="N55" s="119"/>
      <c r="O55" s="119"/>
      <c r="P55" s="119"/>
    </row>
    <row r="56">
      <c r="A56" s="114">
        <v>55.0</v>
      </c>
      <c r="B56" s="115"/>
      <c r="C56" s="116"/>
      <c r="D56" s="117"/>
      <c r="E56" s="117"/>
      <c r="F56" s="119"/>
      <c r="G56" s="114"/>
      <c r="H56" s="119"/>
      <c r="I56" s="119"/>
      <c r="J56" s="119"/>
      <c r="K56" s="119"/>
      <c r="L56" s="119"/>
      <c r="M56" s="119"/>
      <c r="N56" s="119"/>
      <c r="O56" s="119"/>
      <c r="P56" s="119"/>
    </row>
    <row r="57">
      <c r="A57" s="114">
        <v>56.0</v>
      </c>
      <c r="B57" s="115"/>
      <c r="C57" s="116"/>
      <c r="D57" s="117"/>
      <c r="E57" s="117"/>
      <c r="F57" s="119"/>
      <c r="G57" s="114"/>
      <c r="H57" s="119"/>
      <c r="I57" s="119"/>
      <c r="J57" s="119"/>
      <c r="K57" s="119"/>
      <c r="L57" s="119"/>
      <c r="M57" s="119"/>
      <c r="N57" s="119"/>
      <c r="O57" s="119"/>
      <c r="P57" s="119"/>
    </row>
    <row r="58">
      <c r="A58" s="114">
        <v>57.0</v>
      </c>
      <c r="B58" s="115"/>
      <c r="C58" s="116"/>
      <c r="D58" s="117"/>
      <c r="E58" s="117"/>
      <c r="F58" s="119"/>
      <c r="G58" s="114"/>
      <c r="H58" s="119"/>
      <c r="I58" s="119"/>
      <c r="J58" s="119"/>
      <c r="K58" s="119"/>
      <c r="L58" s="119"/>
      <c r="M58" s="119"/>
      <c r="N58" s="119"/>
      <c r="O58" s="119"/>
      <c r="P58" s="119"/>
    </row>
    <row r="59">
      <c r="A59" s="114">
        <v>58.0</v>
      </c>
      <c r="B59" s="115"/>
      <c r="C59" s="116"/>
      <c r="D59" s="117"/>
      <c r="E59" s="117"/>
      <c r="F59" s="119"/>
      <c r="G59" s="114"/>
      <c r="H59" s="119"/>
      <c r="I59" s="119"/>
      <c r="J59" s="119"/>
      <c r="K59" s="119"/>
      <c r="L59" s="119"/>
      <c r="M59" s="119"/>
      <c r="N59" s="119"/>
      <c r="O59" s="119"/>
      <c r="P59" s="119"/>
    </row>
    <row r="60">
      <c r="A60" s="114">
        <v>59.0</v>
      </c>
      <c r="B60" s="115"/>
      <c r="C60" s="116"/>
      <c r="D60" s="117"/>
      <c r="E60" s="117"/>
      <c r="F60" s="119"/>
      <c r="G60" s="114"/>
      <c r="H60" s="119"/>
      <c r="I60" s="119"/>
      <c r="J60" s="119"/>
      <c r="K60" s="119"/>
      <c r="L60" s="119"/>
      <c r="M60" s="119"/>
      <c r="N60" s="119"/>
      <c r="O60" s="119"/>
      <c r="P60" s="119"/>
    </row>
    <row r="61">
      <c r="A61" s="114">
        <v>60.0</v>
      </c>
      <c r="B61" s="115"/>
      <c r="C61" s="116"/>
      <c r="D61" s="117"/>
      <c r="E61" s="117"/>
      <c r="F61" s="119"/>
      <c r="G61" s="114"/>
      <c r="H61" s="119"/>
      <c r="I61" s="119"/>
      <c r="J61" s="119"/>
      <c r="K61" s="119"/>
      <c r="L61" s="119"/>
      <c r="M61" s="119"/>
      <c r="N61" s="119"/>
      <c r="O61" s="119"/>
      <c r="P61" s="119"/>
    </row>
    <row r="62">
      <c r="A62" s="114">
        <v>61.0</v>
      </c>
      <c r="B62" s="115"/>
      <c r="C62" s="116"/>
      <c r="D62" s="117"/>
      <c r="E62" s="117"/>
      <c r="F62" s="119"/>
      <c r="G62" s="114"/>
      <c r="H62" s="119"/>
      <c r="I62" s="119"/>
      <c r="J62" s="119"/>
      <c r="K62" s="119"/>
      <c r="L62" s="119"/>
      <c r="M62" s="119"/>
      <c r="N62" s="119"/>
      <c r="O62" s="119"/>
      <c r="P62" s="119"/>
    </row>
    <row r="63">
      <c r="A63" s="114">
        <v>62.0</v>
      </c>
      <c r="B63" s="115"/>
      <c r="C63" s="116"/>
      <c r="D63" s="117"/>
      <c r="E63" s="117"/>
      <c r="F63" s="119"/>
      <c r="G63" s="114"/>
      <c r="H63" s="119"/>
      <c r="I63" s="119"/>
      <c r="J63" s="119"/>
      <c r="K63" s="119"/>
      <c r="L63" s="119"/>
      <c r="M63" s="119"/>
      <c r="N63" s="119"/>
      <c r="O63" s="119"/>
      <c r="P63" s="119"/>
    </row>
    <row r="64">
      <c r="A64" s="114">
        <v>63.0</v>
      </c>
      <c r="B64" s="115"/>
      <c r="C64" s="116"/>
      <c r="D64" s="117"/>
      <c r="E64" s="117"/>
      <c r="F64" s="119"/>
      <c r="G64" s="114"/>
      <c r="H64" s="119"/>
      <c r="I64" s="119"/>
      <c r="J64" s="119"/>
      <c r="K64" s="119"/>
      <c r="L64" s="119"/>
      <c r="M64" s="119"/>
      <c r="N64" s="119"/>
      <c r="O64" s="119"/>
      <c r="P64" s="119"/>
    </row>
    <row r="65">
      <c r="A65" s="114">
        <v>64.0</v>
      </c>
      <c r="B65" s="115"/>
      <c r="C65" s="116"/>
      <c r="D65" s="117"/>
      <c r="E65" s="117"/>
      <c r="F65" s="119"/>
      <c r="G65" s="114"/>
      <c r="H65" s="119"/>
      <c r="I65" s="119"/>
      <c r="J65" s="119"/>
      <c r="K65" s="119"/>
      <c r="L65" s="119"/>
      <c r="M65" s="119"/>
      <c r="N65" s="119"/>
      <c r="O65" s="119"/>
      <c r="P65" s="119"/>
    </row>
    <row r="66">
      <c r="A66" s="114">
        <v>65.0</v>
      </c>
      <c r="B66" s="115"/>
      <c r="C66" s="116"/>
      <c r="D66" s="117"/>
      <c r="E66" s="117"/>
      <c r="F66" s="119"/>
      <c r="G66" s="114"/>
      <c r="H66" s="119"/>
      <c r="I66" s="119"/>
      <c r="J66" s="119"/>
      <c r="K66" s="119"/>
      <c r="L66" s="119"/>
      <c r="M66" s="119"/>
      <c r="N66" s="119"/>
      <c r="O66" s="119"/>
      <c r="P66" s="119"/>
    </row>
    <row r="67">
      <c r="A67" s="114">
        <v>66.0</v>
      </c>
      <c r="B67" s="115"/>
      <c r="C67" s="116"/>
      <c r="D67" s="117"/>
      <c r="E67" s="117"/>
      <c r="F67" s="119"/>
      <c r="G67" s="114"/>
      <c r="H67" s="119"/>
      <c r="I67" s="119"/>
      <c r="J67" s="119"/>
      <c r="K67" s="119"/>
      <c r="L67" s="119"/>
      <c r="M67" s="119"/>
      <c r="N67" s="119"/>
      <c r="O67" s="119"/>
      <c r="P67" s="119"/>
    </row>
    <row r="68">
      <c r="A68" s="114">
        <v>67.0</v>
      </c>
      <c r="B68" s="115"/>
      <c r="C68" s="116"/>
      <c r="D68" s="117"/>
      <c r="E68" s="117"/>
      <c r="F68" s="119"/>
      <c r="G68" s="114"/>
      <c r="H68" s="119"/>
      <c r="I68" s="119"/>
      <c r="J68" s="119"/>
      <c r="K68" s="119"/>
      <c r="L68" s="119"/>
      <c r="M68" s="119"/>
      <c r="N68" s="119"/>
      <c r="O68" s="119"/>
      <c r="P68" s="119"/>
    </row>
    <row r="69">
      <c r="A69" s="114">
        <v>68.0</v>
      </c>
      <c r="B69" s="115"/>
      <c r="C69" s="116"/>
      <c r="D69" s="117"/>
      <c r="E69" s="117"/>
      <c r="F69" s="119"/>
      <c r="G69" s="114"/>
      <c r="H69" s="119"/>
      <c r="I69" s="119"/>
      <c r="J69" s="119"/>
      <c r="K69" s="119"/>
      <c r="L69" s="119"/>
      <c r="M69" s="119"/>
      <c r="N69" s="119"/>
      <c r="O69" s="119"/>
      <c r="P69" s="119"/>
    </row>
    <row r="70">
      <c r="A70" s="114">
        <v>69.0</v>
      </c>
      <c r="B70" s="115"/>
      <c r="C70" s="116"/>
      <c r="D70" s="117"/>
      <c r="E70" s="117"/>
      <c r="F70" s="119"/>
      <c r="G70" s="114"/>
      <c r="H70" s="119"/>
      <c r="I70" s="119"/>
      <c r="J70" s="119"/>
      <c r="K70" s="119"/>
      <c r="L70" s="119"/>
      <c r="M70" s="119"/>
      <c r="N70" s="119"/>
      <c r="O70" s="119"/>
      <c r="P70" s="119"/>
    </row>
    <row r="71">
      <c r="A71" s="114">
        <v>70.0</v>
      </c>
      <c r="B71" s="115"/>
      <c r="C71" s="116"/>
      <c r="D71" s="117"/>
      <c r="E71" s="117"/>
      <c r="F71" s="119"/>
      <c r="G71" s="114"/>
      <c r="H71" s="119"/>
      <c r="I71" s="119"/>
      <c r="J71" s="119"/>
      <c r="K71" s="119"/>
      <c r="L71" s="119"/>
      <c r="M71" s="119"/>
      <c r="N71" s="119"/>
      <c r="O71" s="119"/>
      <c r="P71" s="119"/>
    </row>
    <row r="72">
      <c r="A72" s="114">
        <v>71.0</v>
      </c>
      <c r="B72" s="115"/>
      <c r="C72" s="116"/>
      <c r="D72" s="117"/>
      <c r="E72" s="117"/>
      <c r="F72" s="119"/>
      <c r="G72" s="114"/>
      <c r="H72" s="119"/>
      <c r="I72" s="119"/>
      <c r="J72" s="119"/>
      <c r="K72" s="119"/>
      <c r="L72" s="119"/>
      <c r="M72" s="119"/>
      <c r="N72" s="119"/>
      <c r="O72" s="119"/>
      <c r="P72" s="119"/>
    </row>
    <row r="73">
      <c r="A73" s="114">
        <v>72.0</v>
      </c>
      <c r="B73" s="115"/>
      <c r="C73" s="116"/>
      <c r="D73" s="117"/>
      <c r="E73" s="117"/>
      <c r="F73" s="119"/>
      <c r="G73" s="114"/>
      <c r="H73" s="119"/>
      <c r="I73" s="119"/>
      <c r="J73" s="119"/>
      <c r="K73" s="119"/>
      <c r="L73" s="119"/>
      <c r="M73" s="119"/>
      <c r="N73" s="119"/>
      <c r="O73" s="119"/>
      <c r="P73" s="119"/>
    </row>
    <row r="74">
      <c r="A74" s="114">
        <v>73.0</v>
      </c>
      <c r="B74" s="115"/>
      <c r="C74" s="116"/>
      <c r="D74" s="117"/>
      <c r="E74" s="117"/>
      <c r="F74" s="119"/>
      <c r="G74" s="114"/>
      <c r="H74" s="119"/>
      <c r="I74" s="119"/>
      <c r="J74" s="119"/>
      <c r="K74" s="119"/>
      <c r="L74" s="119"/>
      <c r="M74" s="119"/>
      <c r="N74" s="119"/>
      <c r="O74" s="119"/>
      <c r="P74" s="119"/>
    </row>
    <row r="75">
      <c r="A75" s="114">
        <v>74.0</v>
      </c>
      <c r="B75" s="115"/>
      <c r="C75" s="116"/>
      <c r="D75" s="117"/>
      <c r="E75" s="117"/>
      <c r="F75" s="119"/>
      <c r="G75" s="114"/>
      <c r="H75" s="119"/>
      <c r="I75" s="119"/>
      <c r="J75" s="119"/>
      <c r="K75" s="119"/>
      <c r="L75" s="119"/>
      <c r="M75" s="119"/>
      <c r="N75" s="119"/>
      <c r="O75" s="119"/>
      <c r="P75" s="119"/>
    </row>
    <row r="76">
      <c r="A76" s="114">
        <v>75.0</v>
      </c>
      <c r="B76" s="115"/>
      <c r="C76" s="116"/>
      <c r="D76" s="117"/>
      <c r="E76" s="117"/>
      <c r="F76" s="119"/>
      <c r="G76" s="114"/>
      <c r="H76" s="119"/>
      <c r="I76" s="119"/>
      <c r="J76" s="119"/>
      <c r="K76" s="119"/>
      <c r="L76" s="119"/>
      <c r="M76" s="119"/>
      <c r="N76" s="119"/>
      <c r="O76" s="119"/>
      <c r="P76" s="119"/>
    </row>
    <row r="77">
      <c r="A77" s="114">
        <v>76.0</v>
      </c>
      <c r="B77" s="115"/>
      <c r="C77" s="116"/>
      <c r="D77" s="117"/>
      <c r="E77" s="117"/>
      <c r="F77" s="119"/>
      <c r="G77" s="114"/>
      <c r="H77" s="119"/>
      <c r="I77" s="119"/>
      <c r="J77" s="119"/>
      <c r="K77" s="119"/>
      <c r="L77" s="119"/>
      <c r="M77" s="119"/>
      <c r="N77" s="119"/>
      <c r="O77" s="119"/>
      <c r="P77" s="119"/>
    </row>
    <row r="78">
      <c r="A78" s="114">
        <v>77.0</v>
      </c>
      <c r="B78" s="115"/>
      <c r="C78" s="116"/>
      <c r="D78" s="117"/>
      <c r="E78" s="117"/>
      <c r="F78" s="119"/>
      <c r="G78" s="114"/>
      <c r="H78" s="119"/>
      <c r="I78" s="119"/>
      <c r="J78" s="119"/>
      <c r="K78" s="119"/>
      <c r="L78" s="119"/>
      <c r="M78" s="119"/>
      <c r="N78" s="119"/>
      <c r="O78" s="119"/>
      <c r="P78" s="119"/>
    </row>
    <row r="79">
      <c r="A79" s="114">
        <v>78.0</v>
      </c>
      <c r="B79" s="115"/>
      <c r="C79" s="116"/>
      <c r="D79" s="117"/>
      <c r="E79" s="117"/>
      <c r="F79" s="119"/>
      <c r="G79" s="114"/>
      <c r="H79" s="119"/>
      <c r="I79" s="119"/>
      <c r="J79" s="119"/>
      <c r="K79" s="119"/>
      <c r="L79" s="119"/>
      <c r="M79" s="119"/>
      <c r="N79" s="119"/>
      <c r="O79" s="119"/>
      <c r="P79" s="119"/>
    </row>
    <row r="80">
      <c r="A80" s="114">
        <v>79.0</v>
      </c>
      <c r="B80" s="115"/>
      <c r="C80" s="116"/>
      <c r="D80" s="117"/>
      <c r="E80" s="117"/>
      <c r="F80" s="119"/>
      <c r="G80" s="114"/>
      <c r="H80" s="119"/>
      <c r="I80" s="119"/>
      <c r="J80" s="119"/>
      <c r="K80" s="119"/>
      <c r="L80" s="119"/>
      <c r="M80" s="119"/>
      <c r="N80" s="119"/>
      <c r="O80" s="119"/>
      <c r="P80" s="119"/>
    </row>
    <row r="81">
      <c r="A81" s="114">
        <v>80.0</v>
      </c>
      <c r="B81" s="115"/>
      <c r="C81" s="116"/>
      <c r="D81" s="117"/>
      <c r="E81" s="117"/>
      <c r="F81" s="119"/>
      <c r="G81" s="114"/>
      <c r="H81" s="119"/>
      <c r="I81" s="119"/>
      <c r="J81" s="119"/>
      <c r="K81" s="119"/>
      <c r="L81" s="119"/>
      <c r="M81" s="119"/>
      <c r="N81" s="119"/>
      <c r="O81" s="119"/>
      <c r="P81" s="119"/>
    </row>
    <row r="82">
      <c r="A82" s="114">
        <v>81.0</v>
      </c>
      <c r="B82" s="115"/>
      <c r="C82" s="116"/>
      <c r="D82" s="117"/>
      <c r="E82" s="117"/>
      <c r="F82" s="119"/>
      <c r="G82" s="114"/>
      <c r="H82" s="119"/>
      <c r="I82" s="119"/>
      <c r="J82" s="119"/>
      <c r="K82" s="119"/>
      <c r="L82" s="119"/>
      <c r="M82" s="119"/>
      <c r="N82" s="119"/>
      <c r="O82" s="119"/>
      <c r="P82" s="119"/>
    </row>
    <row r="83">
      <c r="A83" s="114">
        <v>82.0</v>
      </c>
      <c r="B83" s="115"/>
      <c r="C83" s="116"/>
      <c r="D83" s="117"/>
      <c r="E83" s="117"/>
      <c r="F83" s="119"/>
      <c r="G83" s="114"/>
      <c r="H83" s="119"/>
      <c r="I83" s="119"/>
      <c r="J83" s="119"/>
      <c r="K83" s="119"/>
      <c r="L83" s="119"/>
      <c r="M83" s="119"/>
      <c r="N83" s="119"/>
      <c r="O83" s="119"/>
      <c r="P83" s="119"/>
    </row>
    <row r="84">
      <c r="A84" s="114">
        <v>83.0</v>
      </c>
      <c r="B84" s="115"/>
      <c r="C84" s="116"/>
      <c r="D84" s="117"/>
      <c r="E84" s="117"/>
      <c r="F84" s="119"/>
      <c r="G84" s="114"/>
      <c r="H84" s="119"/>
      <c r="I84" s="119"/>
      <c r="J84" s="119"/>
      <c r="K84" s="119"/>
      <c r="L84" s="119"/>
      <c r="M84" s="119"/>
      <c r="N84" s="119"/>
      <c r="O84" s="119"/>
      <c r="P84" s="119"/>
    </row>
    <row r="85">
      <c r="A85" s="114">
        <v>84.0</v>
      </c>
      <c r="B85" s="115"/>
      <c r="C85" s="116"/>
      <c r="D85" s="117"/>
      <c r="E85" s="117"/>
      <c r="F85" s="119"/>
      <c r="G85" s="114"/>
      <c r="H85" s="119"/>
      <c r="I85" s="119"/>
      <c r="J85" s="119"/>
      <c r="K85" s="119"/>
      <c r="L85" s="119"/>
      <c r="M85" s="119"/>
      <c r="N85" s="119"/>
      <c r="O85" s="119"/>
      <c r="P85" s="119"/>
    </row>
    <row r="86">
      <c r="A86" s="114">
        <v>85.0</v>
      </c>
      <c r="B86" s="115"/>
      <c r="C86" s="116"/>
      <c r="D86" s="117"/>
      <c r="E86" s="117"/>
      <c r="F86" s="119"/>
      <c r="G86" s="114"/>
      <c r="H86" s="119"/>
      <c r="I86" s="119"/>
      <c r="J86" s="119"/>
      <c r="K86" s="119"/>
      <c r="L86" s="119"/>
      <c r="M86" s="119"/>
      <c r="N86" s="119"/>
      <c r="O86" s="119"/>
      <c r="P86" s="119"/>
    </row>
    <row r="87">
      <c r="A87" s="114">
        <v>86.0</v>
      </c>
      <c r="B87" s="115"/>
      <c r="C87" s="116"/>
      <c r="D87" s="117"/>
      <c r="E87" s="117"/>
      <c r="F87" s="119"/>
      <c r="G87" s="114"/>
      <c r="H87" s="119"/>
      <c r="I87" s="119"/>
      <c r="J87" s="119"/>
      <c r="K87" s="119"/>
      <c r="L87" s="119"/>
      <c r="M87" s="119"/>
      <c r="N87" s="119"/>
      <c r="O87" s="119"/>
      <c r="P87" s="119"/>
    </row>
    <row r="88">
      <c r="A88" s="114">
        <v>87.0</v>
      </c>
      <c r="B88" s="115"/>
      <c r="C88" s="116"/>
      <c r="D88" s="117"/>
      <c r="E88" s="117"/>
      <c r="F88" s="119"/>
      <c r="G88" s="114"/>
      <c r="H88" s="119"/>
      <c r="I88" s="119"/>
      <c r="J88" s="119"/>
      <c r="K88" s="119"/>
      <c r="L88" s="119"/>
      <c r="M88" s="119"/>
      <c r="N88" s="119"/>
      <c r="O88" s="119"/>
      <c r="P88" s="119"/>
    </row>
    <row r="89">
      <c r="A89" s="114">
        <v>88.0</v>
      </c>
      <c r="B89" s="115"/>
      <c r="C89" s="116"/>
      <c r="D89" s="117"/>
      <c r="E89" s="117"/>
      <c r="F89" s="119"/>
      <c r="G89" s="114"/>
      <c r="H89" s="119"/>
      <c r="I89" s="119"/>
      <c r="J89" s="119"/>
      <c r="K89" s="119"/>
      <c r="L89" s="119"/>
      <c r="M89" s="119"/>
      <c r="N89" s="119"/>
      <c r="O89" s="119"/>
      <c r="P89" s="119"/>
    </row>
    <row r="90">
      <c r="A90" s="114">
        <v>89.0</v>
      </c>
      <c r="B90" s="115"/>
      <c r="C90" s="116"/>
      <c r="D90" s="117"/>
      <c r="E90" s="117"/>
      <c r="F90" s="119"/>
      <c r="G90" s="114"/>
      <c r="H90" s="119"/>
      <c r="I90" s="119"/>
      <c r="J90" s="119"/>
      <c r="K90" s="119"/>
      <c r="L90" s="119"/>
      <c r="M90" s="119"/>
      <c r="N90" s="119"/>
      <c r="O90" s="119"/>
      <c r="P90" s="119"/>
    </row>
    <row r="91">
      <c r="A91" s="114">
        <v>90.0</v>
      </c>
      <c r="B91" s="115"/>
      <c r="C91" s="116"/>
      <c r="D91" s="117"/>
      <c r="E91" s="117"/>
      <c r="F91" s="119"/>
      <c r="G91" s="114"/>
      <c r="H91" s="119"/>
      <c r="I91" s="119"/>
      <c r="J91" s="119"/>
      <c r="K91" s="119"/>
      <c r="L91" s="119"/>
      <c r="M91" s="119"/>
      <c r="N91" s="119"/>
      <c r="O91" s="119"/>
      <c r="P91" s="119"/>
    </row>
    <row r="92">
      <c r="A92" s="114">
        <v>91.0</v>
      </c>
      <c r="B92" s="115"/>
      <c r="C92" s="116"/>
      <c r="D92" s="117"/>
      <c r="E92" s="117"/>
      <c r="F92" s="119"/>
      <c r="G92" s="114"/>
      <c r="H92" s="119"/>
      <c r="I92" s="119"/>
      <c r="J92" s="119"/>
      <c r="K92" s="119"/>
      <c r="L92" s="119"/>
      <c r="M92" s="119"/>
      <c r="N92" s="119"/>
      <c r="O92" s="119"/>
      <c r="P92" s="119"/>
    </row>
    <row r="93">
      <c r="A93" s="114">
        <v>92.0</v>
      </c>
      <c r="B93" s="115"/>
      <c r="C93" s="116"/>
      <c r="D93" s="117"/>
      <c r="E93" s="117"/>
      <c r="F93" s="119"/>
      <c r="G93" s="114"/>
      <c r="H93" s="119"/>
      <c r="I93" s="119"/>
      <c r="J93" s="119"/>
      <c r="K93" s="119"/>
      <c r="L93" s="119"/>
      <c r="M93" s="119"/>
      <c r="N93" s="119"/>
      <c r="O93" s="119"/>
      <c r="P93" s="119"/>
    </row>
    <row r="94">
      <c r="A94" s="114">
        <v>93.0</v>
      </c>
      <c r="B94" s="115"/>
      <c r="C94" s="116"/>
      <c r="D94" s="117"/>
      <c r="E94" s="117"/>
      <c r="F94" s="119"/>
      <c r="G94" s="114"/>
      <c r="H94" s="119"/>
      <c r="I94" s="119"/>
      <c r="J94" s="119"/>
      <c r="K94" s="119"/>
      <c r="L94" s="119"/>
      <c r="M94" s="119"/>
      <c r="N94" s="119"/>
      <c r="O94" s="119"/>
      <c r="P94" s="119"/>
    </row>
    <row r="95">
      <c r="A95" s="114">
        <v>94.0</v>
      </c>
      <c r="B95" s="115"/>
      <c r="C95" s="116"/>
      <c r="D95" s="117"/>
      <c r="E95" s="117"/>
      <c r="F95" s="119"/>
      <c r="G95" s="114"/>
      <c r="H95" s="119"/>
      <c r="I95" s="119"/>
      <c r="J95" s="119"/>
      <c r="K95" s="119"/>
      <c r="L95" s="119"/>
      <c r="M95" s="119"/>
      <c r="N95" s="119"/>
      <c r="O95" s="119"/>
      <c r="P95" s="119"/>
    </row>
    <row r="96">
      <c r="A96" s="114">
        <v>95.0</v>
      </c>
      <c r="B96" s="115"/>
      <c r="C96" s="116"/>
      <c r="D96" s="117"/>
      <c r="E96" s="117"/>
      <c r="F96" s="119"/>
      <c r="G96" s="114"/>
      <c r="H96" s="119"/>
      <c r="I96" s="119"/>
      <c r="J96" s="119"/>
      <c r="K96" s="119"/>
      <c r="L96" s="119"/>
      <c r="M96" s="119"/>
      <c r="N96" s="119"/>
      <c r="O96" s="119"/>
      <c r="P96" s="119"/>
    </row>
    <row r="97">
      <c r="A97" s="114">
        <v>96.0</v>
      </c>
      <c r="B97" s="115"/>
      <c r="C97" s="116"/>
      <c r="D97" s="117"/>
      <c r="E97" s="117"/>
      <c r="F97" s="119"/>
      <c r="G97" s="114"/>
      <c r="H97" s="119"/>
      <c r="I97" s="119"/>
      <c r="J97" s="119"/>
      <c r="K97" s="119"/>
      <c r="L97" s="119"/>
      <c r="M97" s="119"/>
      <c r="N97" s="119"/>
      <c r="O97" s="119"/>
      <c r="P97" s="119"/>
    </row>
    <row r="98">
      <c r="A98" s="114">
        <v>97.0</v>
      </c>
      <c r="B98" s="115"/>
      <c r="C98" s="116"/>
      <c r="D98" s="117"/>
      <c r="E98" s="117"/>
      <c r="F98" s="119"/>
      <c r="G98" s="114"/>
      <c r="H98" s="119"/>
      <c r="I98" s="119"/>
      <c r="J98" s="119"/>
      <c r="K98" s="119"/>
      <c r="L98" s="119"/>
      <c r="M98" s="119"/>
      <c r="N98" s="119"/>
      <c r="O98" s="119"/>
      <c r="P98" s="119"/>
    </row>
    <row r="99">
      <c r="A99" s="114">
        <v>98.0</v>
      </c>
      <c r="B99" s="115"/>
      <c r="C99" s="116"/>
      <c r="D99" s="117"/>
      <c r="E99" s="117"/>
      <c r="F99" s="119"/>
      <c r="G99" s="114"/>
      <c r="H99" s="119"/>
      <c r="I99" s="119"/>
      <c r="J99" s="119"/>
      <c r="K99" s="119"/>
      <c r="L99" s="119"/>
      <c r="M99" s="119"/>
      <c r="N99" s="119"/>
      <c r="O99" s="119"/>
      <c r="P99" s="119"/>
    </row>
    <row r="100">
      <c r="A100" s="114">
        <v>99.0</v>
      </c>
      <c r="B100" s="115"/>
      <c r="C100" s="116"/>
      <c r="D100" s="117"/>
      <c r="E100" s="117"/>
      <c r="F100" s="119"/>
      <c r="G100" s="114"/>
      <c r="H100" s="119"/>
      <c r="I100" s="119"/>
      <c r="J100" s="119"/>
      <c r="K100" s="119"/>
      <c r="L100" s="119"/>
      <c r="M100" s="119"/>
      <c r="N100" s="119"/>
      <c r="O100" s="119"/>
      <c r="P100" s="119"/>
    </row>
    <row r="101">
      <c r="A101" s="114">
        <v>100.0</v>
      </c>
      <c r="B101" s="115"/>
      <c r="C101" s="116"/>
      <c r="D101" s="117"/>
      <c r="E101" s="117"/>
      <c r="F101" s="119"/>
      <c r="G101" s="114"/>
      <c r="H101" s="119"/>
      <c r="I101" s="119"/>
      <c r="J101" s="119"/>
      <c r="K101" s="119"/>
      <c r="L101" s="119"/>
      <c r="M101" s="119"/>
      <c r="N101" s="119"/>
      <c r="O101" s="119"/>
      <c r="P101" s="119"/>
    </row>
    <row r="102">
      <c r="A102" s="114">
        <v>101.0</v>
      </c>
      <c r="B102" s="115"/>
      <c r="C102" s="116"/>
      <c r="D102" s="117"/>
      <c r="E102" s="117"/>
      <c r="F102" s="119"/>
      <c r="G102" s="114"/>
      <c r="H102" s="119"/>
      <c r="I102" s="119"/>
      <c r="J102" s="119"/>
      <c r="K102" s="119"/>
      <c r="L102" s="119"/>
      <c r="M102" s="119"/>
      <c r="N102" s="119"/>
      <c r="O102" s="119"/>
      <c r="P102" s="119"/>
    </row>
    <row r="103">
      <c r="A103" s="114">
        <v>102.0</v>
      </c>
      <c r="B103" s="115"/>
      <c r="C103" s="116"/>
      <c r="D103" s="117"/>
      <c r="E103" s="117"/>
      <c r="F103" s="119"/>
      <c r="G103" s="114"/>
      <c r="H103" s="119"/>
      <c r="I103" s="119"/>
      <c r="J103" s="119"/>
      <c r="K103" s="119"/>
      <c r="L103" s="119"/>
      <c r="M103" s="119"/>
      <c r="N103" s="119"/>
      <c r="O103" s="119"/>
      <c r="P103" s="119"/>
    </row>
    <row r="104">
      <c r="A104" s="114">
        <v>103.0</v>
      </c>
      <c r="B104" s="115"/>
      <c r="C104" s="116"/>
      <c r="D104" s="117"/>
      <c r="E104" s="117"/>
      <c r="F104" s="119"/>
      <c r="G104" s="114"/>
      <c r="H104" s="119"/>
      <c r="I104" s="119"/>
      <c r="J104" s="119"/>
      <c r="K104" s="119"/>
      <c r="L104" s="119"/>
      <c r="M104" s="119"/>
      <c r="N104" s="119"/>
      <c r="O104" s="119"/>
      <c r="P104" s="119"/>
    </row>
    <row r="105">
      <c r="A105" s="114">
        <v>104.0</v>
      </c>
      <c r="B105" s="115"/>
      <c r="C105" s="116"/>
      <c r="D105" s="117"/>
      <c r="E105" s="117"/>
      <c r="F105" s="119"/>
      <c r="G105" s="114"/>
      <c r="H105" s="119"/>
      <c r="I105" s="119"/>
      <c r="J105" s="119"/>
      <c r="K105" s="119"/>
      <c r="L105" s="119"/>
      <c r="M105" s="119"/>
      <c r="N105" s="119"/>
      <c r="O105" s="119"/>
      <c r="P105" s="119"/>
    </row>
    <row r="106">
      <c r="A106" s="114">
        <v>105.0</v>
      </c>
      <c r="B106" s="115"/>
      <c r="C106" s="116"/>
      <c r="D106" s="117"/>
      <c r="E106" s="117"/>
      <c r="F106" s="119"/>
      <c r="G106" s="114"/>
      <c r="H106" s="119"/>
      <c r="I106" s="119"/>
      <c r="J106" s="119"/>
      <c r="K106" s="119"/>
      <c r="L106" s="119"/>
      <c r="M106" s="119"/>
      <c r="N106" s="119"/>
      <c r="O106" s="119"/>
      <c r="P106" s="119"/>
    </row>
    <row r="107">
      <c r="A107" s="114">
        <v>106.0</v>
      </c>
      <c r="B107" s="115"/>
      <c r="C107" s="116"/>
      <c r="D107" s="117"/>
      <c r="E107" s="117"/>
      <c r="F107" s="119"/>
      <c r="G107" s="114"/>
      <c r="H107" s="119"/>
      <c r="I107" s="119"/>
      <c r="J107" s="119"/>
      <c r="K107" s="119"/>
      <c r="L107" s="119"/>
      <c r="M107" s="119"/>
      <c r="N107" s="119"/>
      <c r="O107" s="119"/>
      <c r="P107" s="119"/>
    </row>
    <row r="108">
      <c r="A108" s="114">
        <v>107.0</v>
      </c>
      <c r="B108" s="115"/>
      <c r="C108" s="116"/>
      <c r="D108" s="117"/>
      <c r="E108" s="117"/>
      <c r="F108" s="119"/>
      <c r="G108" s="114"/>
      <c r="H108" s="119"/>
      <c r="I108" s="119"/>
      <c r="J108" s="119"/>
      <c r="K108" s="119"/>
      <c r="L108" s="119"/>
      <c r="M108" s="119"/>
      <c r="N108" s="119"/>
      <c r="O108" s="119"/>
      <c r="P108" s="119"/>
    </row>
    <row r="109">
      <c r="A109" s="114">
        <v>108.0</v>
      </c>
      <c r="B109" s="115"/>
      <c r="C109" s="116"/>
      <c r="D109" s="117"/>
      <c r="E109" s="117"/>
      <c r="F109" s="119"/>
      <c r="G109" s="114"/>
      <c r="H109" s="119"/>
      <c r="I109" s="119"/>
      <c r="J109" s="119"/>
      <c r="K109" s="119"/>
      <c r="L109" s="119"/>
      <c r="M109" s="119"/>
      <c r="N109" s="119"/>
      <c r="O109" s="119"/>
      <c r="P109" s="119"/>
    </row>
    <row r="110">
      <c r="A110" s="114">
        <v>109.0</v>
      </c>
      <c r="B110" s="115"/>
      <c r="C110" s="116"/>
      <c r="D110" s="117"/>
      <c r="E110" s="117"/>
      <c r="F110" s="119"/>
      <c r="G110" s="114"/>
      <c r="H110" s="119"/>
      <c r="I110" s="119"/>
      <c r="J110" s="119"/>
      <c r="K110" s="119"/>
      <c r="L110" s="119"/>
      <c r="M110" s="119"/>
      <c r="N110" s="119"/>
      <c r="O110" s="119"/>
      <c r="P110" s="119"/>
    </row>
    <row r="111">
      <c r="A111" s="114">
        <v>110.0</v>
      </c>
      <c r="B111" s="115"/>
      <c r="C111" s="116"/>
      <c r="D111" s="117"/>
      <c r="E111" s="117"/>
      <c r="F111" s="119"/>
      <c r="G111" s="114"/>
      <c r="H111" s="119"/>
      <c r="I111" s="119"/>
      <c r="J111" s="119"/>
      <c r="K111" s="119"/>
      <c r="L111" s="119"/>
      <c r="M111" s="119"/>
      <c r="N111" s="119"/>
      <c r="O111" s="119"/>
      <c r="P111" s="119"/>
    </row>
    <row r="112">
      <c r="A112" s="114">
        <v>111.0</v>
      </c>
      <c r="B112" s="115"/>
      <c r="C112" s="116"/>
      <c r="D112" s="117"/>
      <c r="E112" s="117"/>
      <c r="F112" s="119"/>
      <c r="G112" s="114"/>
      <c r="H112" s="119"/>
      <c r="I112" s="119"/>
      <c r="J112" s="119"/>
      <c r="K112" s="119"/>
      <c r="L112" s="119"/>
      <c r="M112" s="119"/>
      <c r="N112" s="119"/>
      <c r="O112" s="119"/>
      <c r="P112" s="119"/>
    </row>
    <row r="113">
      <c r="A113" s="114">
        <v>112.0</v>
      </c>
      <c r="B113" s="115"/>
      <c r="C113" s="116"/>
      <c r="D113" s="117"/>
      <c r="E113" s="117"/>
      <c r="F113" s="119"/>
      <c r="G113" s="114"/>
      <c r="H113" s="119"/>
      <c r="I113" s="119"/>
      <c r="J113" s="119"/>
      <c r="K113" s="119"/>
      <c r="L113" s="119"/>
      <c r="M113" s="119"/>
      <c r="N113" s="119"/>
      <c r="O113" s="119"/>
      <c r="P113" s="119"/>
    </row>
    <row r="114">
      <c r="A114" s="114">
        <v>113.0</v>
      </c>
      <c r="B114" s="115"/>
      <c r="C114" s="116"/>
      <c r="D114" s="117"/>
      <c r="E114" s="117"/>
      <c r="F114" s="119"/>
      <c r="G114" s="114"/>
      <c r="H114" s="119"/>
      <c r="I114" s="119"/>
      <c r="J114" s="119"/>
      <c r="K114" s="119"/>
      <c r="L114" s="119"/>
      <c r="M114" s="119"/>
      <c r="N114" s="119"/>
      <c r="O114" s="119"/>
      <c r="P114" s="119"/>
    </row>
    <row r="115">
      <c r="A115" s="114">
        <v>114.0</v>
      </c>
      <c r="B115" s="115"/>
      <c r="C115" s="116"/>
      <c r="D115" s="117"/>
      <c r="E115" s="117"/>
      <c r="F115" s="119"/>
      <c r="G115" s="114"/>
      <c r="H115" s="119"/>
      <c r="I115" s="119"/>
      <c r="J115" s="119"/>
      <c r="K115" s="119"/>
      <c r="L115" s="119"/>
      <c r="M115" s="119"/>
      <c r="N115" s="119"/>
      <c r="O115" s="119"/>
      <c r="P115" s="119"/>
    </row>
    <row r="116">
      <c r="A116" s="114">
        <v>115.0</v>
      </c>
      <c r="B116" s="115"/>
      <c r="C116" s="116"/>
      <c r="D116" s="117"/>
      <c r="E116" s="117"/>
      <c r="F116" s="119"/>
      <c r="G116" s="114"/>
      <c r="H116" s="119"/>
      <c r="I116" s="119"/>
      <c r="J116" s="119"/>
      <c r="K116" s="119"/>
      <c r="L116" s="119"/>
      <c r="M116" s="119"/>
      <c r="N116" s="119"/>
      <c r="O116" s="119"/>
      <c r="P116" s="119"/>
    </row>
    <row r="117">
      <c r="A117" s="114">
        <v>116.0</v>
      </c>
      <c r="B117" s="115"/>
      <c r="C117" s="116"/>
      <c r="D117" s="117"/>
      <c r="E117" s="117"/>
      <c r="F117" s="119"/>
      <c r="G117" s="114"/>
      <c r="H117" s="119"/>
      <c r="I117" s="119"/>
      <c r="J117" s="119"/>
      <c r="K117" s="119"/>
      <c r="L117" s="119"/>
      <c r="M117" s="119"/>
      <c r="N117" s="119"/>
      <c r="O117" s="119"/>
      <c r="P117" s="119"/>
    </row>
    <row r="118">
      <c r="A118" s="114">
        <v>117.0</v>
      </c>
      <c r="B118" s="115"/>
      <c r="C118" s="116"/>
      <c r="D118" s="117"/>
      <c r="E118" s="117"/>
      <c r="F118" s="119"/>
      <c r="G118" s="114"/>
      <c r="H118" s="119"/>
      <c r="I118" s="119"/>
      <c r="J118" s="119"/>
      <c r="K118" s="119"/>
      <c r="L118" s="119"/>
      <c r="M118" s="119"/>
      <c r="N118" s="119"/>
      <c r="O118" s="119"/>
      <c r="P118" s="119"/>
    </row>
    <row r="119">
      <c r="A119" s="114">
        <v>118.0</v>
      </c>
      <c r="B119" s="115"/>
      <c r="C119" s="116"/>
      <c r="D119" s="117"/>
      <c r="E119" s="117"/>
      <c r="F119" s="119"/>
      <c r="G119" s="114"/>
      <c r="H119" s="119"/>
      <c r="I119" s="119"/>
      <c r="J119" s="119"/>
      <c r="K119" s="119"/>
      <c r="L119" s="119"/>
      <c r="M119" s="119"/>
      <c r="N119" s="119"/>
      <c r="O119" s="119"/>
      <c r="P119" s="119"/>
    </row>
    <row r="120">
      <c r="A120" s="114">
        <v>119.0</v>
      </c>
      <c r="B120" s="115"/>
      <c r="C120" s="116"/>
      <c r="D120" s="117"/>
      <c r="E120" s="117"/>
      <c r="F120" s="119"/>
      <c r="G120" s="114"/>
      <c r="H120" s="119"/>
      <c r="I120" s="119"/>
      <c r="J120" s="119"/>
      <c r="K120" s="119"/>
      <c r="L120" s="119"/>
      <c r="M120" s="119"/>
      <c r="N120" s="119"/>
      <c r="O120" s="119"/>
      <c r="P120" s="119"/>
    </row>
    <row r="121">
      <c r="A121" s="114">
        <v>120.0</v>
      </c>
      <c r="B121" s="115"/>
      <c r="C121" s="116"/>
      <c r="D121" s="117"/>
      <c r="E121" s="117"/>
      <c r="F121" s="119"/>
      <c r="G121" s="114"/>
      <c r="H121" s="119"/>
      <c r="I121" s="119"/>
      <c r="J121" s="119"/>
      <c r="K121" s="119"/>
      <c r="L121" s="119"/>
      <c r="M121" s="119"/>
      <c r="N121" s="119"/>
      <c r="O121" s="119"/>
      <c r="P121" s="119"/>
    </row>
    <row r="122">
      <c r="A122" s="114">
        <v>121.0</v>
      </c>
      <c r="B122" s="115"/>
      <c r="C122" s="116"/>
      <c r="D122" s="117"/>
      <c r="E122" s="117"/>
      <c r="F122" s="119"/>
      <c r="G122" s="114"/>
      <c r="H122" s="119"/>
      <c r="I122" s="119"/>
      <c r="J122" s="119"/>
      <c r="K122" s="119"/>
      <c r="L122" s="119"/>
      <c r="M122" s="119"/>
      <c r="N122" s="119"/>
      <c r="O122" s="119"/>
      <c r="P122" s="119"/>
    </row>
    <row r="123">
      <c r="A123" s="114">
        <v>122.0</v>
      </c>
      <c r="B123" s="115"/>
      <c r="C123" s="116"/>
      <c r="D123" s="117"/>
      <c r="E123" s="117"/>
      <c r="F123" s="119"/>
      <c r="G123" s="114"/>
      <c r="H123" s="119"/>
      <c r="I123" s="119"/>
      <c r="J123" s="119"/>
      <c r="K123" s="119"/>
      <c r="L123" s="119"/>
      <c r="M123" s="119"/>
      <c r="N123" s="119"/>
      <c r="O123" s="119"/>
      <c r="P123" s="119"/>
    </row>
    <row r="124">
      <c r="A124" s="114">
        <v>123.0</v>
      </c>
      <c r="B124" s="115"/>
      <c r="C124" s="116"/>
      <c r="D124" s="117"/>
      <c r="E124" s="117"/>
      <c r="F124" s="119"/>
      <c r="G124" s="114"/>
      <c r="H124" s="119"/>
      <c r="I124" s="119"/>
      <c r="J124" s="119"/>
      <c r="K124" s="119"/>
      <c r="L124" s="119"/>
      <c r="M124" s="119"/>
      <c r="N124" s="119"/>
      <c r="O124" s="119"/>
      <c r="P124" s="119"/>
    </row>
    <row r="125">
      <c r="A125" s="114">
        <v>124.0</v>
      </c>
      <c r="B125" s="115"/>
      <c r="C125" s="116"/>
      <c r="D125" s="117"/>
      <c r="E125" s="117"/>
      <c r="F125" s="119"/>
      <c r="G125" s="114"/>
      <c r="H125" s="119"/>
      <c r="I125" s="119"/>
      <c r="J125" s="119"/>
      <c r="K125" s="119"/>
      <c r="L125" s="119"/>
      <c r="M125" s="119"/>
      <c r="N125" s="119"/>
      <c r="O125" s="119"/>
      <c r="P125" s="119"/>
    </row>
    <row r="126">
      <c r="A126" s="114">
        <v>125.0</v>
      </c>
      <c r="B126" s="115"/>
      <c r="C126" s="116"/>
      <c r="D126" s="117"/>
      <c r="E126" s="117"/>
      <c r="F126" s="119"/>
      <c r="G126" s="114"/>
      <c r="H126" s="119"/>
      <c r="I126" s="119"/>
      <c r="J126" s="119"/>
      <c r="K126" s="119"/>
      <c r="L126" s="119"/>
      <c r="M126" s="119"/>
      <c r="N126" s="119"/>
      <c r="O126" s="119"/>
      <c r="P126" s="119"/>
    </row>
    <row r="127">
      <c r="A127" s="114">
        <v>126.0</v>
      </c>
      <c r="B127" s="115"/>
      <c r="C127" s="116"/>
      <c r="D127" s="117"/>
      <c r="E127" s="117"/>
      <c r="F127" s="119"/>
      <c r="G127" s="114"/>
      <c r="H127" s="119"/>
      <c r="I127" s="119"/>
      <c r="J127" s="119"/>
      <c r="K127" s="119"/>
      <c r="L127" s="119"/>
      <c r="M127" s="119"/>
      <c r="N127" s="119"/>
      <c r="O127" s="119"/>
      <c r="P127" s="119"/>
    </row>
    <row r="128">
      <c r="A128" s="114">
        <v>127.0</v>
      </c>
      <c r="B128" s="115"/>
      <c r="C128" s="116"/>
      <c r="D128" s="117"/>
      <c r="E128" s="117"/>
      <c r="F128" s="119"/>
      <c r="G128" s="114"/>
      <c r="H128" s="119"/>
      <c r="I128" s="119"/>
      <c r="J128" s="119"/>
      <c r="K128" s="119"/>
      <c r="L128" s="119"/>
      <c r="M128" s="119"/>
      <c r="N128" s="119"/>
      <c r="O128" s="119"/>
      <c r="P128" s="119"/>
    </row>
    <row r="129">
      <c r="A129" s="114">
        <v>128.0</v>
      </c>
      <c r="B129" s="115"/>
      <c r="C129" s="116"/>
      <c r="D129" s="117"/>
      <c r="E129" s="117"/>
      <c r="F129" s="119"/>
      <c r="G129" s="114"/>
      <c r="H129" s="119"/>
      <c r="I129" s="119"/>
      <c r="J129" s="119"/>
      <c r="K129" s="119"/>
      <c r="L129" s="119"/>
      <c r="M129" s="119"/>
      <c r="N129" s="119"/>
      <c r="O129" s="119"/>
      <c r="P129" s="119"/>
    </row>
    <row r="130">
      <c r="A130" s="114">
        <v>129.0</v>
      </c>
      <c r="B130" s="115"/>
      <c r="C130" s="116"/>
      <c r="D130" s="117"/>
      <c r="E130" s="117"/>
      <c r="F130" s="119"/>
      <c r="G130" s="114"/>
      <c r="H130" s="119"/>
      <c r="I130" s="119"/>
      <c r="J130" s="119"/>
      <c r="K130" s="119"/>
      <c r="L130" s="119"/>
      <c r="M130" s="119"/>
      <c r="N130" s="119"/>
      <c r="O130" s="119"/>
      <c r="P130" s="119"/>
    </row>
    <row r="131">
      <c r="A131" s="114">
        <v>130.0</v>
      </c>
      <c r="B131" s="115"/>
      <c r="C131" s="116"/>
      <c r="D131" s="117"/>
      <c r="E131" s="117"/>
      <c r="F131" s="119"/>
      <c r="G131" s="114"/>
      <c r="H131" s="119"/>
      <c r="I131" s="119"/>
      <c r="J131" s="119"/>
      <c r="K131" s="119"/>
      <c r="L131" s="119"/>
      <c r="M131" s="119"/>
      <c r="N131" s="119"/>
      <c r="O131" s="119"/>
      <c r="P131" s="119"/>
    </row>
    <row r="132">
      <c r="A132" s="114">
        <v>131.0</v>
      </c>
      <c r="B132" s="115"/>
      <c r="C132" s="116"/>
      <c r="D132" s="117"/>
      <c r="E132" s="117"/>
      <c r="F132" s="119"/>
      <c r="G132" s="114"/>
      <c r="H132" s="119"/>
      <c r="I132" s="119"/>
      <c r="J132" s="119"/>
      <c r="K132" s="119"/>
      <c r="L132" s="119"/>
      <c r="M132" s="119"/>
      <c r="N132" s="119"/>
      <c r="O132" s="119"/>
      <c r="P132" s="119"/>
    </row>
    <row r="133">
      <c r="A133" s="114">
        <v>132.0</v>
      </c>
      <c r="B133" s="115"/>
      <c r="C133" s="116"/>
      <c r="D133" s="117"/>
      <c r="E133" s="117"/>
      <c r="F133" s="119"/>
      <c r="G133" s="114"/>
      <c r="H133" s="119"/>
      <c r="I133" s="119"/>
      <c r="J133" s="119"/>
      <c r="K133" s="119"/>
      <c r="L133" s="119"/>
      <c r="M133" s="119"/>
      <c r="N133" s="119"/>
      <c r="O133" s="119"/>
      <c r="P133" s="119"/>
    </row>
    <row r="134">
      <c r="A134" s="114">
        <v>133.0</v>
      </c>
      <c r="B134" s="115"/>
      <c r="C134" s="116"/>
      <c r="D134" s="117"/>
      <c r="E134" s="117"/>
      <c r="F134" s="119"/>
      <c r="G134" s="114"/>
      <c r="H134" s="119"/>
      <c r="I134" s="119"/>
      <c r="J134" s="119"/>
      <c r="K134" s="119"/>
      <c r="L134" s="119"/>
      <c r="M134" s="119"/>
      <c r="N134" s="119"/>
      <c r="O134" s="119"/>
      <c r="P134" s="119"/>
    </row>
    <row r="135">
      <c r="A135" s="114">
        <v>134.0</v>
      </c>
      <c r="B135" s="115"/>
      <c r="C135" s="116"/>
      <c r="D135" s="117"/>
      <c r="E135" s="117"/>
      <c r="F135" s="119"/>
      <c r="G135" s="114"/>
      <c r="H135" s="119"/>
      <c r="I135" s="119"/>
      <c r="J135" s="119"/>
      <c r="K135" s="119"/>
      <c r="L135" s="119"/>
      <c r="M135" s="119"/>
      <c r="N135" s="119"/>
      <c r="O135" s="119"/>
      <c r="P135" s="119"/>
    </row>
    <row r="136">
      <c r="A136" s="114">
        <v>135.0</v>
      </c>
      <c r="B136" s="115"/>
      <c r="C136" s="116"/>
      <c r="D136" s="117"/>
      <c r="E136" s="117"/>
      <c r="F136" s="119"/>
      <c r="G136" s="114"/>
      <c r="H136" s="119"/>
      <c r="I136" s="119"/>
      <c r="J136" s="119"/>
      <c r="K136" s="119"/>
      <c r="L136" s="119"/>
      <c r="M136" s="119"/>
      <c r="N136" s="119"/>
      <c r="O136" s="119"/>
      <c r="P136" s="119"/>
    </row>
    <row r="137">
      <c r="A137" s="114">
        <v>136.0</v>
      </c>
      <c r="B137" s="115"/>
      <c r="C137" s="116"/>
      <c r="D137" s="117"/>
      <c r="E137" s="117"/>
      <c r="F137" s="119"/>
      <c r="G137" s="114"/>
      <c r="H137" s="119"/>
      <c r="I137" s="119"/>
      <c r="J137" s="119"/>
      <c r="K137" s="119"/>
      <c r="L137" s="119"/>
      <c r="M137" s="119"/>
      <c r="N137" s="119"/>
      <c r="O137" s="119"/>
      <c r="P137" s="119"/>
    </row>
    <row r="138">
      <c r="A138" s="114">
        <v>137.0</v>
      </c>
      <c r="B138" s="115"/>
      <c r="C138" s="116"/>
      <c r="D138" s="117"/>
      <c r="E138" s="117"/>
      <c r="F138" s="119"/>
      <c r="G138" s="114"/>
      <c r="H138" s="119"/>
      <c r="I138" s="119"/>
      <c r="J138" s="119"/>
      <c r="K138" s="119"/>
      <c r="L138" s="119"/>
      <c r="M138" s="119"/>
      <c r="N138" s="119"/>
      <c r="O138" s="119"/>
      <c r="P138" s="119"/>
    </row>
    <row r="139">
      <c r="A139" s="114">
        <v>138.0</v>
      </c>
      <c r="B139" s="115"/>
      <c r="C139" s="116"/>
      <c r="D139" s="117"/>
      <c r="E139" s="117"/>
      <c r="F139" s="119"/>
      <c r="G139" s="114"/>
      <c r="H139" s="119"/>
      <c r="I139" s="119"/>
      <c r="J139" s="119"/>
      <c r="K139" s="119"/>
      <c r="L139" s="119"/>
      <c r="M139" s="119"/>
      <c r="N139" s="119"/>
      <c r="O139" s="119"/>
      <c r="P139" s="119"/>
    </row>
    <row r="140">
      <c r="A140" s="114">
        <v>139.0</v>
      </c>
      <c r="B140" s="115"/>
      <c r="C140" s="116"/>
      <c r="D140" s="117"/>
      <c r="E140" s="117"/>
      <c r="F140" s="119"/>
      <c r="G140" s="114"/>
      <c r="H140" s="119"/>
      <c r="I140" s="119"/>
      <c r="J140" s="119"/>
      <c r="K140" s="119"/>
      <c r="L140" s="119"/>
      <c r="M140" s="119"/>
      <c r="N140" s="119"/>
      <c r="O140" s="119"/>
      <c r="P140" s="119"/>
    </row>
    <row r="141">
      <c r="A141" s="114">
        <v>140.0</v>
      </c>
      <c r="B141" s="115"/>
      <c r="C141" s="116"/>
      <c r="D141" s="117"/>
      <c r="E141" s="117"/>
      <c r="F141" s="119"/>
      <c r="G141" s="114"/>
      <c r="H141" s="119"/>
      <c r="I141" s="119"/>
      <c r="J141" s="119"/>
      <c r="K141" s="119"/>
      <c r="L141" s="119"/>
      <c r="M141" s="119"/>
      <c r="N141" s="119"/>
      <c r="O141" s="119"/>
      <c r="P141" s="119"/>
    </row>
    <row r="142">
      <c r="A142" s="114">
        <v>141.0</v>
      </c>
      <c r="B142" s="115"/>
      <c r="C142" s="116"/>
      <c r="D142" s="117"/>
      <c r="E142" s="117"/>
      <c r="F142" s="119"/>
      <c r="G142" s="114"/>
      <c r="H142" s="119"/>
      <c r="I142" s="119"/>
      <c r="J142" s="119"/>
      <c r="K142" s="119"/>
      <c r="L142" s="119"/>
      <c r="M142" s="119"/>
      <c r="N142" s="119"/>
      <c r="O142" s="119"/>
      <c r="P142" s="119"/>
    </row>
    <row r="143">
      <c r="A143" s="114">
        <v>142.0</v>
      </c>
      <c r="B143" s="115"/>
      <c r="C143" s="116"/>
      <c r="D143" s="117"/>
      <c r="E143" s="117"/>
      <c r="F143" s="119"/>
      <c r="G143" s="114"/>
      <c r="H143" s="119"/>
      <c r="I143" s="119"/>
      <c r="J143" s="119"/>
      <c r="K143" s="119"/>
      <c r="L143" s="119"/>
      <c r="M143" s="119"/>
      <c r="N143" s="119"/>
      <c r="O143" s="119"/>
      <c r="P143" s="119"/>
    </row>
    <row r="144">
      <c r="A144" s="114">
        <v>143.0</v>
      </c>
      <c r="B144" s="115"/>
      <c r="C144" s="116"/>
      <c r="D144" s="117"/>
      <c r="E144" s="117"/>
      <c r="F144" s="119"/>
      <c r="G144" s="114"/>
      <c r="H144" s="119"/>
      <c r="I144" s="119"/>
      <c r="J144" s="119"/>
      <c r="K144" s="119"/>
      <c r="L144" s="119"/>
      <c r="M144" s="119"/>
      <c r="N144" s="119"/>
      <c r="O144" s="119"/>
      <c r="P144" s="119"/>
    </row>
    <row r="145">
      <c r="A145" s="114">
        <v>144.0</v>
      </c>
      <c r="B145" s="115"/>
      <c r="C145" s="116"/>
      <c r="D145" s="117"/>
      <c r="E145" s="117"/>
      <c r="F145" s="119"/>
      <c r="G145" s="114"/>
      <c r="H145" s="119"/>
      <c r="I145" s="119"/>
      <c r="J145" s="119"/>
      <c r="K145" s="119"/>
      <c r="L145" s="119"/>
      <c r="M145" s="119"/>
      <c r="N145" s="119"/>
      <c r="O145" s="119"/>
      <c r="P145" s="119"/>
    </row>
    <row r="146">
      <c r="A146" s="114">
        <v>145.0</v>
      </c>
      <c r="B146" s="115"/>
      <c r="C146" s="116"/>
      <c r="D146" s="117"/>
      <c r="E146" s="117"/>
      <c r="F146" s="119"/>
      <c r="G146" s="114"/>
      <c r="H146" s="119"/>
      <c r="I146" s="119"/>
      <c r="J146" s="119"/>
      <c r="K146" s="119"/>
      <c r="L146" s="119"/>
      <c r="M146" s="119"/>
      <c r="N146" s="119"/>
      <c r="O146" s="119"/>
      <c r="P146" s="119"/>
    </row>
    <row r="147">
      <c r="A147" s="114">
        <v>146.0</v>
      </c>
      <c r="B147" s="115"/>
      <c r="C147" s="116"/>
      <c r="D147" s="117"/>
      <c r="E147" s="117"/>
      <c r="F147" s="119"/>
      <c r="G147" s="114"/>
      <c r="H147" s="119"/>
      <c r="I147" s="119"/>
      <c r="J147" s="119"/>
      <c r="K147" s="119"/>
      <c r="L147" s="119"/>
      <c r="M147" s="119"/>
      <c r="N147" s="119"/>
      <c r="O147" s="119"/>
      <c r="P147" s="119"/>
    </row>
    <row r="148">
      <c r="A148" s="114">
        <v>147.0</v>
      </c>
      <c r="B148" s="115"/>
      <c r="C148" s="116"/>
      <c r="D148" s="117"/>
      <c r="E148" s="117"/>
      <c r="F148" s="119"/>
      <c r="G148" s="114"/>
      <c r="H148" s="119"/>
      <c r="I148" s="119"/>
      <c r="J148" s="119"/>
      <c r="K148" s="119"/>
      <c r="L148" s="119"/>
      <c r="M148" s="119"/>
      <c r="N148" s="119"/>
      <c r="O148" s="119"/>
      <c r="P148" s="119"/>
    </row>
    <row r="149">
      <c r="A149" s="114">
        <v>148.0</v>
      </c>
      <c r="B149" s="115"/>
      <c r="C149" s="116"/>
      <c r="D149" s="117"/>
      <c r="E149" s="117"/>
      <c r="F149" s="119"/>
      <c r="G149" s="114"/>
      <c r="H149" s="119"/>
      <c r="I149" s="119"/>
      <c r="J149" s="119"/>
      <c r="K149" s="119"/>
      <c r="L149" s="119"/>
      <c r="M149" s="119"/>
      <c r="N149" s="119"/>
      <c r="O149" s="119"/>
      <c r="P149" s="119"/>
    </row>
    <row r="150">
      <c r="A150" s="114">
        <v>149.0</v>
      </c>
      <c r="B150" s="115"/>
      <c r="C150" s="116"/>
      <c r="D150" s="117"/>
      <c r="E150" s="117"/>
      <c r="F150" s="119"/>
      <c r="G150" s="114"/>
      <c r="H150" s="119"/>
      <c r="I150" s="119"/>
      <c r="J150" s="119"/>
      <c r="K150" s="119"/>
      <c r="L150" s="119"/>
      <c r="M150" s="119"/>
      <c r="N150" s="119"/>
      <c r="O150" s="119"/>
      <c r="P150" s="119"/>
    </row>
    <row r="151">
      <c r="A151" s="114">
        <v>150.0</v>
      </c>
      <c r="B151" s="115"/>
      <c r="C151" s="116"/>
      <c r="D151" s="117"/>
      <c r="E151" s="117"/>
      <c r="F151" s="119"/>
      <c r="G151" s="114"/>
      <c r="H151" s="119"/>
      <c r="I151" s="119"/>
      <c r="J151" s="119"/>
      <c r="K151" s="119"/>
      <c r="L151" s="119"/>
      <c r="M151" s="119"/>
      <c r="N151" s="119"/>
      <c r="O151" s="119"/>
      <c r="P151" s="119"/>
    </row>
    <row r="152">
      <c r="A152" s="114">
        <v>151.0</v>
      </c>
      <c r="B152" s="115"/>
      <c r="C152" s="116"/>
      <c r="D152" s="117"/>
      <c r="E152" s="117"/>
      <c r="F152" s="119"/>
      <c r="G152" s="114"/>
      <c r="H152" s="119"/>
      <c r="I152" s="119"/>
      <c r="J152" s="119"/>
      <c r="K152" s="119"/>
      <c r="L152" s="119"/>
      <c r="M152" s="119"/>
      <c r="N152" s="119"/>
      <c r="O152" s="119"/>
      <c r="P152" s="119"/>
    </row>
    <row r="153">
      <c r="A153" s="114">
        <v>152.0</v>
      </c>
      <c r="B153" s="115"/>
      <c r="C153" s="116"/>
      <c r="D153" s="117"/>
      <c r="E153" s="117"/>
      <c r="F153" s="119"/>
      <c r="G153" s="114"/>
      <c r="H153" s="119"/>
      <c r="I153" s="119"/>
      <c r="J153" s="119"/>
      <c r="K153" s="119"/>
      <c r="L153" s="119"/>
      <c r="M153" s="119"/>
      <c r="N153" s="119"/>
      <c r="O153" s="119"/>
      <c r="P153" s="119"/>
    </row>
    <row r="154">
      <c r="A154" s="114">
        <v>153.0</v>
      </c>
      <c r="B154" s="115"/>
      <c r="C154" s="116"/>
      <c r="D154" s="117"/>
      <c r="E154" s="117"/>
      <c r="F154" s="119"/>
      <c r="G154" s="114"/>
      <c r="H154" s="119"/>
      <c r="I154" s="119"/>
      <c r="J154" s="119"/>
      <c r="K154" s="119"/>
      <c r="L154" s="119"/>
      <c r="M154" s="119"/>
      <c r="N154" s="119"/>
      <c r="O154" s="119"/>
      <c r="P154" s="119"/>
    </row>
    <row r="155">
      <c r="A155" s="114">
        <v>154.0</v>
      </c>
      <c r="B155" s="115"/>
      <c r="C155" s="116"/>
      <c r="D155" s="117"/>
      <c r="E155" s="117"/>
      <c r="F155" s="119"/>
      <c r="G155" s="114"/>
      <c r="H155" s="119"/>
      <c r="I155" s="119"/>
      <c r="J155" s="119"/>
      <c r="K155" s="119"/>
      <c r="L155" s="119"/>
      <c r="M155" s="119"/>
      <c r="N155" s="119"/>
      <c r="O155" s="119"/>
      <c r="P155" s="119"/>
    </row>
    <row r="156">
      <c r="A156" s="114">
        <v>155.0</v>
      </c>
      <c r="B156" s="115"/>
      <c r="C156" s="116"/>
      <c r="D156" s="117"/>
      <c r="E156" s="117"/>
      <c r="F156" s="119"/>
      <c r="G156" s="114"/>
      <c r="H156" s="119"/>
      <c r="I156" s="119"/>
      <c r="J156" s="119"/>
      <c r="K156" s="119"/>
      <c r="L156" s="119"/>
      <c r="M156" s="119"/>
      <c r="N156" s="119"/>
      <c r="O156" s="119"/>
      <c r="P156" s="119"/>
    </row>
    <row r="157">
      <c r="A157" s="114">
        <v>156.0</v>
      </c>
      <c r="B157" s="115"/>
      <c r="C157" s="116"/>
      <c r="D157" s="117"/>
      <c r="E157" s="117"/>
      <c r="F157" s="119"/>
      <c r="G157" s="114"/>
      <c r="H157" s="119"/>
      <c r="I157" s="119"/>
      <c r="J157" s="119"/>
      <c r="K157" s="119"/>
      <c r="L157" s="119"/>
      <c r="M157" s="119"/>
      <c r="N157" s="119"/>
      <c r="O157" s="119"/>
      <c r="P157" s="119"/>
    </row>
    <row r="158">
      <c r="A158" s="114">
        <v>157.0</v>
      </c>
      <c r="B158" s="115"/>
      <c r="C158" s="116"/>
      <c r="D158" s="117"/>
      <c r="E158" s="117"/>
      <c r="F158" s="119"/>
      <c r="G158" s="114"/>
      <c r="H158" s="119"/>
      <c r="I158" s="119"/>
      <c r="J158" s="119"/>
      <c r="K158" s="119"/>
      <c r="L158" s="119"/>
      <c r="M158" s="119"/>
      <c r="N158" s="119"/>
      <c r="O158" s="119"/>
      <c r="P158" s="119"/>
    </row>
    <row r="159">
      <c r="A159" s="114">
        <v>158.0</v>
      </c>
      <c r="B159" s="115"/>
      <c r="C159" s="116"/>
      <c r="D159" s="117"/>
      <c r="E159" s="117"/>
      <c r="F159" s="119"/>
      <c r="G159" s="114"/>
      <c r="H159" s="119"/>
      <c r="I159" s="119"/>
      <c r="J159" s="119"/>
      <c r="K159" s="119"/>
      <c r="L159" s="119"/>
      <c r="M159" s="119"/>
      <c r="N159" s="119"/>
      <c r="O159" s="119"/>
      <c r="P159" s="119"/>
    </row>
    <row r="160">
      <c r="A160" s="114">
        <v>159.0</v>
      </c>
      <c r="B160" s="115"/>
      <c r="C160" s="116"/>
      <c r="D160" s="117"/>
      <c r="E160" s="117"/>
      <c r="F160" s="119"/>
      <c r="G160" s="114"/>
      <c r="H160" s="119"/>
      <c r="I160" s="119"/>
      <c r="J160" s="119"/>
      <c r="K160" s="119"/>
      <c r="L160" s="119"/>
      <c r="M160" s="119"/>
      <c r="N160" s="119"/>
      <c r="O160" s="119"/>
      <c r="P160" s="119"/>
    </row>
    <row r="161">
      <c r="A161" s="114">
        <v>160.0</v>
      </c>
      <c r="B161" s="115"/>
      <c r="C161" s="116"/>
      <c r="D161" s="117"/>
      <c r="E161" s="117"/>
      <c r="F161" s="119"/>
      <c r="G161" s="114"/>
      <c r="H161" s="119"/>
      <c r="I161" s="119"/>
      <c r="J161" s="119"/>
      <c r="K161" s="119"/>
      <c r="L161" s="119"/>
      <c r="M161" s="119"/>
      <c r="N161" s="119"/>
      <c r="O161" s="119"/>
      <c r="P161" s="119"/>
    </row>
    <row r="162">
      <c r="A162" s="114">
        <v>161.0</v>
      </c>
      <c r="B162" s="115"/>
      <c r="C162" s="116"/>
      <c r="D162" s="117"/>
      <c r="E162" s="117"/>
      <c r="F162" s="119"/>
      <c r="G162" s="114"/>
      <c r="H162" s="119"/>
      <c r="I162" s="119"/>
      <c r="J162" s="119"/>
      <c r="K162" s="119"/>
      <c r="L162" s="119"/>
      <c r="M162" s="119"/>
      <c r="N162" s="119"/>
      <c r="O162" s="119"/>
      <c r="P162" s="119"/>
    </row>
    <row r="163">
      <c r="A163" s="114">
        <v>162.0</v>
      </c>
      <c r="B163" s="115"/>
      <c r="C163" s="116"/>
      <c r="D163" s="117"/>
      <c r="E163" s="117"/>
      <c r="F163" s="119"/>
      <c r="G163" s="114"/>
      <c r="H163" s="119"/>
      <c r="I163" s="119"/>
      <c r="J163" s="119"/>
      <c r="K163" s="119"/>
      <c r="L163" s="119"/>
      <c r="M163" s="119"/>
      <c r="N163" s="119"/>
      <c r="O163" s="119"/>
      <c r="P163" s="119"/>
    </row>
    <row r="164">
      <c r="A164" s="114">
        <v>163.0</v>
      </c>
      <c r="B164" s="115"/>
      <c r="C164" s="116"/>
      <c r="D164" s="117"/>
      <c r="E164" s="117"/>
      <c r="F164" s="119"/>
      <c r="G164" s="114"/>
      <c r="H164" s="119"/>
      <c r="I164" s="119"/>
      <c r="J164" s="119"/>
      <c r="K164" s="119"/>
      <c r="L164" s="119"/>
      <c r="M164" s="119"/>
      <c r="N164" s="119"/>
      <c r="O164" s="119"/>
      <c r="P164" s="119"/>
    </row>
    <row r="165">
      <c r="A165" s="114">
        <v>164.0</v>
      </c>
      <c r="B165" s="115"/>
      <c r="C165" s="116"/>
      <c r="D165" s="117"/>
      <c r="E165" s="117"/>
      <c r="F165" s="119"/>
      <c r="G165" s="114"/>
      <c r="H165" s="119"/>
      <c r="I165" s="119"/>
      <c r="J165" s="119"/>
      <c r="K165" s="119"/>
      <c r="L165" s="119"/>
      <c r="M165" s="119"/>
      <c r="N165" s="119"/>
      <c r="O165" s="119"/>
      <c r="P165" s="119"/>
    </row>
    <row r="166">
      <c r="A166" s="114">
        <v>165.0</v>
      </c>
      <c r="B166" s="115"/>
      <c r="C166" s="116"/>
      <c r="D166" s="117"/>
      <c r="E166" s="117"/>
      <c r="F166" s="119"/>
      <c r="G166" s="114"/>
      <c r="H166" s="119"/>
      <c r="I166" s="119"/>
      <c r="J166" s="119"/>
      <c r="K166" s="119"/>
      <c r="L166" s="119"/>
      <c r="M166" s="119"/>
      <c r="N166" s="119"/>
      <c r="O166" s="119"/>
      <c r="P166" s="119"/>
    </row>
    <row r="167">
      <c r="A167" s="114">
        <v>166.0</v>
      </c>
      <c r="B167" s="115"/>
      <c r="C167" s="116"/>
      <c r="D167" s="117"/>
      <c r="E167" s="117"/>
      <c r="F167" s="119"/>
      <c r="G167" s="114"/>
      <c r="H167" s="119"/>
      <c r="I167" s="119"/>
      <c r="J167" s="119"/>
      <c r="K167" s="119"/>
      <c r="L167" s="119"/>
      <c r="M167" s="119"/>
      <c r="N167" s="119"/>
      <c r="O167" s="119"/>
      <c r="P167" s="119"/>
    </row>
    <row r="168">
      <c r="A168" s="114">
        <v>167.0</v>
      </c>
      <c r="B168" s="115"/>
      <c r="C168" s="116"/>
      <c r="D168" s="117"/>
      <c r="E168" s="117"/>
      <c r="F168" s="119"/>
      <c r="G168" s="114"/>
      <c r="H168" s="119"/>
      <c r="I168" s="119"/>
      <c r="J168" s="119"/>
      <c r="K168" s="119"/>
      <c r="L168" s="119"/>
      <c r="M168" s="119"/>
      <c r="N168" s="119"/>
      <c r="O168" s="119"/>
      <c r="P168" s="119"/>
    </row>
    <row r="169">
      <c r="A169" s="114">
        <v>168.0</v>
      </c>
      <c r="B169" s="115"/>
      <c r="C169" s="116"/>
      <c r="D169" s="117"/>
      <c r="E169" s="117"/>
      <c r="F169" s="119"/>
      <c r="G169" s="114"/>
      <c r="H169" s="119"/>
      <c r="I169" s="119"/>
      <c r="J169" s="119"/>
      <c r="K169" s="119"/>
      <c r="L169" s="119"/>
      <c r="M169" s="119"/>
      <c r="N169" s="119"/>
      <c r="O169" s="119"/>
      <c r="P169" s="119"/>
    </row>
    <row r="170">
      <c r="A170" s="114">
        <v>169.0</v>
      </c>
      <c r="B170" s="115"/>
      <c r="C170" s="116"/>
      <c r="D170" s="117"/>
      <c r="E170" s="117"/>
      <c r="F170" s="119"/>
      <c r="G170" s="114"/>
      <c r="H170" s="119"/>
      <c r="I170" s="119"/>
      <c r="J170" s="119"/>
      <c r="K170" s="119"/>
      <c r="L170" s="119"/>
      <c r="M170" s="119"/>
      <c r="N170" s="119"/>
      <c r="O170" s="119"/>
      <c r="P170" s="119"/>
    </row>
    <row r="171">
      <c r="A171" s="114">
        <v>170.0</v>
      </c>
      <c r="B171" s="115"/>
      <c r="C171" s="116"/>
      <c r="D171" s="117"/>
      <c r="E171" s="117"/>
      <c r="F171" s="119"/>
      <c r="G171" s="114"/>
      <c r="H171" s="119"/>
      <c r="I171" s="119"/>
      <c r="J171" s="119"/>
      <c r="K171" s="119"/>
      <c r="L171" s="119"/>
      <c r="M171" s="119"/>
      <c r="N171" s="119"/>
      <c r="O171" s="119"/>
      <c r="P171" s="119"/>
    </row>
    <row r="172">
      <c r="A172" s="114">
        <v>171.0</v>
      </c>
      <c r="B172" s="115"/>
      <c r="C172" s="116"/>
      <c r="D172" s="117"/>
      <c r="E172" s="117"/>
      <c r="F172" s="119"/>
      <c r="G172" s="114"/>
      <c r="H172" s="119"/>
      <c r="I172" s="119"/>
      <c r="J172" s="119"/>
      <c r="K172" s="119"/>
      <c r="L172" s="119"/>
      <c r="M172" s="119"/>
      <c r="N172" s="119"/>
      <c r="O172" s="119"/>
      <c r="P172" s="119"/>
    </row>
    <row r="173">
      <c r="A173" s="114">
        <v>172.0</v>
      </c>
      <c r="B173" s="115"/>
      <c r="C173" s="116"/>
      <c r="D173" s="117"/>
      <c r="E173" s="117"/>
      <c r="F173" s="119"/>
      <c r="G173" s="114"/>
      <c r="H173" s="119"/>
      <c r="I173" s="119"/>
      <c r="J173" s="119"/>
      <c r="K173" s="119"/>
      <c r="L173" s="119"/>
      <c r="M173" s="119"/>
      <c r="N173" s="119"/>
      <c r="O173" s="119"/>
      <c r="P173" s="119"/>
    </row>
    <row r="174">
      <c r="A174" s="114">
        <v>173.0</v>
      </c>
      <c r="B174" s="115"/>
      <c r="C174" s="116"/>
      <c r="D174" s="117"/>
      <c r="E174" s="117"/>
      <c r="F174" s="119"/>
      <c r="G174" s="114"/>
      <c r="H174" s="119"/>
      <c r="I174" s="119"/>
      <c r="J174" s="119"/>
      <c r="K174" s="119"/>
      <c r="L174" s="119"/>
      <c r="M174" s="119"/>
      <c r="N174" s="119"/>
      <c r="O174" s="119"/>
      <c r="P174" s="119"/>
    </row>
    <row r="175">
      <c r="A175" s="114">
        <v>174.0</v>
      </c>
      <c r="B175" s="115"/>
      <c r="C175" s="116"/>
      <c r="D175" s="117"/>
      <c r="E175" s="117"/>
      <c r="F175" s="119"/>
      <c r="G175" s="114"/>
      <c r="H175" s="119"/>
      <c r="I175" s="119"/>
      <c r="J175" s="119"/>
      <c r="K175" s="119"/>
      <c r="L175" s="119"/>
      <c r="M175" s="119"/>
      <c r="N175" s="119"/>
      <c r="O175" s="119"/>
      <c r="P175" s="119"/>
    </row>
    <row r="176">
      <c r="A176" s="114">
        <v>175.0</v>
      </c>
      <c r="B176" s="115"/>
      <c r="C176" s="116"/>
      <c r="D176" s="117"/>
      <c r="E176" s="117"/>
      <c r="F176" s="119"/>
      <c r="G176" s="114"/>
      <c r="H176" s="119"/>
      <c r="I176" s="119"/>
      <c r="J176" s="119"/>
      <c r="K176" s="119"/>
      <c r="L176" s="119"/>
      <c r="M176" s="119"/>
      <c r="N176" s="119"/>
      <c r="O176" s="119"/>
      <c r="P176" s="119"/>
    </row>
    <row r="177">
      <c r="A177" s="114">
        <v>176.0</v>
      </c>
      <c r="B177" s="115"/>
      <c r="C177" s="116"/>
      <c r="D177" s="117"/>
      <c r="E177" s="117"/>
      <c r="F177" s="119"/>
      <c r="G177" s="114"/>
      <c r="H177" s="119"/>
      <c r="I177" s="119"/>
      <c r="J177" s="119"/>
      <c r="K177" s="119"/>
      <c r="L177" s="119"/>
      <c r="M177" s="119"/>
      <c r="N177" s="119"/>
      <c r="O177" s="119"/>
      <c r="P177" s="119"/>
    </row>
    <row r="178">
      <c r="A178" s="114">
        <v>177.0</v>
      </c>
      <c r="B178" s="115"/>
      <c r="C178" s="116"/>
      <c r="D178" s="117"/>
      <c r="E178" s="117"/>
      <c r="F178" s="119"/>
      <c r="G178" s="114"/>
      <c r="H178" s="119"/>
      <c r="I178" s="119"/>
      <c r="J178" s="119"/>
      <c r="K178" s="119"/>
      <c r="L178" s="119"/>
      <c r="M178" s="119"/>
      <c r="N178" s="119"/>
      <c r="O178" s="119"/>
      <c r="P178" s="119"/>
    </row>
    <row r="179">
      <c r="A179" s="114">
        <v>178.0</v>
      </c>
      <c r="B179" s="115"/>
      <c r="C179" s="116"/>
      <c r="D179" s="117"/>
      <c r="E179" s="117"/>
      <c r="F179" s="119"/>
      <c r="G179" s="114"/>
      <c r="H179" s="119"/>
      <c r="I179" s="119"/>
      <c r="J179" s="119"/>
      <c r="K179" s="119"/>
      <c r="L179" s="119"/>
      <c r="M179" s="119"/>
      <c r="N179" s="119"/>
      <c r="O179" s="119"/>
      <c r="P179" s="119"/>
    </row>
    <row r="180">
      <c r="A180" s="114">
        <v>179.0</v>
      </c>
      <c r="B180" s="115"/>
      <c r="C180" s="116"/>
      <c r="D180" s="117"/>
      <c r="E180" s="117"/>
      <c r="F180" s="119"/>
      <c r="G180" s="114"/>
      <c r="H180" s="119"/>
      <c r="I180" s="119"/>
      <c r="J180" s="119"/>
      <c r="K180" s="119"/>
      <c r="L180" s="119"/>
      <c r="M180" s="119"/>
      <c r="N180" s="119"/>
      <c r="O180" s="119"/>
      <c r="P180" s="119"/>
    </row>
    <row r="181">
      <c r="A181" s="114">
        <v>180.0</v>
      </c>
      <c r="B181" s="115"/>
      <c r="C181" s="116"/>
      <c r="D181" s="117"/>
      <c r="E181" s="117"/>
      <c r="F181" s="119"/>
      <c r="G181" s="114"/>
      <c r="H181" s="119"/>
      <c r="I181" s="119"/>
      <c r="J181" s="119"/>
      <c r="K181" s="119"/>
      <c r="L181" s="119"/>
      <c r="M181" s="119"/>
      <c r="N181" s="119"/>
      <c r="O181" s="119"/>
      <c r="P181" s="119"/>
    </row>
    <row r="182">
      <c r="A182" s="114">
        <v>181.0</v>
      </c>
      <c r="B182" s="115"/>
      <c r="C182" s="116"/>
      <c r="D182" s="117"/>
      <c r="E182" s="117"/>
      <c r="F182" s="119"/>
      <c r="G182" s="114"/>
      <c r="H182" s="119"/>
      <c r="I182" s="119"/>
      <c r="J182" s="119"/>
      <c r="K182" s="119"/>
      <c r="L182" s="119"/>
      <c r="M182" s="119"/>
      <c r="N182" s="119"/>
      <c r="O182" s="119"/>
      <c r="P182" s="119"/>
    </row>
    <row r="183">
      <c r="A183" s="114">
        <v>182.0</v>
      </c>
      <c r="B183" s="115"/>
      <c r="C183" s="116"/>
      <c r="D183" s="117"/>
      <c r="E183" s="117"/>
      <c r="F183" s="119"/>
      <c r="G183" s="114"/>
      <c r="H183" s="119"/>
      <c r="I183" s="119"/>
      <c r="J183" s="119"/>
      <c r="K183" s="119"/>
      <c r="L183" s="119"/>
      <c r="M183" s="119"/>
      <c r="N183" s="119"/>
      <c r="O183" s="119"/>
      <c r="P183" s="119"/>
    </row>
    <row r="184">
      <c r="A184" s="114">
        <v>183.0</v>
      </c>
      <c r="B184" s="115"/>
      <c r="C184" s="116"/>
      <c r="D184" s="117"/>
      <c r="E184" s="117"/>
      <c r="F184" s="119"/>
      <c r="G184" s="114"/>
      <c r="H184" s="119"/>
      <c r="I184" s="119"/>
      <c r="J184" s="119"/>
      <c r="K184" s="119"/>
      <c r="L184" s="119"/>
      <c r="M184" s="119"/>
      <c r="N184" s="119"/>
      <c r="O184" s="119"/>
      <c r="P184" s="119"/>
    </row>
    <row r="185">
      <c r="A185" s="114">
        <v>184.0</v>
      </c>
      <c r="B185" s="115"/>
      <c r="C185" s="116"/>
      <c r="D185" s="117"/>
      <c r="E185" s="117"/>
      <c r="F185" s="119"/>
      <c r="G185" s="114"/>
      <c r="H185" s="119"/>
      <c r="I185" s="119"/>
      <c r="J185" s="119"/>
      <c r="K185" s="119"/>
      <c r="L185" s="119"/>
      <c r="M185" s="119"/>
      <c r="N185" s="119"/>
      <c r="O185" s="119"/>
      <c r="P185" s="119"/>
    </row>
    <row r="186">
      <c r="A186" s="114">
        <v>185.0</v>
      </c>
      <c r="B186" s="115"/>
      <c r="C186" s="116"/>
      <c r="D186" s="117"/>
      <c r="E186" s="117"/>
      <c r="F186" s="119"/>
      <c r="G186" s="114"/>
      <c r="H186" s="119"/>
      <c r="I186" s="119"/>
      <c r="J186" s="119"/>
      <c r="K186" s="119"/>
      <c r="L186" s="119"/>
      <c r="M186" s="119"/>
      <c r="N186" s="119"/>
      <c r="O186" s="119"/>
      <c r="P186" s="119"/>
    </row>
    <row r="187">
      <c r="A187" s="114">
        <v>186.0</v>
      </c>
      <c r="B187" s="115"/>
      <c r="C187" s="116"/>
      <c r="D187" s="117"/>
      <c r="E187" s="117"/>
      <c r="F187" s="119"/>
      <c r="G187" s="114"/>
      <c r="H187" s="119"/>
      <c r="I187" s="119"/>
      <c r="J187" s="119"/>
      <c r="K187" s="119"/>
      <c r="L187" s="119"/>
      <c r="M187" s="119"/>
      <c r="N187" s="119"/>
      <c r="O187" s="119"/>
      <c r="P187" s="119"/>
    </row>
    <row r="188">
      <c r="A188" s="114">
        <v>187.0</v>
      </c>
      <c r="B188" s="115"/>
      <c r="C188" s="116"/>
      <c r="D188" s="117"/>
      <c r="E188" s="117"/>
      <c r="F188" s="119"/>
      <c r="G188" s="114"/>
      <c r="H188" s="119"/>
      <c r="I188" s="119"/>
      <c r="J188" s="119"/>
      <c r="K188" s="119"/>
      <c r="L188" s="119"/>
      <c r="M188" s="119"/>
      <c r="N188" s="119"/>
      <c r="O188" s="119"/>
      <c r="P188" s="119"/>
    </row>
    <row r="189">
      <c r="A189" s="114">
        <v>188.0</v>
      </c>
      <c r="B189" s="115"/>
      <c r="C189" s="116"/>
      <c r="D189" s="117"/>
      <c r="E189" s="117"/>
      <c r="F189" s="119"/>
      <c r="G189" s="114"/>
      <c r="H189" s="119"/>
      <c r="I189" s="119"/>
      <c r="J189" s="119"/>
      <c r="K189" s="119"/>
      <c r="L189" s="119"/>
      <c r="M189" s="119"/>
      <c r="N189" s="119"/>
      <c r="O189" s="119"/>
      <c r="P189" s="119"/>
    </row>
    <row r="190">
      <c r="A190" s="114">
        <v>189.0</v>
      </c>
      <c r="B190" s="115"/>
      <c r="C190" s="116"/>
      <c r="D190" s="117"/>
      <c r="E190" s="117"/>
      <c r="F190" s="119"/>
      <c r="G190" s="114"/>
      <c r="H190" s="119"/>
      <c r="I190" s="119"/>
      <c r="J190" s="119"/>
      <c r="K190" s="119"/>
      <c r="L190" s="119"/>
      <c r="M190" s="119"/>
      <c r="N190" s="119"/>
      <c r="O190" s="119"/>
      <c r="P190" s="119"/>
    </row>
    <row r="191">
      <c r="A191" s="114">
        <v>190.0</v>
      </c>
      <c r="B191" s="115"/>
      <c r="C191" s="116"/>
      <c r="D191" s="117"/>
      <c r="E191" s="117"/>
      <c r="F191" s="119"/>
      <c r="G191" s="114"/>
      <c r="H191" s="119"/>
      <c r="I191" s="119"/>
      <c r="J191" s="119"/>
      <c r="K191" s="119"/>
      <c r="L191" s="119"/>
      <c r="M191" s="119"/>
      <c r="N191" s="119"/>
      <c r="O191" s="119"/>
      <c r="P191" s="119"/>
    </row>
    <row r="192">
      <c r="A192" s="114">
        <v>191.0</v>
      </c>
      <c r="B192" s="115"/>
      <c r="C192" s="116"/>
      <c r="D192" s="117"/>
      <c r="E192" s="117"/>
      <c r="F192" s="119"/>
      <c r="G192" s="114"/>
      <c r="H192" s="119"/>
      <c r="I192" s="119"/>
      <c r="J192" s="119"/>
      <c r="K192" s="119"/>
      <c r="L192" s="119"/>
      <c r="M192" s="119"/>
      <c r="N192" s="119"/>
      <c r="O192" s="119"/>
      <c r="P192" s="119"/>
    </row>
    <row r="193">
      <c r="A193" s="114">
        <v>192.0</v>
      </c>
      <c r="B193" s="115"/>
      <c r="C193" s="116"/>
      <c r="D193" s="117"/>
      <c r="E193" s="117"/>
      <c r="F193" s="119"/>
      <c r="G193" s="114"/>
      <c r="H193" s="119"/>
      <c r="I193" s="119"/>
      <c r="J193" s="119"/>
      <c r="K193" s="119"/>
      <c r="L193" s="119"/>
      <c r="M193" s="119"/>
      <c r="N193" s="119"/>
      <c r="O193" s="119"/>
      <c r="P193" s="119"/>
    </row>
    <row r="194">
      <c r="A194" s="114">
        <v>193.0</v>
      </c>
      <c r="B194" s="115"/>
      <c r="C194" s="116"/>
      <c r="D194" s="117"/>
      <c r="E194" s="117"/>
      <c r="F194" s="119"/>
      <c r="G194" s="114"/>
      <c r="H194" s="119"/>
      <c r="I194" s="119"/>
      <c r="J194" s="119"/>
      <c r="K194" s="119"/>
      <c r="L194" s="119"/>
      <c r="M194" s="119"/>
      <c r="N194" s="119"/>
      <c r="O194" s="119"/>
      <c r="P194" s="119"/>
    </row>
    <row r="195">
      <c r="A195" s="114">
        <v>194.0</v>
      </c>
      <c r="B195" s="115"/>
      <c r="C195" s="116"/>
      <c r="D195" s="117"/>
      <c r="E195" s="117"/>
      <c r="F195" s="119"/>
      <c r="G195" s="114"/>
      <c r="H195" s="119"/>
      <c r="I195" s="119"/>
      <c r="J195" s="119"/>
      <c r="K195" s="119"/>
      <c r="L195" s="119"/>
      <c r="M195" s="119"/>
      <c r="N195" s="119"/>
      <c r="O195" s="119"/>
      <c r="P195" s="119"/>
    </row>
    <row r="196">
      <c r="A196" s="114">
        <v>195.0</v>
      </c>
      <c r="B196" s="115"/>
      <c r="C196" s="116"/>
      <c r="D196" s="117"/>
      <c r="E196" s="117"/>
      <c r="F196" s="119"/>
      <c r="G196" s="114"/>
      <c r="H196" s="119"/>
      <c r="I196" s="119"/>
      <c r="J196" s="119"/>
      <c r="K196" s="119"/>
      <c r="L196" s="119"/>
      <c r="M196" s="119"/>
      <c r="N196" s="119"/>
      <c r="O196" s="119"/>
      <c r="P196" s="119"/>
    </row>
    <row r="197">
      <c r="A197" s="114">
        <v>196.0</v>
      </c>
      <c r="B197" s="115"/>
      <c r="C197" s="116"/>
      <c r="D197" s="117"/>
      <c r="E197" s="117"/>
      <c r="F197" s="119"/>
      <c r="G197" s="114"/>
      <c r="H197" s="119"/>
      <c r="I197" s="119"/>
      <c r="J197" s="119"/>
      <c r="K197" s="119"/>
      <c r="L197" s="119"/>
      <c r="M197" s="119"/>
      <c r="N197" s="119"/>
      <c r="O197" s="119"/>
      <c r="P197" s="119"/>
    </row>
    <row r="198">
      <c r="A198" s="114">
        <v>197.0</v>
      </c>
      <c r="B198" s="115"/>
      <c r="C198" s="116"/>
      <c r="D198" s="117"/>
      <c r="E198" s="117"/>
      <c r="F198" s="119"/>
      <c r="G198" s="114"/>
      <c r="H198" s="119"/>
      <c r="I198" s="119"/>
      <c r="J198" s="119"/>
      <c r="K198" s="119"/>
      <c r="L198" s="119"/>
      <c r="M198" s="119"/>
      <c r="N198" s="119"/>
      <c r="O198" s="119"/>
      <c r="P198" s="119"/>
    </row>
    <row r="199">
      <c r="A199" s="114">
        <v>198.0</v>
      </c>
      <c r="B199" s="115"/>
      <c r="C199" s="116"/>
      <c r="D199" s="117"/>
      <c r="E199" s="117"/>
      <c r="F199" s="119"/>
      <c r="G199" s="114"/>
      <c r="H199" s="119"/>
      <c r="I199" s="119"/>
      <c r="J199" s="119"/>
      <c r="K199" s="119"/>
      <c r="L199" s="119"/>
      <c r="M199" s="119"/>
      <c r="N199" s="119"/>
      <c r="O199" s="119"/>
      <c r="P199" s="119"/>
    </row>
    <row r="200">
      <c r="A200" s="114">
        <v>199.0</v>
      </c>
      <c r="B200" s="115"/>
      <c r="C200" s="116"/>
      <c r="D200" s="117"/>
      <c r="E200" s="117"/>
      <c r="F200" s="119"/>
      <c r="G200" s="114"/>
      <c r="H200" s="119"/>
      <c r="I200" s="119"/>
      <c r="J200" s="119"/>
      <c r="K200" s="119"/>
      <c r="L200" s="119"/>
      <c r="M200" s="119"/>
      <c r="N200" s="119"/>
      <c r="O200" s="119"/>
      <c r="P200" s="119"/>
    </row>
    <row r="201">
      <c r="A201" s="114">
        <v>200.0</v>
      </c>
      <c r="B201" s="115"/>
      <c r="C201" s="116"/>
      <c r="D201" s="117"/>
      <c r="E201" s="117"/>
      <c r="F201" s="119"/>
      <c r="G201" s="114"/>
      <c r="H201" s="119"/>
      <c r="I201" s="119"/>
      <c r="J201" s="119"/>
      <c r="K201" s="119"/>
      <c r="L201" s="119"/>
      <c r="M201" s="119"/>
      <c r="N201" s="119"/>
      <c r="O201" s="119"/>
      <c r="P201" s="119"/>
    </row>
    <row r="202">
      <c r="A202" s="114">
        <v>201.0</v>
      </c>
      <c r="B202" s="115"/>
      <c r="C202" s="116"/>
      <c r="D202" s="117"/>
      <c r="E202" s="117"/>
      <c r="F202" s="119"/>
      <c r="G202" s="114"/>
      <c r="H202" s="119"/>
      <c r="I202" s="119"/>
      <c r="J202" s="119"/>
      <c r="K202" s="119"/>
      <c r="L202" s="119"/>
      <c r="M202" s="119"/>
      <c r="N202" s="119"/>
      <c r="O202" s="119"/>
      <c r="P202" s="119"/>
    </row>
    <row r="203">
      <c r="A203" s="114">
        <v>202.0</v>
      </c>
      <c r="B203" s="115"/>
      <c r="C203" s="116"/>
      <c r="D203" s="117"/>
      <c r="E203" s="117"/>
      <c r="F203" s="119"/>
      <c r="G203" s="114"/>
      <c r="H203" s="119"/>
      <c r="I203" s="119"/>
      <c r="J203" s="119"/>
      <c r="K203" s="119"/>
      <c r="L203" s="119"/>
      <c r="M203" s="119"/>
      <c r="N203" s="119"/>
      <c r="O203" s="119"/>
      <c r="P203" s="119"/>
    </row>
    <row r="204">
      <c r="A204" s="114">
        <v>203.0</v>
      </c>
      <c r="B204" s="115"/>
      <c r="C204" s="116"/>
      <c r="D204" s="117"/>
      <c r="E204" s="117"/>
      <c r="F204" s="119"/>
      <c r="G204" s="114"/>
      <c r="H204" s="119"/>
      <c r="I204" s="119"/>
      <c r="J204" s="119"/>
      <c r="K204" s="119"/>
      <c r="L204" s="119"/>
      <c r="M204" s="119"/>
      <c r="N204" s="119"/>
      <c r="O204" s="119"/>
      <c r="P204" s="119"/>
    </row>
    <row r="205">
      <c r="A205" s="114">
        <v>204.0</v>
      </c>
      <c r="B205" s="115"/>
      <c r="C205" s="116"/>
      <c r="D205" s="117"/>
      <c r="E205" s="117"/>
      <c r="F205" s="119"/>
      <c r="G205" s="114"/>
      <c r="H205" s="119"/>
      <c r="I205" s="119"/>
      <c r="J205" s="119"/>
      <c r="K205" s="119"/>
      <c r="L205" s="119"/>
      <c r="M205" s="119"/>
      <c r="N205" s="119"/>
      <c r="O205" s="119"/>
      <c r="P205" s="119"/>
    </row>
    <row r="206">
      <c r="A206" s="114">
        <v>205.0</v>
      </c>
      <c r="B206" s="115"/>
      <c r="C206" s="116"/>
      <c r="D206" s="117"/>
      <c r="E206" s="117"/>
      <c r="F206" s="119"/>
      <c r="G206" s="114"/>
      <c r="H206" s="119"/>
      <c r="I206" s="119"/>
      <c r="J206" s="119"/>
      <c r="K206" s="119"/>
      <c r="L206" s="119"/>
      <c r="M206" s="119"/>
      <c r="N206" s="119"/>
      <c r="O206" s="119"/>
      <c r="P206" s="119"/>
    </row>
    <row r="207">
      <c r="A207" s="114">
        <v>206.0</v>
      </c>
      <c r="B207" s="115"/>
      <c r="C207" s="116"/>
      <c r="D207" s="117"/>
      <c r="E207" s="117"/>
      <c r="F207" s="119"/>
      <c r="G207" s="114"/>
      <c r="H207" s="119"/>
      <c r="I207" s="119"/>
      <c r="J207" s="119"/>
      <c r="K207" s="119"/>
      <c r="L207" s="119"/>
      <c r="M207" s="119"/>
      <c r="N207" s="119"/>
      <c r="O207" s="119"/>
      <c r="P207" s="119"/>
    </row>
    <row r="208">
      <c r="A208" s="114">
        <v>207.0</v>
      </c>
      <c r="B208" s="115"/>
      <c r="C208" s="116"/>
      <c r="D208" s="117"/>
      <c r="E208" s="117"/>
      <c r="F208" s="119"/>
      <c r="G208" s="114"/>
      <c r="H208" s="119"/>
      <c r="I208" s="119"/>
      <c r="J208" s="119"/>
      <c r="K208" s="119"/>
      <c r="L208" s="119"/>
      <c r="M208" s="119"/>
      <c r="N208" s="119"/>
      <c r="O208" s="119"/>
      <c r="P208" s="119"/>
    </row>
    <row r="209">
      <c r="A209" s="114">
        <v>208.0</v>
      </c>
      <c r="B209" s="115"/>
      <c r="C209" s="116"/>
      <c r="D209" s="117"/>
      <c r="E209" s="117"/>
      <c r="F209" s="119"/>
      <c r="G209" s="114"/>
      <c r="H209" s="119"/>
      <c r="I209" s="119"/>
      <c r="J209" s="119"/>
      <c r="K209" s="119"/>
      <c r="L209" s="119"/>
      <c r="M209" s="119"/>
      <c r="N209" s="119"/>
      <c r="O209" s="119"/>
      <c r="P209" s="119"/>
    </row>
    <row r="210">
      <c r="A210" s="114">
        <v>209.0</v>
      </c>
      <c r="B210" s="115"/>
      <c r="C210" s="116"/>
      <c r="D210" s="117"/>
      <c r="E210" s="117"/>
      <c r="F210" s="119"/>
      <c r="G210" s="114"/>
      <c r="H210" s="119"/>
      <c r="I210" s="119"/>
      <c r="J210" s="119"/>
      <c r="K210" s="119"/>
      <c r="L210" s="119"/>
      <c r="M210" s="119"/>
      <c r="N210" s="119"/>
      <c r="O210" s="119"/>
      <c r="P210" s="119"/>
    </row>
    <row r="211">
      <c r="A211" s="114">
        <v>210.0</v>
      </c>
      <c r="B211" s="115"/>
      <c r="C211" s="116"/>
      <c r="D211" s="117"/>
      <c r="E211" s="117"/>
      <c r="F211" s="119"/>
      <c r="G211" s="114"/>
      <c r="H211" s="119"/>
      <c r="I211" s="119"/>
      <c r="J211" s="119"/>
      <c r="K211" s="119"/>
      <c r="L211" s="119"/>
      <c r="M211" s="119"/>
      <c r="N211" s="119"/>
      <c r="O211" s="119"/>
      <c r="P211" s="119"/>
    </row>
    <row r="212">
      <c r="A212" s="114">
        <v>211.0</v>
      </c>
      <c r="B212" s="115"/>
      <c r="C212" s="116"/>
      <c r="D212" s="117"/>
      <c r="E212" s="117"/>
      <c r="F212" s="119"/>
      <c r="G212" s="114"/>
      <c r="H212" s="119"/>
      <c r="I212" s="119"/>
      <c r="J212" s="119"/>
      <c r="K212" s="119"/>
      <c r="L212" s="119"/>
      <c r="M212" s="119"/>
      <c r="N212" s="119"/>
      <c r="O212" s="119"/>
      <c r="P212" s="119"/>
    </row>
    <row r="213">
      <c r="A213" s="114">
        <v>212.0</v>
      </c>
      <c r="B213" s="115"/>
      <c r="C213" s="116"/>
      <c r="D213" s="117"/>
      <c r="E213" s="117"/>
      <c r="F213" s="119"/>
      <c r="G213" s="114"/>
      <c r="H213" s="119"/>
      <c r="I213" s="119"/>
      <c r="J213" s="119"/>
      <c r="K213" s="119"/>
      <c r="L213" s="119"/>
      <c r="M213" s="119"/>
      <c r="N213" s="119"/>
      <c r="O213" s="119"/>
      <c r="P213" s="119"/>
    </row>
    <row r="214">
      <c r="A214" s="114">
        <v>213.0</v>
      </c>
      <c r="B214" s="115"/>
      <c r="C214" s="116"/>
      <c r="D214" s="117"/>
      <c r="E214" s="117"/>
      <c r="F214" s="119"/>
      <c r="G214" s="114"/>
      <c r="H214" s="119"/>
      <c r="I214" s="119"/>
      <c r="J214" s="119"/>
      <c r="K214" s="119"/>
      <c r="L214" s="119"/>
      <c r="M214" s="119"/>
      <c r="N214" s="119"/>
      <c r="O214" s="119"/>
      <c r="P214" s="119"/>
    </row>
    <row r="215">
      <c r="A215" s="114">
        <v>214.0</v>
      </c>
      <c r="B215" s="115"/>
      <c r="C215" s="116"/>
      <c r="D215" s="117"/>
      <c r="E215" s="117"/>
      <c r="F215" s="119"/>
      <c r="G215" s="114"/>
      <c r="H215" s="119"/>
      <c r="I215" s="119"/>
      <c r="J215" s="119"/>
      <c r="K215" s="119"/>
      <c r="L215" s="119"/>
      <c r="M215" s="119"/>
      <c r="N215" s="119"/>
      <c r="O215" s="119"/>
      <c r="P215" s="119"/>
    </row>
    <row r="216">
      <c r="A216" s="114">
        <v>215.0</v>
      </c>
      <c r="B216" s="115"/>
      <c r="C216" s="116"/>
      <c r="D216" s="117"/>
      <c r="E216" s="117"/>
      <c r="F216" s="119"/>
      <c r="G216" s="114"/>
      <c r="H216" s="119"/>
      <c r="I216" s="119"/>
      <c r="J216" s="119"/>
      <c r="K216" s="119"/>
      <c r="L216" s="119"/>
      <c r="M216" s="119"/>
      <c r="N216" s="119"/>
      <c r="O216" s="119"/>
      <c r="P216" s="119"/>
    </row>
    <row r="217">
      <c r="A217" s="114">
        <v>216.0</v>
      </c>
      <c r="B217" s="115"/>
      <c r="C217" s="116"/>
      <c r="D217" s="117"/>
      <c r="E217" s="117"/>
      <c r="F217" s="119"/>
      <c r="G217" s="114"/>
      <c r="H217" s="119"/>
      <c r="I217" s="119"/>
      <c r="J217" s="119"/>
      <c r="K217" s="119"/>
      <c r="L217" s="119"/>
      <c r="M217" s="119"/>
      <c r="N217" s="119"/>
      <c r="O217" s="119"/>
      <c r="P217" s="119"/>
    </row>
    <row r="218">
      <c r="A218" s="114">
        <v>217.0</v>
      </c>
      <c r="B218" s="115"/>
      <c r="C218" s="116"/>
      <c r="D218" s="117"/>
      <c r="E218" s="117"/>
      <c r="F218" s="119"/>
      <c r="G218" s="114"/>
      <c r="H218" s="119"/>
      <c r="I218" s="119"/>
      <c r="J218" s="119"/>
      <c r="K218" s="119"/>
      <c r="L218" s="119"/>
      <c r="M218" s="119"/>
      <c r="N218" s="119"/>
      <c r="O218" s="119"/>
      <c r="P218" s="119"/>
    </row>
    <row r="219">
      <c r="A219" s="114">
        <v>218.0</v>
      </c>
      <c r="B219" s="115"/>
      <c r="C219" s="116"/>
      <c r="D219" s="117"/>
      <c r="E219" s="117"/>
      <c r="F219" s="119"/>
      <c r="G219" s="114"/>
      <c r="H219" s="119"/>
      <c r="I219" s="119"/>
      <c r="J219" s="119"/>
      <c r="K219" s="119"/>
      <c r="L219" s="119"/>
      <c r="M219" s="119"/>
      <c r="N219" s="119"/>
      <c r="O219" s="119"/>
      <c r="P219" s="119"/>
    </row>
    <row r="220">
      <c r="A220" s="114">
        <v>219.0</v>
      </c>
      <c r="B220" s="115"/>
      <c r="C220" s="116"/>
      <c r="D220" s="117"/>
      <c r="E220" s="117"/>
      <c r="F220" s="119"/>
      <c r="G220" s="114"/>
      <c r="H220" s="119"/>
      <c r="I220" s="119"/>
      <c r="J220" s="119"/>
      <c r="K220" s="119"/>
      <c r="L220" s="119"/>
      <c r="M220" s="119"/>
      <c r="N220" s="119"/>
      <c r="O220" s="119"/>
      <c r="P220" s="119"/>
    </row>
    <row r="221">
      <c r="A221" s="114">
        <v>220.0</v>
      </c>
      <c r="B221" s="115"/>
      <c r="C221" s="116"/>
      <c r="D221" s="117"/>
      <c r="E221" s="117"/>
      <c r="F221" s="119"/>
      <c r="G221" s="114"/>
      <c r="H221" s="119"/>
      <c r="I221" s="119"/>
      <c r="J221" s="119"/>
      <c r="K221" s="119"/>
      <c r="L221" s="119"/>
      <c r="M221" s="119"/>
      <c r="N221" s="119"/>
      <c r="O221" s="119"/>
      <c r="P221" s="119"/>
    </row>
    <row r="222">
      <c r="A222" s="114">
        <v>221.0</v>
      </c>
      <c r="B222" s="115"/>
      <c r="C222" s="116"/>
      <c r="D222" s="117"/>
      <c r="E222" s="117"/>
      <c r="F222" s="119"/>
      <c r="G222" s="114"/>
      <c r="H222" s="119"/>
      <c r="I222" s="119"/>
      <c r="J222" s="119"/>
      <c r="K222" s="119"/>
      <c r="L222" s="119"/>
      <c r="M222" s="119"/>
      <c r="N222" s="119"/>
      <c r="O222" s="119"/>
      <c r="P222" s="119"/>
    </row>
    <row r="223">
      <c r="A223" s="114">
        <v>222.0</v>
      </c>
      <c r="B223" s="115"/>
      <c r="C223" s="116"/>
      <c r="D223" s="117"/>
      <c r="E223" s="117"/>
      <c r="F223" s="119"/>
      <c r="G223" s="114"/>
      <c r="H223" s="119"/>
      <c r="I223" s="119"/>
      <c r="J223" s="119"/>
      <c r="K223" s="119"/>
      <c r="L223" s="119"/>
      <c r="M223" s="119"/>
      <c r="N223" s="119"/>
      <c r="O223" s="119"/>
      <c r="P223" s="119"/>
    </row>
    <row r="224">
      <c r="A224" s="114">
        <v>223.0</v>
      </c>
      <c r="B224" s="115"/>
      <c r="C224" s="116"/>
      <c r="D224" s="117"/>
      <c r="E224" s="117"/>
      <c r="F224" s="119"/>
      <c r="G224" s="114"/>
      <c r="H224" s="119"/>
      <c r="I224" s="119"/>
      <c r="J224" s="119"/>
      <c r="K224" s="119"/>
      <c r="L224" s="119"/>
      <c r="M224" s="119"/>
      <c r="N224" s="119"/>
      <c r="O224" s="119"/>
      <c r="P224" s="119"/>
    </row>
    <row r="225">
      <c r="A225" s="114">
        <v>224.0</v>
      </c>
      <c r="B225" s="115"/>
      <c r="C225" s="116"/>
      <c r="D225" s="117"/>
      <c r="E225" s="117"/>
      <c r="F225" s="119"/>
      <c r="G225" s="114"/>
      <c r="H225" s="119"/>
      <c r="I225" s="119"/>
      <c r="J225" s="119"/>
      <c r="K225" s="119"/>
      <c r="L225" s="119"/>
      <c r="M225" s="119"/>
      <c r="N225" s="119"/>
      <c r="O225" s="119"/>
      <c r="P225" s="119"/>
    </row>
    <row r="226">
      <c r="A226" s="114">
        <v>225.0</v>
      </c>
      <c r="B226" s="115"/>
      <c r="C226" s="116"/>
      <c r="D226" s="117"/>
      <c r="E226" s="117"/>
      <c r="F226" s="119"/>
      <c r="G226" s="114"/>
      <c r="H226" s="119"/>
      <c r="I226" s="119"/>
      <c r="J226" s="119"/>
      <c r="K226" s="119"/>
      <c r="L226" s="119"/>
      <c r="M226" s="119"/>
      <c r="N226" s="119"/>
      <c r="O226" s="119"/>
      <c r="P226" s="119"/>
    </row>
    <row r="227">
      <c r="A227" s="114">
        <v>226.0</v>
      </c>
      <c r="B227" s="115"/>
      <c r="C227" s="116"/>
      <c r="D227" s="117"/>
      <c r="E227" s="117"/>
      <c r="F227" s="119"/>
      <c r="G227" s="114"/>
      <c r="H227" s="119"/>
      <c r="I227" s="119"/>
      <c r="J227" s="119"/>
      <c r="K227" s="119"/>
      <c r="L227" s="119"/>
      <c r="M227" s="119"/>
      <c r="N227" s="119"/>
      <c r="O227" s="119"/>
      <c r="P227" s="119"/>
    </row>
    <row r="228">
      <c r="A228" s="114">
        <v>227.0</v>
      </c>
      <c r="B228" s="115"/>
      <c r="C228" s="116"/>
      <c r="D228" s="117"/>
      <c r="E228" s="117"/>
      <c r="F228" s="119"/>
      <c r="G228" s="114"/>
      <c r="H228" s="119"/>
      <c r="I228" s="119"/>
      <c r="J228" s="119"/>
      <c r="K228" s="119"/>
      <c r="L228" s="119"/>
      <c r="M228" s="119"/>
      <c r="N228" s="119"/>
      <c r="O228" s="119"/>
      <c r="P228" s="119"/>
    </row>
    <row r="229">
      <c r="A229" s="114">
        <v>228.0</v>
      </c>
      <c r="B229" s="115"/>
      <c r="C229" s="116"/>
      <c r="D229" s="117"/>
      <c r="E229" s="117"/>
      <c r="F229" s="119"/>
      <c r="G229" s="114"/>
      <c r="H229" s="119"/>
      <c r="I229" s="119"/>
      <c r="J229" s="119"/>
      <c r="K229" s="119"/>
      <c r="L229" s="119"/>
      <c r="M229" s="119"/>
      <c r="N229" s="119"/>
      <c r="O229" s="119"/>
      <c r="P229" s="119"/>
    </row>
    <row r="230">
      <c r="A230" s="114">
        <v>229.0</v>
      </c>
      <c r="B230" s="115"/>
      <c r="C230" s="116"/>
      <c r="D230" s="117"/>
      <c r="E230" s="117"/>
      <c r="F230" s="119"/>
      <c r="G230" s="114"/>
      <c r="H230" s="119"/>
      <c r="I230" s="119"/>
      <c r="J230" s="119"/>
      <c r="K230" s="119"/>
      <c r="L230" s="119"/>
      <c r="M230" s="119"/>
      <c r="N230" s="119"/>
      <c r="O230" s="119"/>
      <c r="P230" s="119"/>
    </row>
    <row r="231">
      <c r="A231" s="114">
        <v>230.0</v>
      </c>
      <c r="B231" s="115"/>
      <c r="C231" s="116"/>
      <c r="D231" s="117"/>
      <c r="E231" s="117"/>
      <c r="F231" s="119"/>
      <c r="G231" s="114"/>
      <c r="H231" s="119"/>
      <c r="I231" s="119"/>
      <c r="J231" s="119"/>
      <c r="K231" s="119"/>
      <c r="L231" s="119"/>
      <c r="M231" s="119"/>
      <c r="N231" s="119"/>
      <c r="O231" s="119"/>
      <c r="P231" s="119"/>
    </row>
    <row r="232">
      <c r="A232" s="114">
        <v>231.0</v>
      </c>
      <c r="B232" s="115"/>
      <c r="C232" s="116"/>
      <c r="D232" s="117"/>
      <c r="E232" s="117"/>
      <c r="F232" s="119"/>
      <c r="G232" s="114"/>
      <c r="H232" s="119"/>
      <c r="I232" s="119"/>
      <c r="J232" s="119"/>
      <c r="K232" s="119"/>
      <c r="L232" s="119"/>
      <c r="M232" s="119"/>
      <c r="N232" s="119"/>
      <c r="O232" s="119"/>
      <c r="P232" s="119"/>
    </row>
    <row r="233">
      <c r="A233" s="114">
        <v>232.0</v>
      </c>
      <c r="B233" s="115"/>
      <c r="C233" s="116"/>
      <c r="D233" s="117"/>
      <c r="E233" s="117"/>
      <c r="F233" s="119"/>
      <c r="G233" s="114"/>
      <c r="H233" s="119"/>
      <c r="I233" s="119"/>
      <c r="J233" s="119"/>
      <c r="K233" s="119"/>
      <c r="L233" s="119"/>
      <c r="M233" s="119"/>
      <c r="N233" s="119"/>
      <c r="O233" s="119"/>
      <c r="P233" s="119"/>
    </row>
    <row r="234">
      <c r="A234" s="114">
        <v>233.0</v>
      </c>
      <c r="B234" s="115"/>
      <c r="C234" s="116"/>
      <c r="D234" s="117"/>
      <c r="E234" s="117"/>
      <c r="F234" s="119"/>
      <c r="G234" s="114"/>
      <c r="H234" s="119"/>
      <c r="I234" s="119"/>
      <c r="J234" s="119"/>
      <c r="K234" s="119"/>
      <c r="L234" s="119"/>
      <c r="M234" s="119"/>
      <c r="N234" s="119"/>
      <c r="O234" s="119"/>
      <c r="P234" s="119"/>
    </row>
    <row r="235">
      <c r="A235" s="114">
        <v>234.0</v>
      </c>
      <c r="B235" s="115"/>
      <c r="C235" s="116"/>
      <c r="D235" s="117"/>
      <c r="E235" s="117"/>
      <c r="F235" s="119"/>
      <c r="G235" s="114"/>
      <c r="H235" s="119"/>
      <c r="I235" s="119"/>
      <c r="J235" s="119"/>
      <c r="K235" s="119"/>
      <c r="L235" s="119"/>
      <c r="M235" s="119"/>
      <c r="N235" s="119"/>
      <c r="O235" s="119"/>
      <c r="P235" s="119"/>
    </row>
    <row r="236">
      <c r="A236" s="114">
        <v>235.0</v>
      </c>
      <c r="B236" s="115"/>
      <c r="C236" s="116"/>
      <c r="D236" s="117"/>
      <c r="E236" s="117"/>
      <c r="F236" s="119"/>
      <c r="G236" s="114"/>
      <c r="H236" s="119"/>
      <c r="I236" s="119"/>
      <c r="J236" s="119"/>
      <c r="K236" s="119"/>
      <c r="L236" s="119"/>
      <c r="M236" s="119"/>
      <c r="N236" s="119"/>
      <c r="O236" s="119"/>
      <c r="P236" s="119"/>
    </row>
    <row r="237">
      <c r="A237" s="114">
        <v>236.0</v>
      </c>
      <c r="B237" s="115"/>
      <c r="C237" s="116"/>
      <c r="D237" s="117"/>
      <c r="E237" s="117"/>
      <c r="F237" s="119"/>
      <c r="G237" s="114"/>
      <c r="H237" s="119"/>
      <c r="I237" s="119"/>
      <c r="J237" s="119"/>
      <c r="K237" s="119"/>
      <c r="L237" s="119"/>
      <c r="M237" s="119"/>
      <c r="N237" s="119"/>
      <c r="O237" s="119"/>
      <c r="P237" s="119"/>
    </row>
    <row r="238">
      <c r="A238" s="114">
        <v>237.0</v>
      </c>
      <c r="B238" s="115"/>
      <c r="C238" s="116"/>
      <c r="D238" s="117"/>
      <c r="E238" s="117"/>
      <c r="F238" s="119"/>
      <c r="G238" s="114"/>
      <c r="H238" s="119"/>
      <c r="I238" s="119"/>
      <c r="J238" s="119"/>
      <c r="K238" s="119"/>
      <c r="L238" s="119"/>
      <c r="M238" s="119"/>
      <c r="N238" s="119"/>
      <c r="O238" s="119"/>
      <c r="P238" s="119"/>
    </row>
    <row r="239">
      <c r="A239" s="114">
        <v>238.0</v>
      </c>
      <c r="B239" s="115"/>
      <c r="C239" s="116"/>
      <c r="D239" s="117"/>
      <c r="E239" s="117"/>
      <c r="F239" s="119"/>
      <c r="G239" s="114"/>
      <c r="H239" s="119"/>
      <c r="I239" s="119"/>
      <c r="J239" s="119"/>
      <c r="K239" s="119"/>
      <c r="L239" s="119"/>
      <c r="M239" s="119"/>
      <c r="N239" s="119"/>
      <c r="O239" s="119"/>
      <c r="P239" s="119"/>
    </row>
    <row r="240">
      <c r="A240" s="114">
        <v>239.0</v>
      </c>
      <c r="B240" s="115"/>
      <c r="C240" s="116"/>
      <c r="D240" s="117"/>
      <c r="E240" s="117"/>
      <c r="F240" s="119"/>
      <c r="G240" s="114"/>
      <c r="H240" s="119"/>
      <c r="I240" s="119"/>
      <c r="J240" s="119"/>
      <c r="K240" s="119"/>
      <c r="L240" s="119"/>
      <c r="M240" s="119"/>
      <c r="N240" s="119"/>
      <c r="O240" s="119"/>
      <c r="P240" s="119"/>
    </row>
    <row r="241">
      <c r="A241" s="114">
        <v>240.0</v>
      </c>
      <c r="B241" s="115"/>
      <c r="C241" s="116"/>
      <c r="D241" s="117"/>
      <c r="E241" s="117"/>
      <c r="F241" s="119"/>
      <c r="G241" s="114"/>
      <c r="H241" s="119"/>
      <c r="I241" s="119"/>
      <c r="J241" s="119"/>
      <c r="K241" s="119"/>
      <c r="L241" s="119"/>
      <c r="M241" s="119"/>
      <c r="N241" s="119"/>
      <c r="O241" s="119"/>
      <c r="P241" s="119"/>
    </row>
    <row r="242">
      <c r="A242" s="114">
        <v>241.0</v>
      </c>
      <c r="B242" s="115"/>
      <c r="C242" s="116"/>
      <c r="D242" s="117"/>
      <c r="E242" s="117"/>
      <c r="F242" s="119"/>
      <c r="G242" s="114"/>
      <c r="H242" s="119"/>
      <c r="I242" s="119"/>
      <c r="J242" s="119"/>
      <c r="K242" s="119"/>
      <c r="L242" s="119"/>
      <c r="M242" s="119"/>
      <c r="N242" s="119"/>
      <c r="O242" s="119"/>
      <c r="P242" s="119"/>
    </row>
    <row r="243">
      <c r="A243" s="114">
        <v>242.0</v>
      </c>
      <c r="B243" s="115"/>
      <c r="C243" s="116"/>
      <c r="D243" s="117"/>
      <c r="E243" s="117"/>
      <c r="F243" s="119"/>
      <c r="G243" s="114"/>
      <c r="H243" s="119"/>
      <c r="I243" s="119"/>
      <c r="J243" s="119"/>
      <c r="K243" s="119"/>
      <c r="L243" s="119"/>
      <c r="M243" s="119"/>
      <c r="N243" s="119"/>
      <c r="O243" s="119"/>
      <c r="P243" s="119"/>
    </row>
    <row r="244">
      <c r="A244" s="114">
        <v>243.0</v>
      </c>
      <c r="B244" s="115"/>
      <c r="C244" s="116"/>
      <c r="D244" s="117"/>
      <c r="E244" s="117"/>
      <c r="F244" s="119"/>
      <c r="G244" s="114"/>
      <c r="H244" s="119"/>
      <c r="I244" s="119"/>
      <c r="J244" s="119"/>
      <c r="K244" s="119"/>
      <c r="L244" s="119"/>
      <c r="M244" s="119"/>
      <c r="N244" s="119"/>
      <c r="O244" s="119"/>
      <c r="P244" s="119"/>
    </row>
    <row r="245">
      <c r="A245" s="114">
        <v>244.0</v>
      </c>
      <c r="B245" s="115"/>
      <c r="C245" s="116"/>
      <c r="D245" s="117"/>
      <c r="E245" s="117"/>
      <c r="F245" s="119"/>
      <c r="G245" s="114"/>
      <c r="H245" s="119"/>
      <c r="I245" s="119"/>
      <c r="J245" s="119"/>
      <c r="K245" s="119"/>
      <c r="L245" s="119"/>
      <c r="M245" s="119"/>
      <c r="N245" s="119"/>
      <c r="O245" s="119"/>
      <c r="P245" s="119"/>
    </row>
    <row r="246">
      <c r="A246" s="114">
        <v>245.0</v>
      </c>
      <c r="B246" s="115"/>
      <c r="C246" s="116"/>
      <c r="D246" s="117"/>
      <c r="E246" s="117"/>
      <c r="F246" s="119"/>
      <c r="G246" s="114"/>
      <c r="H246" s="119"/>
      <c r="I246" s="119"/>
      <c r="J246" s="119"/>
      <c r="K246" s="119"/>
      <c r="L246" s="119"/>
      <c r="M246" s="119"/>
      <c r="N246" s="119"/>
      <c r="O246" s="119"/>
      <c r="P246" s="119"/>
    </row>
    <row r="247">
      <c r="A247" s="114">
        <v>246.0</v>
      </c>
      <c r="B247" s="115"/>
      <c r="C247" s="116"/>
      <c r="D247" s="117"/>
      <c r="E247" s="117"/>
      <c r="F247" s="119"/>
      <c r="G247" s="114"/>
      <c r="H247" s="119"/>
      <c r="I247" s="119"/>
      <c r="J247" s="119"/>
      <c r="K247" s="119"/>
      <c r="L247" s="119"/>
      <c r="M247" s="119"/>
      <c r="N247" s="119"/>
      <c r="O247" s="119"/>
      <c r="P247" s="119"/>
    </row>
    <row r="248">
      <c r="A248" s="114">
        <v>247.0</v>
      </c>
      <c r="B248" s="115"/>
      <c r="C248" s="116"/>
      <c r="D248" s="117"/>
      <c r="E248" s="117"/>
      <c r="F248" s="119"/>
      <c r="G248" s="114"/>
      <c r="H248" s="119"/>
      <c r="I248" s="119"/>
      <c r="J248" s="119"/>
      <c r="K248" s="119"/>
      <c r="L248" s="119"/>
      <c r="M248" s="119"/>
      <c r="N248" s="119"/>
      <c r="O248" s="119"/>
      <c r="P248" s="119"/>
    </row>
    <row r="249">
      <c r="A249" s="114">
        <v>248.0</v>
      </c>
      <c r="B249" s="115"/>
      <c r="C249" s="116"/>
      <c r="D249" s="117"/>
      <c r="E249" s="117"/>
      <c r="F249" s="119"/>
      <c r="G249" s="114"/>
      <c r="H249" s="119"/>
      <c r="I249" s="119"/>
      <c r="J249" s="119"/>
      <c r="K249" s="119"/>
      <c r="L249" s="119"/>
      <c r="M249" s="119"/>
      <c r="N249" s="119"/>
      <c r="O249" s="119"/>
      <c r="P249" s="119"/>
    </row>
    <row r="250">
      <c r="A250" s="114">
        <v>249.0</v>
      </c>
      <c r="B250" s="115"/>
      <c r="C250" s="116"/>
      <c r="D250" s="117"/>
      <c r="E250" s="117"/>
      <c r="F250" s="119"/>
      <c r="G250" s="114"/>
      <c r="H250" s="119"/>
      <c r="I250" s="119"/>
      <c r="J250" s="119"/>
      <c r="K250" s="119"/>
      <c r="L250" s="119"/>
      <c r="M250" s="119"/>
      <c r="N250" s="119"/>
      <c r="O250" s="119"/>
      <c r="P250" s="119"/>
    </row>
    <row r="251">
      <c r="A251" s="114">
        <v>250.0</v>
      </c>
      <c r="B251" s="115"/>
      <c r="C251" s="116"/>
      <c r="D251" s="117"/>
      <c r="E251" s="117"/>
      <c r="F251" s="119"/>
      <c r="G251" s="114"/>
      <c r="H251" s="119"/>
      <c r="I251" s="119"/>
      <c r="J251" s="119"/>
      <c r="K251" s="119"/>
      <c r="L251" s="119"/>
      <c r="M251" s="119"/>
      <c r="N251" s="119"/>
      <c r="O251" s="119"/>
      <c r="P251" s="119"/>
    </row>
    <row r="252">
      <c r="A252" s="114">
        <v>251.0</v>
      </c>
      <c r="B252" s="115"/>
      <c r="C252" s="116"/>
      <c r="D252" s="117"/>
      <c r="E252" s="117"/>
      <c r="F252" s="119"/>
      <c r="G252" s="114"/>
      <c r="H252" s="119"/>
      <c r="I252" s="119"/>
      <c r="J252" s="119"/>
      <c r="K252" s="119"/>
      <c r="L252" s="119"/>
      <c r="M252" s="119"/>
      <c r="N252" s="119"/>
      <c r="O252" s="119"/>
      <c r="P252" s="119"/>
    </row>
    <row r="253">
      <c r="A253" s="114">
        <v>252.0</v>
      </c>
      <c r="B253" s="115"/>
      <c r="C253" s="116"/>
      <c r="D253" s="117"/>
      <c r="E253" s="117"/>
      <c r="F253" s="119"/>
      <c r="G253" s="114"/>
      <c r="H253" s="119"/>
      <c r="I253" s="119"/>
      <c r="J253" s="119"/>
      <c r="K253" s="119"/>
      <c r="L253" s="119"/>
      <c r="M253" s="119"/>
      <c r="N253" s="119"/>
      <c r="O253" s="119"/>
      <c r="P253" s="119"/>
    </row>
    <row r="254">
      <c r="A254" s="114">
        <v>253.0</v>
      </c>
      <c r="B254" s="115"/>
      <c r="C254" s="116"/>
      <c r="D254" s="117"/>
      <c r="E254" s="117"/>
      <c r="F254" s="119"/>
      <c r="G254" s="114"/>
      <c r="H254" s="119"/>
      <c r="I254" s="119"/>
      <c r="J254" s="119"/>
      <c r="K254" s="119"/>
      <c r="L254" s="119"/>
      <c r="M254" s="119"/>
      <c r="N254" s="119"/>
      <c r="O254" s="119"/>
      <c r="P254" s="119"/>
    </row>
    <row r="255">
      <c r="A255" s="114">
        <v>254.0</v>
      </c>
      <c r="B255" s="115"/>
      <c r="C255" s="116"/>
      <c r="D255" s="117"/>
      <c r="E255" s="117"/>
      <c r="F255" s="119"/>
      <c r="G255" s="114"/>
      <c r="H255" s="119"/>
      <c r="I255" s="119"/>
      <c r="J255" s="119"/>
      <c r="K255" s="119"/>
      <c r="L255" s="119"/>
      <c r="M255" s="119"/>
      <c r="N255" s="119"/>
      <c r="O255" s="119"/>
      <c r="P255" s="119"/>
    </row>
    <row r="256">
      <c r="A256" s="114">
        <v>255.0</v>
      </c>
      <c r="B256" s="115"/>
      <c r="C256" s="116"/>
      <c r="D256" s="117"/>
      <c r="E256" s="117"/>
      <c r="F256" s="119"/>
      <c r="G256" s="114"/>
      <c r="H256" s="119"/>
      <c r="I256" s="119"/>
      <c r="J256" s="119"/>
      <c r="K256" s="119"/>
      <c r="L256" s="119"/>
      <c r="M256" s="119"/>
      <c r="N256" s="119"/>
      <c r="O256" s="119"/>
      <c r="P256" s="119"/>
    </row>
    <row r="257">
      <c r="A257" s="114">
        <v>256.0</v>
      </c>
      <c r="B257" s="115"/>
      <c r="C257" s="116"/>
      <c r="D257" s="117"/>
      <c r="E257" s="117"/>
      <c r="F257" s="119"/>
      <c r="G257" s="114"/>
      <c r="H257" s="119"/>
      <c r="I257" s="119"/>
      <c r="J257" s="119"/>
      <c r="K257" s="119"/>
      <c r="L257" s="119"/>
      <c r="M257" s="119"/>
      <c r="N257" s="119"/>
      <c r="O257" s="119"/>
      <c r="P257" s="119"/>
    </row>
    <row r="258">
      <c r="A258" s="114">
        <v>257.0</v>
      </c>
      <c r="B258" s="115"/>
      <c r="C258" s="116"/>
      <c r="D258" s="117"/>
      <c r="E258" s="117"/>
      <c r="F258" s="119"/>
      <c r="G258" s="114"/>
      <c r="H258" s="119"/>
      <c r="I258" s="119"/>
      <c r="J258" s="119"/>
      <c r="K258" s="119"/>
      <c r="L258" s="119"/>
      <c r="M258" s="119"/>
      <c r="N258" s="119"/>
      <c r="O258" s="119"/>
      <c r="P258" s="119"/>
    </row>
    <row r="259">
      <c r="A259" s="114">
        <v>258.0</v>
      </c>
      <c r="B259" s="115"/>
      <c r="C259" s="116"/>
      <c r="D259" s="117"/>
      <c r="E259" s="117"/>
      <c r="F259" s="119"/>
      <c r="G259" s="114"/>
      <c r="H259" s="119"/>
      <c r="I259" s="119"/>
      <c r="J259" s="119"/>
      <c r="K259" s="119"/>
      <c r="L259" s="119"/>
      <c r="M259" s="119"/>
      <c r="N259" s="119"/>
      <c r="O259" s="119"/>
      <c r="P259" s="119"/>
    </row>
    <row r="260">
      <c r="A260" s="114">
        <v>259.0</v>
      </c>
      <c r="B260" s="115"/>
      <c r="C260" s="116"/>
      <c r="D260" s="117"/>
      <c r="E260" s="117"/>
      <c r="F260" s="119"/>
      <c r="G260" s="114"/>
      <c r="H260" s="119"/>
      <c r="I260" s="119"/>
      <c r="J260" s="119"/>
      <c r="K260" s="119"/>
      <c r="L260" s="119"/>
      <c r="M260" s="119"/>
      <c r="N260" s="119"/>
      <c r="O260" s="119"/>
      <c r="P260" s="119"/>
    </row>
    <row r="261">
      <c r="A261" s="114">
        <v>260.0</v>
      </c>
      <c r="B261" s="115"/>
      <c r="C261" s="116"/>
      <c r="D261" s="117"/>
      <c r="E261" s="117"/>
      <c r="F261" s="119"/>
      <c r="G261" s="114"/>
      <c r="H261" s="119"/>
      <c r="I261" s="119"/>
      <c r="J261" s="119"/>
      <c r="K261" s="119"/>
      <c r="L261" s="119"/>
      <c r="M261" s="119"/>
      <c r="N261" s="119"/>
      <c r="O261" s="119"/>
      <c r="P261" s="119"/>
    </row>
    <row r="262">
      <c r="A262" s="114">
        <v>261.0</v>
      </c>
      <c r="B262" s="115"/>
      <c r="C262" s="116"/>
      <c r="D262" s="117"/>
      <c r="E262" s="117"/>
      <c r="F262" s="119"/>
      <c r="G262" s="114"/>
      <c r="H262" s="119"/>
      <c r="I262" s="119"/>
      <c r="J262" s="119"/>
      <c r="K262" s="119"/>
      <c r="L262" s="119"/>
      <c r="M262" s="119"/>
      <c r="N262" s="119"/>
      <c r="O262" s="119"/>
      <c r="P262" s="119"/>
    </row>
    <row r="263">
      <c r="A263" s="114">
        <v>262.0</v>
      </c>
      <c r="B263" s="115"/>
      <c r="C263" s="116"/>
      <c r="D263" s="117"/>
      <c r="E263" s="117"/>
      <c r="F263" s="119"/>
      <c r="G263" s="114"/>
      <c r="H263" s="119"/>
      <c r="I263" s="119"/>
      <c r="J263" s="119"/>
      <c r="K263" s="119"/>
      <c r="L263" s="119"/>
      <c r="M263" s="119"/>
      <c r="N263" s="119"/>
      <c r="O263" s="119"/>
      <c r="P263" s="119"/>
    </row>
    <row r="264">
      <c r="A264" s="114">
        <v>263.0</v>
      </c>
      <c r="B264" s="115"/>
      <c r="C264" s="116"/>
      <c r="D264" s="117"/>
      <c r="E264" s="117"/>
      <c r="F264" s="119"/>
      <c r="G264" s="114"/>
      <c r="H264" s="119"/>
      <c r="I264" s="119"/>
      <c r="J264" s="119"/>
      <c r="K264" s="119"/>
      <c r="L264" s="119"/>
      <c r="M264" s="119"/>
      <c r="N264" s="119"/>
      <c r="O264" s="119"/>
      <c r="P264" s="119"/>
    </row>
    <row r="265">
      <c r="A265" s="114">
        <v>264.0</v>
      </c>
      <c r="B265" s="115"/>
      <c r="C265" s="116"/>
      <c r="D265" s="117"/>
      <c r="E265" s="117"/>
      <c r="F265" s="119"/>
      <c r="G265" s="114"/>
      <c r="H265" s="119"/>
      <c r="I265" s="119"/>
      <c r="J265" s="119"/>
      <c r="K265" s="119"/>
      <c r="L265" s="119"/>
      <c r="M265" s="119"/>
      <c r="N265" s="119"/>
      <c r="O265" s="119"/>
      <c r="P265" s="119"/>
    </row>
    <row r="266">
      <c r="A266" s="114">
        <v>265.0</v>
      </c>
      <c r="B266" s="115"/>
      <c r="C266" s="116"/>
      <c r="D266" s="117"/>
      <c r="E266" s="117"/>
      <c r="F266" s="119"/>
      <c r="G266" s="114"/>
      <c r="H266" s="119"/>
      <c r="I266" s="119"/>
      <c r="J266" s="119"/>
      <c r="K266" s="119"/>
      <c r="L266" s="119"/>
      <c r="M266" s="119"/>
      <c r="N266" s="119"/>
      <c r="O266" s="119"/>
      <c r="P266" s="119"/>
    </row>
    <row r="267">
      <c r="A267" s="114">
        <v>266.0</v>
      </c>
      <c r="B267" s="115"/>
      <c r="C267" s="116"/>
      <c r="D267" s="117"/>
      <c r="E267" s="117"/>
      <c r="F267" s="119"/>
      <c r="G267" s="114"/>
      <c r="H267" s="119"/>
      <c r="I267" s="119"/>
      <c r="J267" s="119"/>
      <c r="K267" s="119"/>
      <c r="L267" s="119"/>
      <c r="M267" s="119"/>
      <c r="N267" s="119"/>
      <c r="O267" s="119"/>
      <c r="P267" s="119"/>
    </row>
    <row r="268">
      <c r="A268" s="114">
        <v>267.0</v>
      </c>
      <c r="B268" s="115"/>
      <c r="C268" s="116"/>
      <c r="D268" s="117"/>
      <c r="E268" s="117"/>
      <c r="F268" s="119"/>
      <c r="G268" s="114"/>
      <c r="H268" s="119"/>
      <c r="I268" s="119"/>
      <c r="J268" s="119"/>
      <c r="K268" s="119"/>
      <c r="L268" s="119"/>
      <c r="M268" s="119"/>
      <c r="N268" s="119"/>
      <c r="O268" s="119"/>
      <c r="P268" s="119"/>
    </row>
    <row r="269">
      <c r="A269" s="114">
        <v>268.0</v>
      </c>
      <c r="B269" s="115"/>
      <c r="C269" s="116"/>
      <c r="D269" s="117"/>
      <c r="E269" s="117"/>
      <c r="F269" s="119"/>
      <c r="G269" s="114"/>
      <c r="H269" s="119"/>
      <c r="I269" s="119"/>
      <c r="J269" s="119"/>
      <c r="K269" s="119"/>
      <c r="L269" s="119"/>
      <c r="M269" s="119"/>
      <c r="N269" s="119"/>
      <c r="O269" s="119"/>
      <c r="P269" s="119"/>
    </row>
    <row r="270">
      <c r="A270" s="114">
        <v>269.0</v>
      </c>
      <c r="B270" s="115"/>
      <c r="C270" s="116"/>
      <c r="D270" s="117"/>
      <c r="E270" s="117"/>
      <c r="F270" s="119"/>
      <c r="G270" s="114"/>
      <c r="H270" s="119"/>
      <c r="I270" s="119"/>
      <c r="J270" s="119"/>
      <c r="K270" s="119"/>
      <c r="L270" s="119"/>
      <c r="M270" s="119"/>
      <c r="N270" s="119"/>
      <c r="O270" s="119"/>
      <c r="P270" s="119"/>
    </row>
    <row r="271">
      <c r="A271" s="114">
        <v>270.0</v>
      </c>
      <c r="B271" s="115"/>
      <c r="C271" s="116"/>
      <c r="D271" s="117"/>
      <c r="E271" s="117"/>
      <c r="F271" s="119"/>
      <c r="G271" s="114"/>
      <c r="H271" s="119"/>
      <c r="I271" s="119"/>
      <c r="J271" s="119"/>
      <c r="K271" s="119"/>
      <c r="L271" s="119"/>
      <c r="M271" s="119"/>
      <c r="N271" s="119"/>
      <c r="O271" s="119"/>
      <c r="P271" s="119"/>
    </row>
    <row r="272">
      <c r="A272" s="114">
        <v>271.0</v>
      </c>
      <c r="B272" s="115"/>
      <c r="C272" s="116"/>
      <c r="D272" s="117"/>
      <c r="E272" s="117"/>
      <c r="F272" s="119"/>
      <c r="G272" s="114"/>
      <c r="H272" s="119"/>
      <c r="I272" s="119"/>
      <c r="J272" s="119"/>
      <c r="K272" s="119"/>
      <c r="L272" s="119"/>
      <c r="M272" s="119"/>
      <c r="N272" s="119"/>
      <c r="O272" s="119"/>
      <c r="P272" s="119"/>
    </row>
    <row r="273">
      <c r="A273" s="114">
        <v>272.0</v>
      </c>
      <c r="B273" s="115"/>
      <c r="C273" s="116"/>
      <c r="D273" s="117"/>
      <c r="E273" s="117"/>
      <c r="F273" s="119"/>
      <c r="G273" s="114"/>
      <c r="H273" s="119"/>
      <c r="I273" s="119"/>
      <c r="J273" s="119"/>
      <c r="K273" s="119"/>
      <c r="L273" s="119"/>
      <c r="M273" s="119"/>
      <c r="N273" s="119"/>
      <c r="O273" s="119"/>
      <c r="P273" s="119"/>
    </row>
    <row r="274">
      <c r="A274" s="114">
        <v>273.0</v>
      </c>
      <c r="B274" s="115"/>
      <c r="C274" s="116"/>
      <c r="D274" s="117"/>
      <c r="E274" s="117"/>
      <c r="F274" s="119"/>
      <c r="G274" s="114"/>
      <c r="H274" s="119"/>
      <c r="I274" s="119"/>
      <c r="J274" s="119"/>
      <c r="K274" s="119"/>
      <c r="L274" s="119"/>
      <c r="M274" s="119"/>
      <c r="N274" s="119"/>
      <c r="O274" s="119"/>
      <c r="P274" s="119"/>
    </row>
    <row r="275">
      <c r="A275" s="114">
        <v>274.0</v>
      </c>
      <c r="B275" s="115"/>
      <c r="C275" s="116"/>
      <c r="D275" s="117"/>
      <c r="E275" s="117"/>
      <c r="F275" s="119"/>
      <c r="G275" s="114"/>
      <c r="H275" s="119"/>
      <c r="I275" s="119"/>
      <c r="J275" s="119"/>
      <c r="K275" s="119"/>
      <c r="L275" s="119"/>
      <c r="M275" s="119"/>
      <c r="N275" s="119"/>
      <c r="O275" s="119"/>
      <c r="P275" s="119"/>
    </row>
    <row r="276">
      <c r="A276" s="114">
        <v>275.0</v>
      </c>
      <c r="B276" s="115"/>
      <c r="C276" s="116"/>
      <c r="D276" s="117"/>
      <c r="E276" s="117"/>
      <c r="F276" s="119"/>
      <c r="G276" s="114"/>
      <c r="H276" s="119"/>
      <c r="I276" s="119"/>
      <c r="J276" s="119"/>
      <c r="K276" s="119"/>
      <c r="L276" s="119"/>
      <c r="M276" s="119"/>
      <c r="N276" s="119"/>
      <c r="O276" s="119"/>
      <c r="P276" s="119"/>
    </row>
    <row r="277">
      <c r="A277" s="114">
        <v>276.0</v>
      </c>
      <c r="B277" s="115"/>
      <c r="C277" s="116"/>
      <c r="D277" s="117"/>
      <c r="E277" s="117"/>
      <c r="F277" s="119"/>
      <c r="G277" s="114"/>
      <c r="H277" s="119"/>
      <c r="I277" s="119"/>
      <c r="J277" s="119"/>
      <c r="K277" s="119"/>
      <c r="L277" s="119"/>
      <c r="M277" s="119"/>
      <c r="N277" s="119"/>
      <c r="O277" s="119"/>
      <c r="P277" s="119"/>
    </row>
    <row r="278">
      <c r="A278" s="114">
        <v>277.0</v>
      </c>
      <c r="B278" s="115"/>
      <c r="C278" s="116"/>
      <c r="D278" s="117"/>
      <c r="E278" s="117"/>
      <c r="F278" s="119"/>
      <c r="G278" s="114"/>
      <c r="H278" s="119"/>
      <c r="I278" s="119"/>
      <c r="J278" s="119"/>
      <c r="K278" s="119"/>
      <c r="L278" s="119"/>
      <c r="M278" s="119"/>
      <c r="N278" s="119"/>
      <c r="O278" s="119"/>
      <c r="P278" s="119"/>
    </row>
    <row r="279">
      <c r="A279" s="114">
        <v>278.0</v>
      </c>
      <c r="B279" s="115"/>
      <c r="C279" s="116"/>
      <c r="D279" s="117"/>
      <c r="E279" s="117"/>
      <c r="F279" s="119"/>
      <c r="G279" s="114"/>
      <c r="H279" s="119"/>
      <c r="I279" s="119"/>
      <c r="J279" s="119"/>
      <c r="K279" s="119"/>
      <c r="L279" s="119"/>
      <c r="M279" s="119"/>
      <c r="N279" s="119"/>
      <c r="O279" s="119"/>
      <c r="P279" s="119"/>
    </row>
    <row r="280">
      <c r="A280" s="114">
        <v>279.0</v>
      </c>
      <c r="B280" s="115"/>
      <c r="C280" s="116"/>
      <c r="D280" s="117"/>
      <c r="E280" s="117"/>
      <c r="F280" s="119"/>
      <c r="G280" s="114"/>
      <c r="H280" s="119"/>
      <c r="I280" s="119"/>
      <c r="J280" s="119"/>
      <c r="K280" s="119"/>
      <c r="L280" s="119"/>
      <c r="M280" s="119"/>
      <c r="N280" s="119"/>
      <c r="O280" s="119"/>
      <c r="P280" s="119"/>
    </row>
    <row r="281">
      <c r="A281" s="114">
        <v>280.0</v>
      </c>
      <c r="B281" s="115"/>
      <c r="C281" s="116"/>
      <c r="D281" s="117"/>
      <c r="E281" s="117"/>
      <c r="F281" s="119"/>
      <c r="G281" s="114"/>
      <c r="H281" s="119"/>
      <c r="I281" s="119"/>
      <c r="J281" s="119"/>
      <c r="K281" s="119"/>
      <c r="L281" s="119"/>
      <c r="M281" s="119"/>
      <c r="N281" s="119"/>
      <c r="O281" s="119"/>
      <c r="P281" s="119"/>
    </row>
    <row r="282">
      <c r="A282" s="114">
        <v>281.0</v>
      </c>
      <c r="B282" s="115"/>
      <c r="C282" s="116"/>
      <c r="D282" s="117"/>
      <c r="E282" s="117"/>
      <c r="F282" s="119"/>
      <c r="G282" s="114"/>
      <c r="H282" s="119"/>
      <c r="I282" s="119"/>
      <c r="J282" s="119"/>
      <c r="K282" s="119"/>
      <c r="L282" s="119"/>
      <c r="M282" s="119"/>
      <c r="N282" s="119"/>
      <c r="O282" s="119"/>
      <c r="P282" s="119"/>
    </row>
    <row r="283">
      <c r="A283" s="114">
        <v>282.0</v>
      </c>
      <c r="B283" s="115"/>
      <c r="C283" s="116"/>
      <c r="D283" s="117"/>
      <c r="E283" s="117"/>
      <c r="F283" s="119"/>
      <c r="G283" s="114"/>
      <c r="H283" s="119"/>
      <c r="I283" s="119"/>
      <c r="J283" s="119"/>
      <c r="K283" s="119"/>
      <c r="L283" s="119"/>
      <c r="M283" s="119"/>
      <c r="N283" s="119"/>
      <c r="O283" s="119"/>
      <c r="P283" s="119"/>
    </row>
    <row r="284">
      <c r="A284" s="114">
        <v>283.0</v>
      </c>
      <c r="B284" s="115"/>
      <c r="C284" s="116"/>
      <c r="D284" s="117"/>
      <c r="E284" s="117"/>
      <c r="F284" s="119"/>
      <c r="G284" s="114"/>
      <c r="H284" s="119"/>
      <c r="I284" s="119"/>
      <c r="J284" s="119"/>
      <c r="K284" s="119"/>
      <c r="L284" s="119"/>
      <c r="M284" s="119"/>
      <c r="N284" s="119"/>
      <c r="O284" s="119"/>
      <c r="P284" s="119"/>
    </row>
    <row r="285">
      <c r="A285" s="114">
        <v>284.0</v>
      </c>
      <c r="B285" s="115"/>
      <c r="C285" s="116"/>
      <c r="D285" s="117"/>
      <c r="E285" s="117"/>
      <c r="F285" s="119"/>
      <c r="G285" s="114"/>
      <c r="H285" s="119"/>
      <c r="I285" s="119"/>
      <c r="J285" s="119"/>
      <c r="K285" s="119"/>
      <c r="L285" s="119"/>
      <c r="M285" s="119"/>
      <c r="N285" s="119"/>
      <c r="O285" s="119"/>
      <c r="P285" s="119"/>
    </row>
    <row r="286">
      <c r="A286" s="114">
        <v>285.0</v>
      </c>
      <c r="B286" s="115"/>
      <c r="C286" s="116"/>
      <c r="D286" s="117"/>
      <c r="E286" s="117"/>
      <c r="F286" s="119"/>
      <c r="G286" s="114"/>
      <c r="H286" s="119"/>
      <c r="I286" s="119"/>
      <c r="J286" s="119"/>
      <c r="K286" s="119"/>
      <c r="L286" s="119"/>
      <c r="M286" s="119"/>
      <c r="N286" s="119"/>
      <c r="O286" s="119"/>
      <c r="P286" s="119"/>
    </row>
    <row r="287">
      <c r="A287" s="114">
        <v>286.0</v>
      </c>
      <c r="B287" s="115"/>
      <c r="C287" s="116"/>
      <c r="D287" s="117"/>
      <c r="E287" s="117"/>
      <c r="F287" s="119"/>
      <c r="G287" s="114"/>
      <c r="H287" s="119"/>
      <c r="I287" s="119"/>
      <c r="J287" s="119"/>
      <c r="K287" s="119"/>
      <c r="L287" s="119"/>
      <c r="M287" s="119"/>
      <c r="N287" s="119"/>
      <c r="O287" s="119"/>
      <c r="P287" s="119"/>
    </row>
    <row r="288">
      <c r="A288" s="114">
        <v>287.0</v>
      </c>
      <c r="B288" s="115"/>
      <c r="C288" s="116"/>
      <c r="D288" s="117"/>
      <c r="E288" s="117"/>
      <c r="F288" s="119"/>
      <c r="G288" s="114"/>
      <c r="H288" s="119"/>
      <c r="I288" s="119"/>
      <c r="J288" s="119"/>
      <c r="K288" s="119"/>
      <c r="L288" s="119"/>
      <c r="M288" s="119"/>
      <c r="N288" s="119"/>
      <c r="O288" s="119"/>
      <c r="P288" s="119"/>
    </row>
    <row r="289">
      <c r="A289" s="114">
        <v>288.0</v>
      </c>
      <c r="B289" s="115"/>
      <c r="C289" s="116"/>
      <c r="D289" s="117"/>
      <c r="E289" s="117"/>
      <c r="F289" s="119"/>
      <c r="G289" s="114"/>
      <c r="H289" s="119"/>
      <c r="I289" s="119"/>
      <c r="J289" s="119"/>
      <c r="K289" s="119"/>
      <c r="L289" s="119"/>
      <c r="M289" s="119"/>
      <c r="N289" s="119"/>
      <c r="O289" s="119"/>
      <c r="P289" s="119"/>
    </row>
    <row r="290">
      <c r="A290" s="114">
        <v>289.0</v>
      </c>
      <c r="B290" s="115"/>
      <c r="C290" s="116"/>
      <c r="D290" s="117"/>
      <c r="E290" s="117"/>
      <c r="F290" s="119"/>
      <c r="G290" s="114"/>
      <c r="H290" s="119"/>
      <c r="I290" s="119"/>
      <c r="J290" s="119"/>
      <c r="K290" s="119"/>
      <c r="L290" s="119"/>
      <c r="M290" s="119"/>
      <c r="N290" s="119"/>
      <c r="O290" s="119"/>
      <c r="P290" s="119"/>
    </row>
    <row r="291">
      <c r="A291" s="114">
        <v>290.0</v>
      </c>
      <c r="B291" s="115"/>
      <c r="C291" s="116"/>
      <c r="D291" s="117"/>
      <c r="E291" s="117"/>
      <c r="F291" s="119"/>
      <c r="G291" s="114"/>
      <c r="H291" s="119"/>
      <c r="I291" s="119"/>
      <c r="J291" s="119"/>
      <c r="K291" s="119"/>
      <c r="L291" s="119"/>
      <c r="M291" s="119"/>
      <c r="N291" s="119"/>
      <c r="O291" s="119"/>
      <c r="P291" s="119"/>
    </row>
    <row r="292">
      <c r="A292" s="114">
        <v>291.0</v>
      </c>
      <c r="B292" s="115"/>
      <c r="C292" s="116"/>
      <c r="D292" s="117"/>
      <c r="E292" s="117"/>
      <c r="F292" s="119"/>
      <c r="G292" s="114"/>
      <c r="H292" s="119"/>
      <c r="I292" s="119"/>
      <c r="J292" s="119"/>
      <c r="K292" s="119"/>
      <c r="L292" s="119"/>
      <c r="M292" s="119"/>
      <c r="N292" s="119"/>
      <c r="O292" s="119"/>
      <c r="P292" s="119"/>
    </row>
    <row r="293">
      <c r="A293" s="114">
        <v>292.0</v>
      </c>
      <c r="B293" s="115"/>
      <c r="C293" s="116"/>
      <c r="D293" s="117"/>
      <c r="E293" s="117"/>
      <c r="F293" s="119"/>
      <c r="G293" s="114"/>
      <c r="H293" s="119"/>
      <c r="I293" s="119"/>
      <c r="J293" s="119"/>
      <c r="K293" s="119"/>
      <c r="L293" s="119"/>
      <c r="M293" s="119"/>
      <c r="N293" s="119"/>
      <c r="O293" s="119"/>
      <c r="P293" s="119"/>
    </row>
    <row r="294">
      <c r="A294" s="114">
        <v>293.0</v>
      </c>
      <c r="B294" s="115"/>
      <c r="C294" s="116"/>
      <c r="D294" s="117"/>
      <c r="E294" s="117"/>
      <c r="F294" s="119"/>
      <c r="G294" s="114"/>
      <c r="H294" s="119"/>
      <c r="I294" s="119"/>
      <c r="J294" s="119"/>
      <c r="K294" s="119"/>
      <c r="L294" s="119"/>
      <c r="M294" s="119"/>
      <c r="N294" s="119"/>
      <c r="O294" s="119"/>
      <c r="P294" s="119"/>
    </row>
    <row r="295">
      <c r="A295" s="114">
        <v>294.0</v>
      </c>
      <c r="B295" s="115"/>
      <c r="C295" s="116"/>
      <c r="D295" s="117"/>
      <c r="E295" s="117"/>
      <c r="F295" s="119"/>
      <c r="G295" s="114"/>
      <c r="H295" s="119"/>
      <c r="I295" s="119"/>
      <c r="J295" s="119"/>
      <c r="K295" s="119"/>
      <c r="L295" s="119"/>
      <c r="M295" s="119"/>
      <c r="N295" s="119"/>
      <c r="O295" s="119"/>
      <c r="P295" s="119"/>
    </row>
    <row r="296">
      <c r="A296" s="114">
        <v>295.0</v>
      </c>
      <c r="B296" s="115"/>
      <c r="C296" s="116"/>
      <c r="D296" s="117"/>
      <c r="E296" s="117"/>
      <c r="F296" s="119"/>
      <c r="G296" s="114"/>
      <c r="H296" s="119"/>
      <c r="I296" s="119"/>
      <c r="J296" s="119"/>
      <c r="K296" s="119"/>
      <c r="L296" s="119"/>
      <c r="M296" s="119"/>
      <c r="N296" s="119"/>
      <c r="O296" s="119"/>
      <c r="P296" s="119"/>
    </row>
    <row r="297">
      <c r="A297" s="114">
        <v>296.0</v>
      </c>
      <c r="B297" s="115"/>
      <c r="C297" s="116"/>
      <c r="D297" s="117"/>
      <c r="E297" s="117"/>
      <c r="F297" s="119"/>
      <c r="G297" s="114"/>
      <c r="H297" s="119"/>
      <c r="I297" s="119"/>
      <c r="J297" s="119"/>
      <c r="K297" s="119"/>
      <c r="L297" s="119"/>
      <c r="M297" s="119"/>
      <c r="N297" s="119"/>
      <c r="O297" s="119"/>
      <c r="P297" s="119"/>
    </row>
    <row r="298">
      <c r="A298" s="114">
        <v>297.0</v>
      </c>
      <c r="B298" s="115"/>
      <c r="C298" s="116"/>
      <c r="D298" s="117"/>
      <c r="E298" s="117"/>
      <c r="F298" s="119"/>
      <c r="G298" s="114"/>
      <c r="H298" s="119"/>
      <c r="I298" s="119"/>
      <c r="J298" s="119"/>
      <c r="K298" s="119"/>
      <c r="L298" s="119"/>
      <c r="M298" s="119"/>
      <c r="N298" s="119"/>
      <c r="O298" s="119"/>
      <c r="P298" s="119"/>
    </row>
    <row r="299">
      <c r="A299" s="114">
        <v>298.0</v>
      </c>
      <c r="B299" s="115"/>
      <c r="C299" s="116"/>
      <c r="D299" s="117"/>
      <c r="E299" s="117"/>
      <c r="F299" s="119"/>
      <c r="G299" s="114"/>
      <c r="H299" s="119"/>
      <c r="I299" s="119"/>
      <c r="J299" s="119"/>
      <c r="K299" s="119"/>
      <c r="L299" s="119"/>
      <c r="M299" s="119"/>
      <c r="N299" s="119"/>
      <c r="O299" s="119"/>
      <c r="P299" s="119"/>
    </row>
    <row r="300">
      <c r="A300" s="114">
        <v>299.0</v>
      </c>
      <c r="B300" s="115"/>
      <c r="C300" s="116"/>
      <c r="D300" s="117"/>
      <c r="E300" s="117"/>
      <c r="F300" s="119"/>
      <c r="G300" s="114"/>
      <c r="H300" s="119"/>
      <c r="I300" s="119"/>
      <c r="J300" s="119"/>
      <c r="K300" s="119"/>
      <c r="L300" s="119"/>
      <c r="M300" s="119"/>
      <c r="N300" s="119"/>
      <c r="O300" s="119"/>
      <c r="P300" s="119"/>
    </row>
    <row r="301">
      <c r="A301" s="114">
        <v>300.0</v>
      </c>
      <c r="B301" s="115"/>
      <c r="C301" s="116"/>
      <c r="D301" s="117"/>
      <c r="E301" s="117"/>
      <c r="F301" s="119"/>
      <c r="G301" s="114"/>
      <c r="H301" s="119"/>
      <c r="I301" s="119"/>
      <c r="J301" s="119"/>
      <c r="K301" s="119"/>
      <c r="L301" s="119"/>
      <c r="M301" s="119"/>
      <c r="N301" s="119"/>
      <c r="O301" s="119"/>
      <c r="P301" s="119"/>
    </row>
    <row r="302">
      <c r="A302" s="114">
        <v>301.0</v>
      </c>
      <c r="B302" s="115"/>
      <c r="C302" s="116"/>
      <c r="D302" s="117"/>
      <c r="E302" s="117"/>
      <c r="F302" s="119"/>
      <c r="G302" s="114"/>
      <c r="H302" s="119"/>
      <c r="I302" s="119"/>
      <c r="J302" s="119"/>
      <c r="K302" s="119"/>
      <c r="L302" s="119"/>
      <c r="M302" s="119"/>
      <c r="N302" s="119"/>
      <c r="O302" s="119"/>
      <c r="P302" s="119"/>
    </row>
    <row r="303">
      <c r="A303" s="114">
        <v>302.0</v>
      </c>
      <c r="B303" s="115"/>
      <c r="C303" s="116"/>
      <c r="D303" s="117"/>
      <c r="E303" s="117"/>
      <c r="F303" s="119"/>
      <c r="G303" s="114"/>
      <c r="H303" s="119"/>
      <c r="I303" s="119"/>
      <c r="J303" s="119"/>
      <c r="K303" s="119"/>
      <c r="L303" s="119"/>
      <c r="M303" s="119"/>
      <c r="N303" s="119"/>
      <c r="O303" s="119"/>
      <c r="P303" s="119"/>
    </row>
    <row r="304">
      <c r="A304" s="114">
        <v>303.0</v>
      </c>
      <c r="B304" s="115"/>
      <c r="C304" s="116"/>
      <c r="D304" s="117"/>
      <c r="E304" s="117"/>
      <c r="F304" s="119"/>
      <c r="G304" s="114"/>
      <c r="H304" s="119"/>
      <c r="I304" s="119"/>
      <c r="J304" s="119"/>
      <c r="K304" s="119"/>
      <c r="L304" s="119"/>
      <c r="M304" s="119"/>
      <c r="N304" s="119"/>
      <c r="O304" s="119"/>
      <c r="P304" s="119"/>
    </row>
    <row r="305">
      <c r="A305" s="114">
        <v>304.0</v>
      </c>
      <c r="B305" s="115"/>
      <c r="C305" s="116"/>
      <c r="D305" s="117"/>
      <c r="E305" s="117"/>
      <c r="F305" s="119"/>
      <c r="G305" s="114"/>
      <c r="H305" s="119"/>
      <c r="I305" s="119"/>
      <c r="J305" s="119"/>
      <c r="K305" s="119"/>
      <c r="L305" s="119"/>
      <c r="M305" s="119"/>
      <c r="N305" s="119"/>
      <c r="O305" s="119"/>
      <c r="P305" s="119"/>
    </row>
    <row r="306">
      <c r="A306" s="114">
        <v>305.0</v>
      </c>
      <c r="B306" s="115"/>
      <c r="C306" s="116"/>
      <c r="D306" s="117"/>
      <c r="E306" s="117"/>
      <c r="F306" s="119"/>
      <c r="G306" s="114"/>
      <c r="H306" s="119"/>
      <c r="I306" s="119"/>
      <c r="J306" s="119"/>
      <c r="K306" s="119"/>
      <c r="L306" s="119"/>
      <c r="M306" s="119"/>
      <c r="N306" s="119"/>
      <c r="O306" s="119"/>
      <c r="P306" s="119"/>
    </row>
    <row r="307">
      <c r="A307" s="114">
        <v>306.0</v>
      </c>
      <c r="B307" s="115"/>
      <c r="C307" s="116"/>
      <c r="D307" s="117"/>
      <c r="E307" s="117"/>
      <c r="F307" s="119"/>
      <c r="G307" s="114"/>
      <c r="H307" s="119"/>
      <c r="I307" s="119"/>
      <c r="J307" s="119"/>
      <c r="K307" s="119"/>
      <c r="L307" s="119"/>
      <c r="M307" s="119"/>
      <c r="N307" s="119"/>
      <c r="O307" s="119"/>
      <c r="P307" s="119"/>
    </row>
    <row r="308">
      <c r="A308" s="114">
        <v>307.0</v>
      </c>
      <c r="B308" s="115"/>
      <c r="C308" s="116"/>
      <c r="D308" s="117"/>
      <c r="E308" s="117"/>
      <c r="F308" s="119"/>
      <c r="G308" s="114"/>
      <c r="H308" s="119"/>
      <c r="I308" s="119"/>
      <c r="J308" s="119"/>
      <c r="K308" s="119"/>
      <c r="L308" s="119"/>
      <c r="M308" s="119"/>
      <c r="N308" s="119"/>
      <c r="O308" s="119"/>
      <c r="P308" s="119"/>
    </row>
    <row r="309">
      <c r="A309" s="114">
        <v>308.0</v>
      </c>
      <c r="B309" s="115"/>
      <c r="C309" s="116"/>
      <c r="D309" s="117"/>
      <c r="E309" s="117"/>
      <c r="F309" s="119"/>
      <c r="G309" s="114"/>
      <c r="H309" s="119"/>
      <c r="I309" s="119"/>
      <c r="J309" s="119"/>
      <c r="K309" s="119"/>
      <c r="L309" s="119"/>
      <c r="M309" s="119"/>
      <c r="N309" s="119"/>
      <c r="O309" s="119"/>
      <c r="P309" s="119"/>
    </row>
    <row r="310">
      <c r="A310" s="114">
        <v>309.0</v>
      </c>
      <c r="B310" s="115"/>
      <c r="C310" s="116"/>
      <c r="D310" s="117"/>
      <c r="E310" s="117"/>
      <c r="F310" s="119"/>
      <c r="G310" s="114"/>
      <c r="H310" s="119"/>
      <c r="I310" s="119"/>
      <c r="J310" s="119"/>
      <c r="K310" s="119"/>
      <c r="L310" s="119"/>
      <c r="M310" s="119"/>
      <c r="N310" s="119"/>
      <c r="O310" s="119"/>
      <c r="P310" s="119"/>
    </row>
    <row r="311">
      <c r="A311" s="114">
        <v>310.0</v>
      </c>
      <c r="B311" s="115"/>
      <c r="C311" s="116"/>
      <c r="D311" s="117"/>
      <c r="E311" s="117"/>
      <c r="F311" s="119"/>
      <c r="G311" s="114"/>
      <c r="H311" s="119"/>
      <c r="I311" s="119"/>
      <c r="J311" s="119"/>
      <c r="K311" s="119"/>
      <c r="L311" s="119"/>
      <c r="M311" s="119"/>
      <c r="N311" s="119"/>
      <c r="O311" s="119"/>
      <c r="P311" s="119"/>
    </row>
    <row r="312">
      <c r="A312" s="114">
        <v>311.0</v>
      </c>
      <c r="B312" s="115"/>
      <c r="C312" s="116"/>
      <c r="D312" s="117"/>
      <c r="E312" s="117"/>
      <c r="F312" s="119"/>
      <c r="G312" s="114"/>
      <c r="H312" s="119"/>
      <c r="I312" s="119"/>
      <c r="J312" s="119"/>
      <c r="K312" s="119"/>
      <c r="L312" s="119"/>
      <c r="M312" s="119"/>
      <c r="N312" s="119"/>
      <c r="O312" s="119"/>
      <c r="P312" s="119"/>
    </row>
    <row r="313">
      <c r="A313" s="114">
        <v>312.0</v>
      </c>
      <c r="B313" s="115"/>
      <c r="C313" s="116"/>
      <c r="D313" s="117"/>
      <c r="E313" s="117"/>
      <c r="F313" s="119"/>
      <c r="G313" s="114"/>
      <c r="H313" s="119"/>
      <c r="I313" s="119"/>
      <c r="J313" s="119"/>
      <c r="K313" s="119"/>
      <c r="L313" s="119"/>
      <c r="M313" s="119"/>
      <c r="N313" s="119"/>
      <c r="O313" s="119"/>
      <c r="P313" s="119"/>
    </row>
    <row r="314">
      <c r="A314" s="114">
        <v>313.0</v>
      </c>
      <c r="B314" s="115"/>
      <c r="C314" s="116"/>
      <c r="D314" s="117"/>
      <c r="E314" s="117"/>
      <c r="F314" s="119"/>
      <c r="G314" s="114"/>
      <c r="H314" s="119"/>
      <c r="I314" s="119"/>
      <c r="J314" s="119"/>
      <c r="K314" s="119"/>
      <c r="L314" s="119"/>
      <c r="M314" s="119"/>
      <c r="N314" s="119"/>
      <c r="O314" s="119"/>
      <c r="P314" s="119"/>
    </row>
    <row r="315">
      <c r="A315" s="114">
        <v>314.0</v>
      </c>
      <c r="B315" s="115"/>
      <c r="C315" s="116"/>
      <c r="D315" s="117"/>
      <c r="E315" s="117"/>
      <c r="F315" s="119"/>
      <c r="G315" s="114"/>
      <c r="H315" s="119"/>
      <c r="I315" s="119"/>
      <c r="J315" s="119"/>
      <c r="K315" s="119"/>
      <c r="L315" s="119"/>
      <c r="M315" s="119"/>
      <c r="N315" s="119"/>
      <c r="O315" s="119"/>
      <c r="P315" s="119"/>
    </row>
    <row r="316">
      <c r="A316" s="114">
        <v>315.0</v>
      </c>
      <c r="B316" s="115"/>
      <c r="C316" s="116"/>
      <c r="D316" s="117"/>
      <c r="E316" s="117"/>
      <c r="F316" s="119"/>
      <c r="G316" s="114"/>
      <c r="H316" s="119"/>
      <c r="I316" s="119"/>
      <c r="J316" s="119"/>
      <c r="K316" s="119"/>
      <c r="L316" s="119"/>
      <c r="M316" s="119"/>
      <c r="N316" s="119"/>
      <c r="O316" s="119"/>
      <c r="P316" s="119"/>
    </row>
    <row r="317">
      <c r="A317" s="114">
        <v>316.0</v>
      </c>
      <c r="B317" s="115"/>
      <c r="C317" s="116"/>
      <c r="D317" s="117"/>
      <c r="E317" s="117"/>
      <c r="F317" s="119"/>
      <c r="G317" s="114"/>
      <c r="H317" s="119"/>
      <c r="I317" s="119"/>
      <c r="J317" s="119"/>
      <c r="K317" s="119"/>
      <c r="L317" s="119"/>
      <c r="M317" s="119"/>
      <c r="N317" s="119"/>
      <c r="O317" s="119"/>
      <c r="P317" s="119"/>
    </row>
    <row r="318">
      <c r="A318" s="114">
        <v>317.0</v>
      </c>
      <c r="B318" s="115"/>
      <c r="C318" s="116"/>
      <c r="D318" s="117"/>
      <c r="E318" s="117"/>
      <c r="F318" s="119"/>
      <c r="G318" s="114"/>
      <c r="H318" s="119"/>
      <c r="I318" s="119"/>
      <c r="J318" s="119"/>
      <c r="K318" s="119"/>
      <c r="L318" s="119"/>
      <c r="M318" s="119"/>
      <c r="N318" s="119"/>
      <c r="O318" s="119"/>
      <c r="P318" s="119"/>
    </row>
    <row r="319">
      <c r="A319" s="114">
        <v>318.0</v>
      </c>
      <c r="B319" s="115"/>
      <c r="C319" s="116"/>
      <c r="D319" s="117"/>
      <c r="E319" s="117"/>
      <c r="F319" s="119"/>
      <c r="G319" s="114"/>
      <c r="H319" s="119"/>
      <c r="I319" s="119"/>
      <c r="J319" s="119"/>
      <c r="K319" s="119"/>
      <c r="L319" s="119"/>
      <c r="M319" s="119"/>
      <c r="N319" s="119"/>
      <c r="O319" s="119"/>
      <c r="P319" s="119"/>
    </row>
    <row r="320">
      <c r="A320" s="114">
        <v>319.0</v>
      </c>
      <c r="B320" s="115"/>
      <c r="C320" s="116"/>
      <c r="D320" s="117"/>
      <c r="E320" s="117"/>
      <c r="F320" s="119"/>
      <c r="G320" s="114"/>
      <c r="H320" s="119"/>
      <c r="I320" s="119"/>
      <c r="J320" s="119"/>
      <c r="K320" s="119"/>
      <c r="L320" s="119"/>
      <c r="M320" s="119"/>
      <c r="N320" s="119"/>
      <c r="O320" s="119"/>
      <c r="P320" s="119"/>
    </row>
    <row r="321">
      <c r="A321" s="114">
        <v>320.0</v>
      </c>
      <c r="B321" s="115"/>
      <c r="C321" s="116"/>
      <c r="D321" s="117"/>
      <c r="E321" s="117"/>
      <c r="F321" s="119"/>
      <c r="G321" s="114"/>
      <c r="H321" s="119"/>
      <c r="I321" s="119"/>
      <c r="J321" s="119"/>
      <c r="K321" s="119"/>
      <c r="L321" s="119"/>
      <c r="M321" s="119"/>
      <c r="N321" s="119"/>
      <c r="O321" s="119"/>
      <c r="P321" s="119"/>
    </row>
    <row r="322">
      <c r="A322" s="114">
        <v>321.0</v>
      </c>
      <c r="B322" s="115"/>
      <c r="C322" s="116"/>
      <c r="D322" s="117"/>
      <c r="E322" s="117"/>
      <c r="F322" s="119"/>
      <c r="G322" s="114"/>
      <c r="H322" s="119"/>
      <c r="I322" s="119"/>
      <c r="J322" s="119"/>
      <c r="K322" s="119"/>
      <c r="L322" s="119"/>
      <c r="M322" s="119"/>
      <c r="N322" s="119"/>
      <c r="O322" s="119"/>
      <c r="P322" s="119"/>
    </row>
    <row r="323">
      <c r="A323" s="114">
        <v>322.0</v>
      </c>
      <c r="B323" s="115"/>
      <c r="C323" s="116"/>
      <c r="D323" s="117"/>
      <c r="E323" s="117"/>
      <c r="F323" s="119"/>
      <c r="G323" s="114"/>
      <c r="H323" s="119"/>
      <c r="I323" s="119"/>
      <c r="J323" s="119"/>
      <c r="K323" s="119"/>
      <c r="L323" s="119"/>
      <c r="M323" s="119"/>
      <c r="N323" s="119"/>
      <c r="O323" s="119"/>
      <c r="P323" s="119"/>
    </row>
    <row r="324">
      <c r="A324" s="114">
        <v>323.0</v>
      </c>
      <c r="B324" s="115"/>
      <c r="C324" s="116"/>
      <c r="D324" s="117"/>
      <c r="E324" s="117"/>
      <c r="F324" s="119"/>
      <c r="G324" s="114"/>
      <c r="H324" s="119"/>
      <c r="I324" s="119"/>
      <c r="J324" s="119"/>
      <c r="K324" s="119"/>
      <c r="L324" s="119"/>
      <c r="M324" s="119"/>
      <c r="N324" s="119"/>
      <c r="O324" s="119"/>
      <c r="P324" s="119"/>
    </row>
    <row r="325">
      <c r="A325" s="114">
        <v>324.0</v>
      </c>
      <c r="B325" s="115"/>
      <c r="C325" s="116"/>
      <c r="D325" s="117"/>
      <c r="E325" s="117"/>
      <c r="F325" s="119"/>
      <c r="G325" s="114"/>
      <c r="H325" s="119"/>
      <c r="I325" s="119"/>
      <c r="J325" s="119"/>
      <c r="K325" s="119"/>
      <c r="L325" s="119"/>
      <c r="M325" s="119"/>
      <c r="N325" s="119"/>
      <c r="O325" s="119"/>
      <c r="P325" s="119"/>
    </row>
    <row r="326">
      <c r="A326" s="114">
        <v>325.0</v>
      </c>
      <c r="B326" s="115"/>
      <c r="C326" s="116"/>
      <c r="D326" s="117"/>
      <c r="E326" s="117"/>
      <c r="F326" s="119"/>
      <c r="G326" s="114"/>
      <c r="H326" s="119"/>
      <c r="I326" s="119"/>
      <c r="J326" s="119"/>
      <c r="K326" s="119"/>
      <c r="L326" s="119"/>
      <c r="M326" s="119"/>
      <c r="N326" s="119"/>
      <c r="O326" s="119"/>
      <c r="P326" s="119"/>
    </row>
    <row r="327">
      <c r="A327" s="114">
        <v>326.0</v>
      </c>
      <c r="B327" s="115"/>
      <c r="C327" s="116"/>
      <c r="D327" s="117"/>
      <c r="E327" s="117"/>
      <c r="F327" s="119"/>
      <c r="G327" s="114"/>
      <c r="H327" s="119"/>
      <c r="I327" s="119"/>
      <c r="J327" s="119"/>
      <c r="K327" s="119"/>
      <c r="L327" s="119"/>
      <c r="M327" s="119"/>
      <c r="N327" s="119"/>
      <c r="O327" s="119"/>
      <c r="P327" s="119"/>
    </row>
    <row r="328">
      <c r="A328" s="114">
        <v>327.0</v>
      </c>
      <c r="B328" s="115"/>
      <c r="C328" s="116"/>
      <c r="D328" s="117"/>
      <c r="E328" s="117"/>
      <c r="F328" s="119"/>
      <c r="G328" s="114"/>
      <c r="H328" s="119"/>
      <c r="I328" s="119"/>
      <c r="J328" s="119"/>
      <c r="K328" s="119"/>
      <c r="L328" s="119"/>
      <c r="M328" s="119"/>
      <c r="N328" s="119"/>
      <c r="O328" s="119"/>
      <c r="P328" s="119"/>
    </row>
    <row r="329">
      <c r="A329" s="114">
        <v>328.0</v>
      </c>
      <c r="B329" s="115"/>
      <c r="C329" s="116"/>
      <c r="D329" s="117"/>
      <c r="E329" s="117"/>
      <c r="F329" s="119"/>
      <c r="G329" s="114"/>
      <c r="H329" s="119"/>
      <c r="I329" s="119"/>
      <c r="J329" s="119"/>
      <c r="K329" s="119"/>
      <c r="L329" s="119"/>
      <c r="M329" s="119"/>
      <c r="N329" s="119"/>
      <c r="O329" s="119"/>
      <c r="P329" s="119"/>
    </row>
    <row r="330">
      <c r="A330" s="114">
        <v>329.0</v>
      </c>
      <c r="B330" s="115"/>
      <c r="C330" s="116"/>
      <c r="D330" s="117"/>
      <c r="E330" s="117"/>
      <c r="F330" s="119"/>
      <c r="G330" s="114"/>
      <c r="H330" s="119"/>
      <c r="I330" s="119"/>
      <c r="J330" s="119"/>
      <c r="K330" s="119"/>
      <c r="L330" s="119"/>
      <c r="M330" s="119"/>
      <c r="N330" s="119"/>
      <c r="O330" s="119"/>
      <c r="P330" s="119"/>
    </row>
    <row r="331">
      <c r="A331" s="114">
        <v>330.0</v>
      </c>
      <c r="B331" s="115"/>
      <c r="C331" s="116"/>
      <c r="D331" s="117"/>
      <c r="E331" s="117"/>
      <c r="F331" s="119"/>
      <c r="G331" s="114"/>
      <c r="H331" s="119"/>
      <c r="I331" s="119"/>
      <c r="J331" s="119"/>
      <c r="K331" s="119"/>
      <c r="L331" s="119"/>
      <c r="M331" s="119"/>
      <c r="N331" s="119"/>
      <c r="O331" s="119"/>
      <c r="P331" s="119"/>
    </row>
    <row r="332">
      <c r="A332" s="114">
        <v>331.0</v>
      </c>
      <c r="B332" s="115"/>
      <c r="C332" s="116"/>
      <c r="D332" s="117"/>
      <c r="E332" s="117"/>
      <c r="F332" s="119"/>
      <c r="G332" s="114"/>
      <c r="H332" s="119"/>
      <c r="I332" s="119"/>
      <c r="J332" s="119"/>
      <c r="K332" s="119"/>
      <c r="L332" s="119"/>
      <c r="M332" s="119"/>
      <c r="N332" s="119"/>
      <c r="O332" s="119"/>
      <c r="P332" s="119"/>
    </row>
    <row r="333">
      <c r="A333" s="114">
        <v>332.0</v>
      </c>
      <c r="B333" s="115"/>
      <c r="C333" s="116"/>
      <c r="D333" s="117"/>
      <c r="E333" s="117"/>
      <c r="F333" s="119"/>
      <c r="G333" s="114"/>
      <c r="H333" s="119"/>
      <c r="I333" s="119"/>
      <c r="J333" s="119"/>
      <c r="K333" s="119"/>
      <c r="L333" s="119"/>
      <c r="M333" s="119"/>
      <c r="N333" s="119"/>
      <c r="O333" s="119"/>
      <c r="P333" s="119"/>
    </row>
    <row r="334">
      <c r="A334" s="114">
        <v>333.0</v>
      </c>
      <c r="B334" s="115"/>
      <c r="C334" s="116"/>
      <c r="D334" s="117"/>
      <c r="E334" s="117"/>
      <c r="F334" s="119"/>
      <c r="G334" s="114"/>
      <c r="H334" s="119"/>
      <c r="I334" s="119"/>
      <c r="J334" s="119"/>
      <c r="K334" s="119"/>
      <c r="L334" s="119"/>
      <c r="M334" s="119"/>
      <c r="N334" s="119"/>
      <c r="O334" s="119"/>
      <c r="P334" s="119"/>
    </row>
    <row r="335">
      <c r="A335" s="114">
        <v>334.0</v>
      </c>
      <c r="B335" s="115"/>
      <c r="C335" s="116"/>
      <c r="D335" s="117"/>
      <c r="E335" s="117"/>
      <c r="F335" s="119"/>
      <c r="G335" s="114"/>
      <c r="H335" s="119"/>
      <c r="I335" s="119"/>
      <c r="J335" s="119"/>
      <c r="K335" s="119"/>
      <c r="L335" s="119"/>
      <c r="M335" s="119"/>
      <c r="N335" s="119"/>
      <c r="O335" s="119"/>
      <c r="P335" s="119"/>
    </row>
    <row r="336">
      <c r="A336" s="114">
        <v>335.0</v>
      </c>
      <c r="B336" s="115"/>
      <c r="C336" s="116"/>
      <c r="D336" s="117"/>
      <c r="E336" s="117"/>
      <c r="F336" s="119"/>
      <c r="G336" s="114"/>
      <c r="H336" s="119"/>
      <c r="I336" s="119"/>
      <c r="J336" s="119"/>
      <c r="K336" s="119"/>
      <c r="L336" s="119"/>
      <c r="M336" s="119"/>
      <c r="N336" s="119"/>
      <c r="O336" s="119"/>
      <c r="P336" s="119"/>
    </row>
    <row r="337">
      <c r="A337" s="114">
        <v>336.0</v>
      </c>
      <c r="B337" s="115"/>
      <c r="C337" s="116"/>
      <c r="D337" s="117"/>
      <c r="E337" s="117"/>
      <c r="F337" s="119"/>
      <c r="G337" s="114"/>
      <c r="H337" s="119"/>
      <c r="I337" s="119"/>
      <c r="J337" s="119"/>
      <c r="K337" s="119"/>
      <c r="L337" s="119"/>
      <c r="M337" s="119"/>
      <c r="N337" s="119"/>
      <c r="O337" s="119"/>
      <c r="P337" s="119"/>
    </row>
    <row r="338">
      <c r="A338" s="114">
        <v>337.0</v>
      </c>
      <c r="B338" s="115"/>
      <c r="C338" s="116"/>
      <c r="D338" s="117"/>
      <c r="E338" s="117"/>
      <c r="F338" s="119"/>
      <c r="G338" s="114"/>
      <c r="H338" s="119"/>
      <c r="I338" s="119"/>
      <c r="J338" s="119"/>
      <c r="K338" s="119"/>
      <c r="L338" s="119"/>
      <c r="M338" s="119"/>
      <c r="N338" s="119"/>
      <c r="O338" s="119"/>
      <c r="P338" s="119"/>
    </row>
    <row r="339">
      <c r="A339" s="114">
        <v>338.0</v>
      </c>
      <c r="B339" s="115"/>
      <c r="C339" s="116"/>
      <c r="D339" s="117"/>
      <c r="E339" s="117"/>
      <c r="F339" s="119"/>
      <c r="G339" s="114"/>
      <c r="H339" s="119"/>
      <c r="I339" s="119"/>
      <c r="J339" s="119"/>
      <c r="K339" s="119"/>
      <c r="L339" s="119"/>
      <c r="M339" s="119"/>
      <c r="N339" s="119"/>
      <c r="O339" s="119"/>
      <c r="P339" s="119"/>
    </row>
    <row r="340">
      <c r="A340" s="114">
        <v>339.0</v>
      </c>
      <c r="B340" s="115"/>
      <c r="C340" s="116"/>
      <c r="D340" s="117"/>
      <c r="E340" s="117"/>
      <c r="F340" s="119"/>
      <c r="G340" s="114"/>
      <c r="H340" s="119"/>
      <c r="I340" s="119"/>
      <c r="J340" s="119"/>
      <c r="K340" s="119"/>
      <c r="L340" s="119"/>
      <c r="M340" s="119"/>
      <c r="N340" s="119"/>
      <c r="O340" s="119"/>
      <c r="P340" s="119"/>
    </row>
    <row r="341">
      <c r="A341" s="114">
        <v>340.0</v>
      </c>
      <c r="B341" s="115"/>
      <c r="C341" s="116"/>
      <c r="D341" s="117"/>
      <c r="E341" s="117"/>
      <c r="F341" s="119"/>
      <c r="G341" s="114"/>
      <c r="H341" s="119"/>
      <c r="I341" s="119"/>
      <c r="J341" s="119"/>
      <c r="K341" s="119"/>
      <c r="L341" s="119"/>
      <c r="M341" s="119"/>
      <c r="N341" s="119"/>
      <c r="O341" s="119"/>
      <c r="P341" s="119"/>
    </row>
    <row r="342">
      <c r="A342" s="114">
        <v>341.0</v>
      </c>
      <c r="B342" s="115"/>
      <c r="C342" s="116"/>
      <c r="D342" s="117"/>
      <c r="E342" s="117"/>
      <c r="F342" s="119"/>
      <c r="G342" s="114"/>
      <c r="H342" s="119"/>
      <c r="I342" s="119"/>
      <c r="J342" s="119"/>
      <c r="K342" s="119"/>
      <c r="L342" s="119"/>
      <c r="M342" s="119"/>
      <c r="N342" s="119"/>
      <c r="O342" s="119"/>
      <c r="P342" s="119"/>
    </row>
    <row r="343">
      <c r="A343" s="114">
        <v>342.0</v>
      </c>
      <c r="B343" s="115"/>
      <c r="C343" s="116"/>
      <c r="D343" s="117"/>
      <c r="E343" s="117"/>
      <c r="F343" s="119"/>
      <c r="G343" s="114"/>
      <c r="H343" s="119"/>
      <c r="I343" s="119"/>
      <c r="J343" s="119"/>
      <c r="K343" s="119"/>
      <c r="L343" s="119"/>
      <c r="M343" s="119"/>
      <c r="N343" s="119"/>
      <c r="O343" s="119"/>
      <c r="P343" s="119"/>
    </row>
    <row r="344">
      <c r="A344" s="114">
        <v>343.0</v>
      </c>
      <c r="B344" s="115"/>
      <c r="C344" s="116"/>
      <c r="D344" s="117"/>
      <c r="E344" s="117"/>
      <c r="F344" s="119"/>
      <c r="G344" s="114"/>
      <c r="H344" s="119"/>
      <c r="I344" s="119"/>
      <c r="J344" s="119"/>
      <c r="K344" s="119"/>
      <c r="L344" s="119"/>
      <c r="M344" s="119"/>
      <c r="N344" s="119"/>
      <c r="O344" s="119"/>
      <c r="P344" s="119"/>
    </row>
    <row r="345">
      <c r="A345" s="114">
        <v>344.0</v>
      </c>
      <c r="B345" s="115"/>
      <c r="C345" s="116"/>
      <c r="D345" s="117"/>
      <c r="E345" s="117"/>
      <c r="F345" s="119"/>
      <c r="G345" s="114"/>
      <c r="H345" s="119"/>
      <c r="I345" s="119"/>
      <c r="J345" s="119"/>
      <c r="K345" s="119"/>
      <c r="L345" s="119"/>
      <c r="M345" s="119"/>
      <c r="N345" s="119"/>
      <c r="O345" s="119"/>
      <c r="P345" s="119"/>
    </row>
    <row r="346">
      <c r="A346" s="114">
        <v>345.0</v>
      </c>
      <c r="B346" s="115"/>
      <c r="C346" s="116"/>
      <c r="D346" s="117"/>
      <c r="E346" s="117"/>
      <c r="F346" s="119"/>
      <c r="G346" s="114"/>
      <c r="H346" s="119"/>
      <c r="I346" s="119"/>
      <c r="J346" s="119"/>
      <c r="K346" s="119"/>
      <c r="L346" s="119"/>
      <c r="M346" s="119"/>
      <c r="N346" s="119"/>
      <c r="O346" s="119"/>
      <c r="P346" s="119"/>
    </row>
    <row r="347">
      <c r="A347" s="114">
        <v>346.0</v>
      </c>
      <c r="B347" s="115"/>
      <c r="C347" s="116"/>
      <c r="D347" s="117"/>
      <c r="E347" s="117"/>
      <c r="F347" s="119"/>
      <c r="G347" s="114"/>
      <c r="H347" s="119"/>
      <c r="I347" s="119"/>
      <c r="J347" s="119"/>
      <c r="K347" s="119"/>
      <c r="L347" s="119"/>
      <c r="M347" s="119"/>
      <c r="N347" s="119"/>
      <c r="O347" s="119"/>
      <c r="P347" s="119"/>
    </row>
    <row r="348">
      <c r="A348" s="114">
        <v>347.0</v>
      </c>
      <c r="B348" s="115"/>
      <c r="C348" s="116"/>
      <c r="D348" s="117"/>
      <c r="E348" s="117"/>
      <c r="F348" s="119"/>
      <c r="G348" s="114"/>
      <c r="H348" s="119"/>
      <c r="I348" s="119"/>
      <c r="J348" s="119"/>
      <c r="K348" s="119"/>
      <c r="L348" s="119"/>
      <c r="M348" s="119"/>
      <c r="N348" s="119"/>
      <c r="O348" s="119"/>
      <c r="P348" s="119"/>
    </row>
    <row r="349">
      <c r="A349" s="114">
        <v>348.0</v>
      </c>
      <c r="B349" s="115"/>
      <c r="C349" s="116"/>
      <c r="D349" s="117"/>
      <c r="E349" s="117"/>
      <c r="F349" s="119"/>
      <c r="G349" s="114"/>
      <c r="H349" s="119"/>
      <c r="I349" s="119"/>
      <c r="J349" s="119"/>
      <c r="K349" s="119"/>
      <c r="L349" s="119"/>
      <c r="M349" s="119"/>
      <c r="N349" s="119"/>
      <c r="O349" s="119"/>
      <c r="P349" s="119"/>
    </row>
    <row r="350">
      <c r="A350" s="114">
        <v>349.0</v>
      </c>
      <c r="B350" s="115"/>
      <c r="C350" s="116"/>
      <c r="D350" s="117"/>
      <c r="E350" s="117"/>
      <c r="F350" s="119"/>
      <c r="G350" s="114"/>
      <c r="H350" s="119"/>
      <c r="I350" s="119"/>
      <c r="J350" s="119"/>
      <c r="K350" s="119"/>
      <c r="L350" s="119"/>
      <c r="M350" s="119"/>
      <c r="N350" s="119"/>
      <c r="O350" s="119"/>
      <c r="P350" s="119"/>
    </row>
    <row r="351">
      <c r="A351" s="114">
        <v>350.0</v>
      </c>
      <c r="B351" s="115"/>
      <c r="C351" s="116"/>
      <c r="D351" s="117"/>
      <c r="E351" s="117"/>
      <c r="F351" s="119"/>
      <c r="G351" s="114"/>
      <c r="H351" s="119"/>
      <c r="I351" s="119"/>
      <c r="J351" s="119"/>
      <c r="K351" s="119"/>
      <c r="L351" s="119"/>
      <c r="M351" s="119"/>
      <c r="N351" s="119"/>
      <c r="O351" s="119"/>
      <c r="P351" s="119"/>
    </row>
    <row r="352">
      <c r="A352" s="114">
        <v>351.0</v>
      </c>
      <c r="B352" s="115"/>
      <c r="C352" s="116"/>
      <c r="D352" s="117"/>
      <c r="E352" s="117"/>
      <c r="F352" s="119"/>
      <c r="G352" s="114"/>
      <c r="H352" s="119"/>
      <c r="I352" s="119"/>
      <c r="J352" s="119"/>
      <c r="K352" s="119"/>
      <c r="L352" s="119"/>
      <c r="M352" s="119"/>
      <c r="N352" s="119"/>
      <c r="O352" s="119"/>
      <c r="P352" s="119"/>
    </row>
    <row r="353">
      <c r="A353" s="114">
        <v>352.0</v>
      </c>
      <c r="B353" s="115"/>
      <c r="C353" s="116"/>
      <c r="D353" s="117"/>
      <c r="E353" s="117"/>
      <c r="F353" s="119"/>
      <c r="G353" s="114"/>
      <c r="H353" s="119"/>
      <c r="I353" s="119"/>
      <c r="J353" s="119"/>
      <c r="K353" s="119"/>
      <c r="L353" s="119"/>
      <c r="M353" s="119"/>
      <c r="N353" s="119"/>
      <c r="O353" s="119"/>
      <c r="P353" s="119"/>
    </row>
    <row r="354">
      <c r="A354" s="114">
        <v>353.0</v>
      </c>
      <c r="B354" s="115"/>
      <c r="C354" s="116"/>
      <c r="D354" s="117"/>
      <c r="E354" s="117"/>
      <c r="F354" s="119"/>
      <c r="G354" s="114"/>
      <c r="H354" s="119"/>
      <c r="I354" s="119"/>
      <c r="J354" s="119"/>
      <c r="K354" s="119"/>
      <c r="L354" s="119"/>
      <c r="M354" s="119"/>
      <c r="N354" s="119"/>
      <c r="O354" s="119"/>
      <c r="P354" s="119"/>
    </row>
    <row r="355">
      <c r="A355" s="114">
        <v>354.0</v>
      </c>
      <c r="B355" s="115"/>
      <c r="C355" s="116"/>
      <c r="D355" s="117"/>
      <c r="E355" s="117"/>
      <c r="F355" s="119"/>
      <c r="G355" s="114"/>
      <c r="H355" s="119"/>
      <c r="I355" s="119"/>
      <c r="J355" s="119"/>
      <c r="K355" s="119"/>
      <c r="L355" s="119"/>
      <c r="M355" s="119"/>
      <c r="N355" s="119"/>
      <c r="O355" s="119"/>
      <c r="P355" s="119"/>
    </row>
    <row r="356">
      <c r="A356" s="114">
        <v>355.0</v>
      </c>
      <c r="B356" s="115"/>
      <c r="C356" s="116"/>
      <c r="D356" s="117"/>
      <c r="E356" s="117"/>
      <c r="F356" s="119"/>
      <c r="G356" s="114"/>
      <c r="H356" s="119"/>
      <c r="I356" s="119"/>
      <c r="J356" s="119"/>
      <c r="K356" s="119"/>
      <c r="L356" s="119"/>
      <c r="M356" s="119"/>
      <c r="N356" s="119"/>
      <c r="O356" s="119"/>
      <c r="P356" s="119"/>
    </row>
    <row r="357">
      <c r="A357" s="114">
        <v>356.0</v>
      </c>
      <c r="B357" s="115"/>
      <c r="C357" s="116"/>
      <c r="D357" s="117"/>
      <c r="E357" s="117"/>
      <c r="F357" s="119"/>
      <c r="G357" s="114"/>
      <c r="H357" s="119"/>
      <c r="I357" s="119"/>
      <c r="J357" s="119"/>
      <c r="K357" s="119"/>
      <c r="L357" s="119"/>
      <c r="M357" s="119"/>
      <c r="N357" s="119"/>
      <c r="O357" s="119"/>
      <c r="P357" s="119"/>
    </row>
    <row r="358">
      <c r="A358" s="114">
        <v>357.0</v>
      </c>
      <c r="B358" s="115"/>
      <c r="C358" s="116"/>
      <c r="D358" s="117"/>
      <c r="E358" s="117"/>
      <c r="F358" s="119"/>
      <c r="G358" s="114"/>
      <c r="H358" s="119"/>
      <c r="I358" s="119"/>
      <c r="J358" s="119"/>
      <c r="K358" s="119"/>
      <c r="L358" s="119"/>
      <c r="M358" s="119"/>
      <c r="N358" s="119"/>
      <c r="O358" s="119"/>
      <c r="P358" s="119"/>
    </row>
    <row r="359">
      <c r="A359" s="114">
        <v>358.0</v>
      </c>
      <c r="B359" s="115"/>
      <c r="C359" s="116"/>
      <c r="D359" s="117"/>
      <c r="E359" s="117"/>
      <c r="F359" s="119"/>
      <c r="G359" s="114"/>
      <c r="H359" s="119"/>
      <c r="I359" s="119"/>
      <c r="J359" s="119"/>
      <c r="K359" s="119"/>
      <c r="L359" s="119"/>
      <c r="M359" s="119"/>
      <c r="N359" s="119"/>
      <c r="O359" s="119"/>
      <c r="P359" s="119"/>
    </row>
    <row r="360">
      <c r="A360" s="114">
        <v>359.0</v>
      </c>
      <c r="B360" s="115"/>
      <c r="C360" s="116"/>
      <c r="D360" s="117"/>
      <c r="E360" s="117"/>
      <c r="F360" s="119"/>
      <c r="G360" s="114"/>
      <c r="H360" s="119"/>
      <c r="I360" s="119"/>
      <c r="J360" s="119"/>
      <c r="K360" s="119"/>
      <c r="L360" s="119"/>
      <c r="M360" s="119"/>
      <c r="N360" s="119"/>
      <c r="O360" s="119"/>
      <c r="P360" s="119"/>
    </row>
    <row r="361">
      <c r="A361" s="114">
        <v>360.0</v>
      </c>
      <c r="B361" s="115"/>
      <c r="C361" s="116"/>
      <c r="D361" s="117"/>
      <c r="E361" s="117"/>
      <c r="F361" s="119"/>
      <c r="G361" s="114"/>
      <c r="H361" s="119"/>
      <c r="I361" s="119"/>
      <c r="J361" s="119"/>
      <c r="K361" s="119"/>
      <c r="L361" s="119"/>
      <c r="M361" s="119"/>
      <c r="N361" s="119"/>
      <c r="O361" s="119"/>
      <c r="P361" s="119"/>
    </row>
    <row r="362">
      <c r="A362" s="114">
        <v>361.0</v>
      </c>
      <c r="B362" s="115"/>
      <c r="C362" s="116"/>
      <c r="D362" s="117"/>
      <c r="E362" s="117"/>
      <c r="F362" s="119"/>
      <c r="G362" s="114"/>
      <c r="H362" s="119"/>
      <c r="I362" s="119"/>
      <c r="J362" s="119"/>
      <c r="K362" s="119"/>
      <c r="L362" s="119"/>
      <c r="M362" s="119"/>
      <c r="N362" s="119"/>
      <c r="O362" s="119"/>
      <c r="P362" s="119"/>
    </row>
    <row r="363">
      <c r="A363" s="114">
        <v>362.0</v>
      </c>
      <c r="B363" s="115"/>
      <c r="C363" s="116"/>
      <c r="D363" s="117"/>
      <c r="E363" s="117"/>
      <c r="F363" s="119"/>
      <c r="G363" s="114"/>
      <c r="H363" s="119"/>
      <c r="I363" s="119"/>
      <c r="J363" s="119"/>
      <c r="K363" s="119"/>
      <c r="L363" s="119"/>
      <c r="M363" s="119"/>
      <c r="N363" s="119"/>
      <c r="O363" s="119"/>
      <c r="P363" s="119"/>
    </row>
    <row r="364">
      <c r="A364" s="114">
        <v>363.0</v>
      </c>
      <c r="B364" s="115"/>
      <c r="C364" s="116"/>
      <c r="D364" s="117"/>
      <c r="E364" s="117"/>
      <c r="F364" s="119"/>
      <c r="G364" s="114"/>
      <c r="H364" s="119"/>
      <c r="I364" s="119"/>
      <c r="J364" s="119"/>
      <c r="K364" s="119"/>
      <c r="L364" s="119"/>
      <c r="M364" s="119"/>
      <c r="N364" s="119"/>
      <c r="O364" s="119"/>
      <c r="P364" s="119"/>
    </row>
    <row r="365">
      <c r="A365" s="114">
        <v>364.0</v>
      </c>
      <c r="B365" s="115"/>
      <c r="C365" s="116"/>
      <c r="D365" s="117"/>
      <c r="E365" s="117"/>
      <c r="F365" s="119"/>
      <c r="G365" s="114"/>
      <c r="H365" s="119"/>
      <c r="I365" s="119"/>
      <c r="J365" s="119"/>
      <c r="K365" s="119"/>
      <c r="L365" s="119"/>
      <c r="M365" s="119"/>
      <c r="N365" s="119"/>
      <c r="O365" s="119"/>
      <c r="P365" s="119"/>
    </row>
    <row r="366">
      <c r="A366" s="114">
        <v>365.0</v>
      </c>
      <c r="B366" s="115"/>
      <c r="C366" s="116"/>
      <c r="D366" s="117"/>
      <c r="E366" s="117"/>
      <c r="F366" s="119"/>
      <c r="G366" s="114"/>
      <c r="H366" s="119"/>
      <c r="I366" s="119"/>
      <c r="J366" s="119"/>
      <c r="K366" s="119"/>
      <c r="L366" s="119"/>
      <c r="M366" s="119"/>
      <c r="N366" s="119"/>
      <c r="O366" s="119"/>
      <c r="P366" s="119"/>
    </row>
    <row r="367">
      <c r="A367" s="114">
        <v>366.0</v>
      </c>
      <c r="B367" s="115"/>
      <c r="C367" s="116"/>
      <c r="D367" s="117"/>
      <c r="E367" s="117"/>
      <c r="F367" s="119"/>
      <c r="G367" s="114"/>
      <c r="H367" s="119"/>
      <c r="I367" s="119"/>
      <c r="J367" s="119"/>
      <c r="K367" s="119"/>
      <c r="L367" s="119"/>
      <c r="M367" s="119"/>
      <c r="N367" s="119"/>
      <c r="O367" s="119"/>
      <c r="P367" s="119"/>
    </row>
    <row r="368">
      <c r="A368" s="114">
        <v>367.0</v>
      </c>
      <c r="B368" s="115"/>
      <c r="C368" s="116"/>
      <c r="D368" s="117"/>
      <c r="E368" s="117"/>
      <c r="F368" s="119"/>
      <c r="G368" s="114"/>
      <c r="H368" s="119"/>
      <c r="I368" s="119"/>
      <c r="J368" s="119"/>
      <c r="K368" s="119"/>
      <c r="L368" s="119"/>
      <c r="M368" s="119"/>
      <c r="N368" s="119"/>
      <c r="O368" s="119"/>
      <c r="P368" s="119"/>
    </row>
    <row r="369">
      <c r="A369" s="114">
        <v>368.0</v>
      </c>
      <c r="B369" s="115"/>
      <c r="C369" s="116"/>
      <c r="D369" s="117"/>
      <c r="E369" s="117"/>
      <c r="F369" s="119"/>
      <c r="G369" s="114"/>
      <c r="H369" s="119"/>
      <c r="I369" s="119"/>
      <c r="J369" s="119"/>
      <c r="K369" s="119"/>
      <c r="L369" s="119"/>
      <c r="M369" s="119"/>
      <c r="N369" s="119"/>
      <c r="O369" s="119"/>
      <c r="P369" s="119"/>
    </row>
    <row r="370">
      <c r="A370" s="114">
        <v>369.0</v>
      </c>
      <c r="B370" s="115"/>
      <c r="C370" s="116"/>
      <c r="D370" s="117"/>
      <c r="E370" s="117"/>
      <c r="F370" s="119"/>
      <c r="G370" s="114"/>
      <c r="H370" s="119"/>
      <c r="I370" s="119"/>
      <c r="J370" s="119"/>
      <c r="K370" s="119"/>
      <c r="L370" s="119"/>
      <c r="M370" s="119"/>
      <c r="N370" s="119"/>
      <c r="O370" s="119"/>
      <c r="P370" s="119"/>
    </row>
    <row r="371">
      <c r="A371" s="114">
        <v>370.0</v>
      </c>
      <c r="B371" s="115"/>
      <c r="C371" s="116"/>
      <c r="D371" s="117"/>
      <c r="E371" s="117"/>
      <c r="F371" s="119"/>
      <c r="G371" s="114"/>
      <c r="H371" s="119"/>
      <c r="I371" s="119"/>
      <c r="J371" s="119"/>
      <c r="K371" s="119"/>
      <c r="L371" s="119"/>
      <c r="M371" s="119"/>
      <c r="N371" s="119"/>
      <c r="O371" s="119"/>
      <c r="P371" s="119"/>
    </row>
    <row r="372">
      <c r="A372" s="114">
        <v>371.0</v>
      </c>
      <c r="B372" s="115"/>
      <c r="C372" s="116"/>
      <c r="D372" s="117"/>
      <c r="E372" s="117"/>
      <c r="F372" s="119"/>
      <c r="G372" s="114"/>
      <c r="H372" s="119"/>
      <c r="I372" s="119"/>
      <c r="J372" s="119"/>
      <c r="K372" s="119"/>
      <c r="L372" s="119"/>
      <c r="M372" s="119"/>
      <c r="N372" s="119"/>
      <c r="O372" s="119"/>
      <c r="P372" s="119"/>
    </row>
    <row r="373">
      <c r="A373" s="114">
        <v>372.0</v>
      </c>
      <c r="B373" s="115"/>
      <c r="C373" s="116"/>
      <c r="D373" s="117"/>
      <c r="E373" s="117"/>
      <c r="F373" s="119"/>
      <c r="G373" s="114"/>
      <c r="H373" s="119"/>
      <c r="I373" s="119"/>
      <c r="J373" s="119"/>
      <c r="K373" s="119"/>
      <c r="L373" s="119"/>
      <c r="M373" s="119"/>
      <c r="N373" s="119"/>
      <c r="O373" s="119"/>
      <c r="P373" s="119"/>
    </row>
    <row r="374">
      <c r="A374" s="114">
        <v>373.0</v>
      </c>
      <c r="B374" s="115"/>
      <c r="C374" s="116"/>
      <c r="D374" s="117"/>
      <c r="E374" s="117"/>
      <c r="F374" s="119"/>
      <c r="G374" s="114"/>
      <c r="H374" s="119"/>
      <c r="I374" s="119"/>
      <c r="J374" s="119"/>
      <c r="K374" s="119"/>
      <c r="L374" s="119"/>
      <c r="M374" s="119"/>
      <c r="N374" s="119"/>
      <c r="O374" s="119"/>
      <c r="P374" s="119"/>
    </row>
    <row r="375">
      <c r="A375" s="114">
        <v>374.0</v>
      </c>
      <c r="B375" s="115"/>
      <c r="C375" s="116"/>
      <c r="D375" s="117"/>
      <c r="E375" s="117"/>
      <c r="F375" s="119"/>
      <c r="G375" s="114"/>
      <c r="H375" s="119"/>
      <c r="I375" s="119"/>
      <c r="J375" s="119"/>
      <c r="K375" s="119"/>
      <c r="L375" s="119"/>
      <c r="M375" s="119"/>
      <c r="N375" s="119"/>
      <c r="O375" s="119"/>
      <c r="P375" s="119"/>
    </row>
    <row r="376">
      <c r="A376" s="114">
        <v>375.0</v>
      </c>
      <c r="B376" s="115"/>
      <c r="C376" s="116"/>
      <c r="D376" s="117"/>
      <c r="E376" s="117"/>
      <c r="F376" s="119"/>
      <c r="G376" s="114"/>
      <c r="H376" s="119"/>
      <c r="I376" s="119"/>
      <c r="J376" s="119"/>
      <c r="K376" s="119"/>
      <c r="L376" s="119"/>
      <c r="M376" s="119"/>
      <c r="N376" s="119"/>
      <c r="O376" s="119"/>
      <c r="P376" s="119"/>
    </row>
    <row r="377">
      <c r="A377" s="114">
        <v>376.0</v>
      </c>
      <c r="B377" s="115"/>
      <c r="C377" s="116"/>
      <c r="D377" s="117"/>
      <c r="E377" s="117"/>
      <c r="F377" s="119"/>
      <c r="G377" s="114"/>
      <c r="H377" s="119"/>
      <c r="I377" s="119"/>
      <c r="J377" s="119"/>
      <c r="K377" s="119"/>
      <c r="L377" s="119"/>
      <c r="M377" s="119"/>
      <c r="N377" s="119"/>
      <c r="O377" s="119"/>
      <c r="P377" s="119"/>
    </row>
    <row r="378">
      <c r="A378" s="114">
        <v>377.0</v>
      </c>
      <c r="B378" s="115"/>
      <c r="C378" s="116"/>
      <c r="D378" s="117"/>
      <c r="E378" s="117"/>
      <c r="F378" s="119"/>
      <c r="G378" s="114"/>
      <c r="H378" s="119"/>
      <c r="I378" s="119"/>
      <c r="J378" s="119"/>
      <c r="K378" s="119"/>
      <c r="L378" s="119"/>
      <c r="M378" s="119"/>
      <c r="N378" s="119"/>
      <c r="O378" s="119"/>
      <c r="P378" s="119"/>
    </row>
    <row r="379">
      <c r="A379" s="114">
        <v>378.0</v>
      </c>
      <c r="B379" s="115"/>
      <c r="C379" s="116"/>
      <c r="D379" s="117"/>
      <c r="E379" s="117"/>
      <c r="F379" s="119"/>
      <c r="G379" s="114"/>
      <c r="H379" s="119"/>
      <c r="I379" s="119"/>
      <c r="J379" s="119"/>
      <c r="K379" s="119"/>
      <c r="L379" s="119"/>
      <c r="M379" s="119"/>
      <c r="N379" s="119"/>
      <c r="O379" s="119"/>
      <c r="P379" s="119"/>
    </row>
    <row r="380">
      <c r="A380" s="114">
        <v>379.0</v>
      </c>
      <c r="B380" s="115"/>
      <c r="C380" s="116"/>
      <c r="D380" s="117"/>
      <c r="E380" s="117"/>
      <c r="F380" s="119"/>
      <c r="G380" s="114"/>
      <c r="H380" s="119"/>
      <c r="I380" s="119"/>
      <c r="J380" s="119"/>
      <c r="K380" s="119"/>
      <c r="L380" s="119"/>
      <c r="M380" s="119"/>
      <c r="N380" s="119"/>
      <c r="O380" s="119"/>
      <c r="P380" s="119"/>
    </row>
    <row r="381">
      <c r="A381" s="114">
        <v>380.0</v>
      </c>
      <c r="B381" s="115"/>
      <c r="C381" s="116"/>
      <c r="D381" s="117"/>
      <c r="E381" s="117"/>
      <c r="F381" s="119"/>
      <c r="G381" s="114"/>
      <c r="H381" s="119"/>
      <c r="I381" s="119"/>
      <c r="J381" s="119"/>
      <c r="K381" s="119"/>
      <c r="L381" s="119"/>
      <c r="M381" s="119"/>
      <c r="N381" s="119"/>
      <c r="O381" s="119"/>
      <c r="P381" s="119"/>
    </row>
    <row r="382">
      <c r="A382" s="114">
        <v>381.0</v>
      </c>
      <c r="B382" s="115"/>
      <c r="C382" s="116"/>
      <c r="D382" s="117"/>
      <c r="E382" s="117"/>
      <c r="F382" s="119"/>
      <c r="G382" s="114"/>
      <c r="H382" s="119"/>
      <c r="I382" s="119"/>
      <c r="J382" s="119"/>
      <c r="K382" s="119"/>
      <c r="L382" s="119"/>
      <c r="M382" s="119"/>
      <c r="N382" s="119"/>
      <c r="O382" s="119"/>
      <c r="P382" s="119"/>
    </row>
    <row r="383">
      <c r="A383" s="114">
        <v>382.0</v>
      </c>
      <c r="B383" s="115"/>
      <c r="C383" s="116"/>
      <c r="D383" s="117"/>
      <c r="E383" s="117"/>
      <c r="F383" s="119"/>
      <c r="G383" s="114"/>
      <c r="H383" s="119"/>
      <c r="I383" s="119"/>
      <c r="J383" s="119"/>
      <c r="K383" s="119"/>
      <c r="L383" s="119"/>
      <c r="M383" s="119"/>
      <c r="N383" s="119"/>
      <c r="O383" s="119"/>
      <c r="P383" s="119"/>
    </row>
    <row r="384">
      <c r="A384" s="114">
        <v>383.0</v>
      </c>
      <c r="B384" s="115"/>
      <c r="C384" s="116"/>
      <c r="D384" s="117"/>
      <c r="E384" s="117"/>
      <c r="F384" s="119"/>
      <c r="G384" s="114"/>
      <c r="H384" s="119"/>
      <c r="I384" s="119"/>
      <c r="J384" s="119"/>
      <c r="K384" s="119"/>
      <c r="L384" s="119"/>
      <c r="M384" s="119"/>
      <c r="N384" s="119"/>
      <c r="O384" s="119"/>
      <c r="P384" s="119"/>
    </row>
    <row r="385">
      <c r="A385" s="114">
        <v>384.0</v>
      </c>
      <c r="B385" s="115"/>
      <c r="C385" s="116"/>
      <c r="D385" s="117"/>
      <c r="E385" s="117"/>
      <c r="F385" s="119"/>
      <c r="G385" s="114"/>
      <c r="H385" s="119"/>
      <c r="I385" s="119"/>
      <c r="J385" s="119"/>
      <c r="K385" s="119"/>
      <c r="L385" s="119"/>
      <c r="M385" s="119"/>
      <c r="N385" s="119"/>
      <c r="O385" s="119"/>
      <c r="P385" s="119"/>
    </row>
    <row r="386">
      <c r="A386" s="114">
        <v>385.0</v>
      </c>
      <c r="B386" s="115"/>
      <c r="C386" s="116"/>
      <c r="D386" s="117"/>
      <c r="E386" s="117"/>
      <c r="F386" s="119"/>
      <c r="G386" s="114"/>
      <c r="H386" s="119"/>
      <c r="I386" s="119"/>
      <c r="J386" s="119"/>
      <c r="K386" s="119"/>
      <c r="L386" s="119"/>
      <c r="M386" s="119"/>
      <c r="N386" s="119"/>
      <c r="O386" s="119"/>
      <c r="P386" s="119"/>
    </row>
    <row r="387">
      <c r="A387" s="114">
        <v>386.0</v>
      </c>
      <c r="B387" s="115"/>
      <c r="C387" s="116"/>
      <c r="D387" s="117"/>
      <c r="E387" s="117"/>
      <c r="F387" s="119"/>
      <c r="G387" s="114"/>
      <c r="H387" s="119"/>
      <c r="I387" s="119"/>
      <c r="J387" s="119"/>
      <c r="K387" s="119"/>
      <c r="L387" s="119"/>
      <c r="M387" s="119"/>
      <c r="N387" s="119"/>
      <c r="O387" s="119"/>
      <c r="P387" s="119"/>
    </row>
    <row r="388">
      <c r="A388" s="114">
        <v>387.0</v>
      </c>
      <c r="B388" s="115"/>
      <c r="C388" s="116"/>
      <c r="D388" s="117"/>
      <c r="E388" s="117"/>
      <c r="F388" s="119"/>
      <c r="G388" s="114"/>
      <c r="H388" s="119"/>
      <c r="I388" s="119"/>
      <c r="J388" s="119"/>
      <c r="K388" s="119"/>
      <c r="L388" s="119"/>
      <c r="M388" s="119"/>
      <c r="N388" s="119"/>
      <c r="O388" s="119"/>
      <c r="P388" s="119"/>
    </row>
    <row r="389">
      <c r="A389" s="114">
        <v>388.0</v>
      </c>
      <c r="B389" s="115"/>
      <c r="C389" s="116"/>
      <c r="D389" s="117"/>
      <c r="E389" s="117"/>
      <c r="F389" s="119"/>
      <c r="G389" s="114"/>
      <c r="H389" s="119"/>
      <c r="I389" s="119"/>
      <c r="J389" s="119"/>
      <c r="K389" s="119"/>
      <c r="L389" s="119"/>
      <c r="M389" s="119"/>
      <c r="N389" s="119"/>
      <c r="O389" s="119"/>
      <c r="P389" s="119"/>
    </row>
    <row r="390">
      <c r="A390" s="114">
        <v>389.0</v>
      </c>
      <c r="B390" s="115"/>
      <c r="C390" s="116"/>
      <c r="D390" s="117"/>
      <c r="E390" s="117"/>
      <c r="F390" s="119"/>
      <c r="G390" s="114"/>
      <c r="H390" s="119"/>
      <c r="I390" s="119"/>
      <c r="J390" s="119"/>
      <c r="K390" s="119"/>
      <c r="L390" s="119"/>
      <c r="M390" s="119"/>
      <c r="N390" s="119"/>
      <c r="O390" s="119"/>
      <c r="P390" s="119"/>
    </row>
    <row r="391">
      <c r="A391" s="114">
        <v>390.0</v>
      </c>
      <c r="B391" s="115"/>
      <c r="C391" s="116"/>
      <c r="D391" s="117"/>
      <c r="E391" s="117"/>
      <c r="F391" s="119"/>
      <c r="G391" s="114"/>
      <c r="H391" s="119"/>
      <c r="I391" s="119"/>
      <c r="J391" s="119"/>
      <c r="K391" s="119"/>
      <c r="L391" s="119"/>
      <c r="M391" s="119"/>
      <c r="N391" s="119"/>
      <c r="O391" s="119"/>
      <c r="P391" s="119"/>
    </row>
    <row r="392">
      <c r="A392" s="114">
        <v>391.0</v>
      </c>
      <c r="B392" s="115"/>
      <c r="C392" s="116"/>
      <c r="D392" s="117"/>
      <c r="E392" s="117"/>
      <c r="F392" s="119"/>
      <c r="G392" s="114"/>
      <c r="H392" s="119"/>
      <c r="I392" s="119"/>
      <c r="J392" s="119"/>
      <c r="K392" s="119"/>
      <c r="L392" s="119"/>
      <c r="M392" s="119"/>
      <c r="N392" s="119"/>
      <c r="O392" s="119"/>
      <c r="P392" s="119"/>
    </row>
    <row r="393">
      <c r="A393" s="114">
        <v>392.0</v>
      </c>
      <c r="B393" s="115"/>
      <c r="C393" s="116"/>
      <c r="D393" s="117"/>
      <c r="E393" s="117"/>
      <c r="F393" s="119"/>
      <c r="G393" s="114"/>
      <c r="H393" s="119"/>
      <c r="I393" s="119"/>
      <c r="J393" s="119"/>
      <c r="K393" s="119"/>
      <c r="L393" s="119"/>
      <c r="M393" s="119"/>
      <c r="N393" s="119"/>
      <c r="O393" s="119"/>
      <c r="P393" s="119"/>
    </row>
    <row r="394">
      <c r="A394" s="114">
        <v>393.0</v>
      </c>
      <c r="B394" s="115"/>
      <c r="C394" s="116"/>
      <c r="D394" s="117"/>
      <c r="E394" s="117"/>
      <c r="F394" s="119"/>
      <c r="G394" s="114"/>
      <c r="H394" s="119"/>
      <c r="I394" s="119"/>
      <c r="J394" s="119"/>
      <c r="K394" s="119"/>
      <c r="L394" s="119"/>
      <c r="M394" s="119"/>
      <c r="N394" s="119"/>
      <c r="O394" s="119"/>
      <c r="P394" s="119"/>
    </row>
    <row r="395">
      <c r="A395" s="114">
        <v>394.0</v>
      </c>
      <c r="B395" s="115"/>
      <c r="C395" s="116"/>
      <c r="D395" s="117"/>
      <c r="E395" s="117"/>
      <c r="F395" s="119"/>
      <c r="G395" s="114"/>
      <c r="H395" s="119"/>
      <c r="I395" s="119"/>
      <c r="J395" s="119"/>
      <c r="K395" s="119"/>
      <c r="L395" s="119"/>
      <c r="M395" s="119"/>
      <c r="N395" s="119"/>
      <c r="O395" s="119"/>
      <c r="P395" s="119"/>
    </row>
    <row r="396">
      <c r="A396" s="114">
        <v>395.0</v>
      </c>
      <c r="B396" s="115"/>
      <c r="C396" s="116"/>
      <c r="D396" s="117"/>
      <c r="E396" s="117"/>
      <c r="F396" s="119"/>
      <c r="G396" s="114"/>
      <c r="H396" s="119"/>
      <c r="I396" s="119"/>
      <c r="J396" s="119"/>
      <c r="K396" s="119"/>
      <c r="L396" s="119"/>
      <c r="M396" s="119"/>
      <c r="N396" s="119"/>
      <c r="O396" s="119"/>
      <c r="P396" s="119"/>
    </row>
    <row r="397">
      <c r="A397" s="114">
        <v>396.0</v>
      </c>
      <c r="B397" s="115"/>
      <c r="C397" s="116"/>
      <c r="D397" s="117"/>
      <c r="E397" s="117"/>
      <c r="F397" s="119"/>
      <c r="G397" s="114"/>
      <c r="H397" s="119"/>
      <c r="I397" s="119"/>
      <c r="J397" s="119"/>
      <c r="K397" s="119"/>
      <c r="L397" s="119"/>
      <c r="M397" s="119"/>
      <c r="N397" s="119"/>
      <c r="O397" s="119"/>
      <c r="P397" s="119"/>
    </row>
    <row r="398">
      <c r="A398" s="114">
        <v>397.0</v>
      </c>
      <c r="B398" s="115"/>
      <c r="C398" s="116"/>
      <c r="D398" s="117"/>
      <c r="E398" s="117"/>
      <c r="F398" s="119"/>
      <c r="G398" s="114"/>
      <c r="H398" s="119"/>
      <c r="I398" s="119"/>
      <c r="J398" s="119"/>
      <c r="K398" s="119"/>
      <c r="L398" s="119"/>
      <c r="M398" s="119"/>
      <c r="N398" s="119"/>
      <c r="O398" s="119"/>
      <c r="P398" s="119"/>
    </row>
    <row r="399">
      <c r="A399" s="114">
        <v>398.0</v>
      </c>
      <c r="B399" s="115"/>
      <c r="C399" s="116"/>
      <c r="D399" s="117"/>
      <c r="E399" s="117"/>
      <c r="F399" s="119"/>
      <c r="G399" s="114"/>
      <c r="H399" s="119"/>
      <c r="I399" s="119"/>
      <c r="J399" s="119"/>
      <c r="K399" s="119"/>
      <c r="L399" s="119"/>
      <c r="M399" s="119"/>
      <c r="N399" s="119"/>
      <c r="O399" s="119"/>
      <c r="P399" s="119"/>
    </row>
    <row r="400">
      <c r="A400" s="114">
        <v>399.0</v>
      </c>
      <c r="B400" s="115"/>
      <c r="C400" s="116"/>
      <c r="D400" s="117"/>
      <c r="E400" s="117"/>
      <c r="F400" s="119"/>
      <c r="G400" s="114"/>
      <c r="H400" s="119"/>
      <c r="I400" s="119"/>
      <c r="J400" s="119"/>
      <c r="K400" s="119"/>
      <c r="L400" s="119"/>
      <c r="M400" s="119"/>
      <c r="N400" s="119"/>
      <c r="O400" s="119"/>
      <c r="P400" s="119"/>
    </row>
    <row r="401">
      <c r="A401" s="114">
        <v>400.0</v>
      </c>
      <c r="B401" s="115"/>
      <c r="C401" s="116"/>
      <c r="D401" s="117"/>
      <c r="E401" s="117"/>
      <c r="F401" s="119"/>
      <c r="G401" s="114"/>
      <c r="H401" s="119"/>
      <c r="I401" s="119"/>
      <c r="J401" s="119"/>
      <c r="K401" s="119"/>
      <c r="L401" s="119"/>
      <c r="M401" s="119"/>
      <c r="N401" s="119"/>
      <c r="O401" s="119"/>
      <c r="P401" s="119"/>
    </row>
    <row r="402">
      <c r="A402" s="114">
        <v>401.0</v>
      </c>
      <c r="B402" s="115"/>
      <c r="C402" s="116"/>
      <c r="D402" s="117"/>
      <c r="E402" s="117"/>
      <c r="F402" s="119"/>
      <c r="G402" s="114"/>
      <c r="H402" s="119"/>
      <c r="I402" s="119"/>
      <c r="J402" s="119"/>
      <c r="K402" s="119"/>
      <c r="L402" s="119"/>
      <c r="M402" s="119"/>
      <c r="N402" s="119"/>
      <c r="O402" s="119"/>
      <c r="P402" s="119"/>
    </row>
    <row r="403">
      <c r="A403" s="114">
        <v>402.0</v>
      </c>
      <c r="B403" s="115"/>
      <c r="C403" s="116"/>
      <c r="D403" s="117"/>
      <c r="E403" s="117"/>
      <c r="F403" s="119"/>
      <c r="G403" s="114"/>
      <c r="H403" s="119"/>
      <c r="I403" s="119"/>
      <c r="J403" s="119"/>
      <c r="K403" s="119"/>
      <c r="L403" s="119"/>
      <c r="M403" s="119"/>
      <c r="N403" s="119"/>
      <c r="O403" s="119"/>
      <c r="P403" s="119"/>
    </row>
    <row r="404">
      <c r="A404" s="114">
        <v>403.0</v>
      </c>
      <c r="B404" s="115"/>
      <c r="C404" s="116"/>
      <c r="D404" s="117"/>
      <c r="E404" s="117"/>
      <c r="F404" s="119"/>
      <c r="G404" s="114"/>
      <c r="H404" s="119"/>
      <c r="I404" s="119"/>
      <c r="J404" s="119"/>
      <c r="K404" s="119"/>
      <c r="L404" s="119"/>
      <c r="M404" s="119"/>
      <c r="N404" s="119"/>
      <c r="O404" s="119"/>
      <c r="P404" s="119"/>
    </row>
    <row r="405">
      <c r="A405" s="114">
        <v>404.0</v>
      </c>
      <c r="B405" s="115"/>
      <c r="C405" s="116"/>
      <c r="D405" s="117"/>
      <c r="E405" s="117"/>
      <c r="F405" s="119"/>
      <c r="G405" s="114"/>
      <c r="H405" s="119"/>
      <c r="I405" s="119"/>
      <c r="J405" s="119"/>
      <c r="K405" s="119"/>
      <c r="L405" s="119"/>
      <c r="M405" s="119"/>
      <c r="N405" s="119"/>
      <c r="O405" s="119"/>
      <c r="P405" s="119"/>
    </row>
    <row r="406">
      <c r="A406" s="114">
        <v>405.0</v>
      </c>
      <c r="B406" s="115"/>
      <c r="C406" s="116"/>
      <c r="D406" s="117"/>
      <c r="E406" s="117"/>
      <c r="F406" s="119"/>
      <c r="G406" s="114"/>
      <c r="H406" s="119"/>
      <c r="I406" s="119"/>
      <c r="J406" s="119"/>
      <c r="K406" s="119"/>
      <c r="L406" s="119"/>
      <c r="M406" s="119"/>
      <c r="N406" s="119"/>
      <c r="O406" s="119"/>
      <c r="P406" s="119"/>
    </row>
    <row r="407">
      <c r="A407" s="114">
        <v>406.0</v>
      </c>
      <c r="B407" s="115"/>
      <c r="C407" s="116"/>
      <c r="D407" s="117"/>
      <c r="E407" s="117"/>
      <c r="F407" s="119"/>
      <c r="G407" s="114"/>
      <c r="H407" s="119"/>
      <c r="I407" s="119"/>
      <c r="J407" s="119"/>
      <c r="K407" s="119"/>
      <c r="L407" s="119"/>
      <c r="M407" s="119"/>
      <c r="N407" s="119"/>
      <c r="O407" s="119"/>
      <c r="P407" s="119"/>
    </row>
    <row r="408">
      <c r="A408" s="114">
        <v>407.0</v>
      </c>
      <c r="B408" s="115"/>
      <c r="C408" s="116"/>
      <c r="D408" s="117"/>
      <c r="E408" s="117"/>
      <c r="F408" s="119"/>
      <c r="G408" s="114"/>
      <c r="H408" s="119"/>
      <c r="I408" s="119"/>
      <c r="J408" s="119"/>
      <c r="K408" s="119"/>
      <c r="L408" s="119"/>
      <c r="M408" s="119"/>
      <c r="N408" s="119"/>
      <c r="O408" s="119"/>
      <c r="P408" s="119"/>
    </row>
    <row r="409">
      <c r="A409" s="114">
        <v>408.0</v>
      </c>
      <c r="B409" s="115"/>
      <c r="C409" s="116"/>
      <c r="D409" s="117"/>
      <c r="E409" s="117"/>
      <c r="F409" s="119"/>
      <c r="G409" s="114"/>
      <c r="H409" s="119"/>
      <c r="I409" s="119"/>
      <c r="J409" s="119"/>
      <c r="K409" s="119"/>
      <c r="L409" s="119"/>
      <c r="M409" s="119"/>
      <c r="N409" s="119"/>
      <c r="O409" s="119"/>
      <c r="P409" s="119"/>
    </row>
    <row r="410">
      <c r="A410" s="114">
        <v>409.0</v>
      </c>
      <c r="B410" s="115"/>
      <c r="C410" s="116"/>
      <c r="D410" s="117"/>
      <c r="E410" s="117"/>
      <c r="F410" s="119"/>
      <c r="G410" s="114"/>
      <c r="H410" s="119"/>
      <c r="I410" s="119"/>
      <c r="J410" s="119"/>
      <c r="K410" s="119"/>
      <c r="L410" s="119"/>
      <c r="M410" s="119"/>
      <c r="N410" s="119"/>
      <c r="O410" s="119"/>
      <c r="P410" s="119"/>
    </row>
    <row r="411">
      <c r="A411" s="114">
        <v>410.0</v>
      </c>
      <c r="B411" s="115"/>
      <c r="C411" s="116"/>
      <c r="D411" s="117"/>
      <c r="E411" s="117"/>
      <c r="F411" s="119"/>
      <c r="G411" s="114"/>
      <c r="H411" s="119"/>
      <c r="I411" s="119"/>
      <c r="J411" s="119"/>
      <c r="K411" s="119"/>
      <c r="L411" s="119"/>
      <c r="M411" s="119"/>
      <c r="N411" s="119"/>
      <c r="O411" s="119"/>
      <c r="P411" s="119"/>
    </row>
    <row r="412">
      <c r="A412" s="114">
        <v>411.0</v>
      </c>
      <c r="B412" s="115"/>
      <c r="C412" s="116"/>
      <c r="D412" s="117"/>
      <c r="E412" s="117"/>
      <c r="F412" s="119"/>
      <c r="G412" s="114"/>
      <c r="H412" s="119"/>
      <c r="I412" s="119"/>
      <c r="J412" s="119"/>
      <c r="K412" s="119"/>
      <c r="L412" s="119"/>
      <c r="M412" s="119"/>
      <c r="N412" s="119"/>
      <c r="O412" s="119"/>
      <c r="P412" s="119"/>
    </row>
    <row r="413">
      <c r="A413" s="114">
        <v>412.0</v>
      </c>
      <c r="B413" s="115"/>
      <c r="C413" s="116"/>
      <c r="D413" s="117"/>
      <c r="E413" s="117"/>
      <c r="F413" s="119"/>
      <c r="G413" s="114"/>
      <c r="H413" s="119"/>
      <c r="I413" s="119"/>
      <c r="J413" s="119"/>
      <c r="K413" s="119"/>
      <c r="L413" s="119"/>
      <c r="M413" s="119"/>
      <c r="N413" s="119"/>
      <c r="O413" s="119"/>
      <c r="P413" s="119"/>
    </row>
    <row r="414">
      <c r="A414" s="114">
        <v>413.0</v>
      </c>
      <c r="B414" s="115"/>
      <c r="C414" s="116"/>
      <c r="D414" s="117"/>
      <c r="E414" s="117"/>
      <c r="F414" s="119"/>
      <c r="G414" s="114"/>
      <c r="H414" s="119"/>
      <c r="I414" s="119"/>
      <c r="J414" s="119"/>
      <c r="K414" s="119"/>
      <c r="L414" s="119"/>
      <c r="M414" s="119"/>
      <c r="N414" s="119"/>
      <c r="O414" s="119"/>
      <c r="P414" s="119"/>
    </row>
    <row r="415">
      <c r="A415" s="114">
        <v>414.0</v>
      </c>
      <c r="B415" s="115"/>
      <c r="C415" s="116"/>
      <c r="D415" s="117"/>
      <c r="E415" s="117"/>
      <c r="F415" s="119"/>
      <c r="G415" s="114"/>
      <c r="H415" s="119"/>
      <c r="I415" s="119"/>
      <c r="J415" s="119"/>
      <c r="K415" s="119"/>
      <c r="L415" s="119"/>
      <c r="M415" s="119"/>
      <c r="N415" s="119"/>
      <c r="O415" s="119"/>
      <c r="P415" s="119"/>
    </row>
    <row r="416">
      <c r="A416" s="114">
        <v>415.0</v>
      </c>
      <c r="B416" s="115"/>
      <c r="C416" s="116"/>
      <c r="D416" s="117"/>
      <c r="E416" s="117"/>
      <c r="F416" s="119"/>
      <c r="G416" s="114"/>
      <c r="H416" s="119"/>
      <c r="I416" s="119"/>
      <c r="J416" s="119"/>
      <c r="K416" s="119"/>
      <c r="L416" s="119"/>
      <c r="M416" s="119"/>
      <c r="N416" s="119"/>
      <c r="O416" s="119"/>
      <c r="P416" s="119"/>
    </row>
    <row r="417">
      <c r="A417" s="114">
        <v>416.0</v>
      </c>
      <c r="B417" s="115"/>
      <c r="C417" s="116"/>
      <c r="D417" s="117"/>
      <c r="E417" s="117"/>
      <c r="F417" s="119"/>
      <c r="G417" s="114"/>
      <c r="H417" s="119"/>
      <c r="I417" s="119"/>
      <c r="J417" s="119"/>
      <c r="K417" s="119"/>
      <c r="L417" s="119"/>
      <c r="M417" s="119"/>
      <c r="N417" s="119"/>
      <c r="O417" s="119"/>
      <c r="P417" s="119"/>
    </row>
    <row r="418">
      <c r="A418" s="114">
        <v>417.0</v>
      </c>
      <c r="B418" s="115"/>
      <c r="C418" s="116"/>
      <c r="D418" s="117"/>
      <c r="E418" s="117"/>
      <c r="F418" s="119"/>
      <c r="G418" s="114"/>
      <c r="H418" s="119"/>
      <c r="I418" s="119"/>
      <c r="J418" s="119"/>
      <c r="K418" s="119"/>
      <c r="L418" s="119"/>
      <c r="M418" s="119"/>
      <c r="N418" s="119"/>
      <c r="O418" s="119"/>
      <c r="P418" s="119"/>
    </row>
    <row r="419">
      <c r="A419" s="114">
        <v>418.0</v>
      </c>
      <c r="B419" s="115"/>
      <c r="C419" s="116"/>
      <c r="D419" s="117"/>
      <c r="E419" s="117"/>
      <c r="F419" s="119"/>
      <c r="G419" s="114"/>
      <c r="H419" s="119"/>
      <c r="I419" s="119"/>
      <c r="J419" s="119"/>
      <c r="K419" s="119"/>
      <c r="L419" s="119"/>
      <c r="M419" s="119"/>
      <c r="N419" s="119"/>
      <c r="O419" s="119"/>
      <c r="P419" s="119"/>
    </row>
    <row r="420">
      <c r="A420" s="114">
        <v>419.0</v>
      </c>
      <c r="B420" s="115"/>
      <c r="C420" s="116"/>
      <c r="D420" s="117"/>
      <c r="E420" s="117"/>
      <c r="F420" s="119"/>
      <c r="G420" s="114"/>
      <c r="H420" s="119"/>
      <c r="I420" s="119"/>
      <c r="J420" s="119"/>
      <c r="K420" s="119"/>
      <c r="L420" s="119"/>
      <c r="M420" s="119"/>
      <c r="N420" s="119"/>
      <c r="O420" s="119"/>
      <c r="P420" s="119"/>
    </row>
    <row r="421">
      <c r="A421" s="114">
        <v>420.0</v>
      </c>
      <c r="B421" s="115"/>
      <c r="C421" s="116"/>
      <c r="D421" s="117"/>
      <c r="E421" s="117"/>
      <c r="F421" s="119"/>
      <c r="G421" s="114"/>
      <c r="H421" s="119"/>
      <c r="I421" s="119"/>
      <c r="J421" s="119"/>
      <c r="K421" s="119"/>
      <c r="L421" s="119"/>
      <c r="M421" s="119"/>
      <c r="N421" s="119"/>
      <c r="O421" s="119"/>
      <c r="P421" s="119"/>
    </row>
    <row r="422">
      <c r="A422" s="114">
        <v>421.0</v>
      </c>
      <c r="B422" s="115"/>
      <c r="C422" s="116"/>
      <c r="D422" s="117"/>
      <c r="E422" s="117"/>
      <c r="F422" s="119"/>
      <c r="G422" s="114"/>
      <c r="H422" s="119"/>
      <c r="I422" s="119"/>
      <c r="J422" s="119"/>
      <c r="K422" s="119"/>
      <c r="L422" s="119"/>
      <c r="M422" s="119"/>
      <c r="N422" s="119"/>
      <c r="O422" s="119"/>
      <c r="P422" s="119"/>
    </row>
    <row r="423">
      <c r="A423" s="114">
        <v>422.0</v>
      </c>
      <c r="B423" s="115"/>
      <c r="C423" s="116"/>
      <c r="D423" s="117"/>
      <c r="E423" s="117"/>
      <c r="F423" s="119"/>
      <c r="G423" s="114"/>
      <c r="H423" s="119"/>
      <c r="I423" s="119"/>
      <c r="J423" s="119"/>
      <c r="K423" s="119"/>
      <c r="L423" s="119"/>
      <c r="M423" s="119"/>
      <c r="N423" s="119"/>
      <c r="O423" s="119"/>
      <c r="P423" s="119"/>
    </row>
    <row r="424">
      <c r="A424" s="114">
        <v>423.0</v>
      </c>
      <c r="B424" s="115"/>
      <c r="C424" s="116"/>
      <c r="D424" s="117"/>
      <c r="E424" s="117"/>
      <c r="F424" s="119"/>
      <c r="G424" s="114"/>
      <c r="H424" s="119"/>
      <c r="I424" s="119"/>
      <c r="J424" s="119"/>
      <c r="K424" s="119"/>
      <c r="L424" s="119"/>
      <c r="M424" s="119"/>
      <c r="N424" s="119"/>
      <c r="O424" s="119"/>
      <c r="P424" s="119"/>
    </row>
    <row r="425">
      <c r="A425" s="114">
        <v>424.0</v>
      </c>
      <c r="B425" s="115"/>
      <c r="C425" s="116"/>
      <c r="D425" s="117"/>
      <c r="E425" s="117"/>
      <c r="F425" s="119"/>
      <c r="G425" s="114"/>
      <c r="H425" s="119"/>
      <c r="I425" s="119"/>
      <c r="J425" s="119"/>
      <c r="K425" s="119"/>
      <c r="L425" s="119"/>
      <c r="M425" s="119"/>
      <c r="N425" s="119"/>
      <c r="O425" s="119"/>
      <c r="P425" s="119"/>
    </row>
    <row r="426">
      <c r="A426" s="114">
        <v>425.0</v>
      </c>
      <c r="B426" s="115"/>
      <c r="C426" s="116"/>
      <c r="D426" s="117"/>
      <c r="E426" s="117"/>
      <c r="F426" s="119"/>
      <c r="G426" s="114"/>
      <c r="H426" s="119"/>
      <c r="I426" s="119"/>
      <c r="J426" s="119"/>
      <c r="K426" s="119"/>
      <c r="L426" s="119"/>
      <c r="M426" s="119"/>
      <c r="N426" s="119"/>
      <c r="O426" s="119"/>
      <c r="P426" s="119"/>
    </row>
    <row r="427">
      <c r="A427" s="114">
        <v>426.0</v>
      </c>
      <c r="B427" s="115"/>
      <c r="C427" s="116"/>
      <c r="D427" s="117"/>
      <c r="E427" s="117"/>
      <c r="F427" s="119"/>
      <c r="G427" s="114"/>
      <c r="H427" s="119"/>
      <c r="I427" s="119"/>
      <c r="J427" s="119"/>
      <c r="K427" s="119"/>
      <c r="L427" s="119"/>
      <c r="M427" s="119"/>
      <c r="N427" s="119"/>
      <c r="O427" s="119"/>
      <c r="P427" s="119"/>
    </row>
    <row r="428">
      <c r="A428" s="114">
        <v>427.0</v>
      </c>
      <c r="B428" s="115"/>
      <c r="C428" s="116"/>
      <c r="D428" s="117"/>
      <c r="E428" s="117"/>
      <c r="F428" s="119"/>
      <c r="G428" s="114"/>
      <c r="H428" s="119"/>
      <c r="I428" s="119"/>
      <c r="J428" s="119"/>
      <c r="K428" s="119"/>
      <c r="L428" s="119"/>
      <c r="M428" s="119"/>
      <c r="N428" s="119"/>
      <c r="O428" s="119"/>
      <c r="P428" s="119"/>
    </row>
    <row r="429">
      <c r="A429" s="114">
        <v>428.0</v>
      </c>
      <c r="B429" s="115"/>
      <c r="C429" s="116"/>
      <c r="D429" s="117"/>
      <c r="E429" s="117"/>
      <c r="F429" s="119"/>
      <c r="G429" s="114"/>
      <c r="H429" s="119"/>
      <c r="I429" s="119"/>
      <c r="J429" s="119"/>
      <c r="K429" s="119"/>
      <c r="L429" s="119"/>
      <c r="M429" s="119"/>
      <c r="N429" s="119"/>
      <c r="O429" s="119"/>
      <c r="P429" s="119"/>
    </row>
    <row r="430">
      <c r="A430" s="114">
        <v>429.0</v>
      </c>
      <c r="B430" s="115"/>
      <c r="C430" s="116"/>
      <c r="D430" s="117"/>
      <c r="E430" s="117"/>
      <c r="F430" s="119"/>
      <c r="G430" s="114"/>
      <c r="H430" s="119"/>
      <c r="I430" s="119"/>
      <c r="J430" s="119"/>
      <c r="K430" s="119"/>
      <c r="L430" s="119"/>
      <c r="M430" s="119"/>
      <c r="N430" s="119"/>
      <c r="O430" s="119"/>
      <c r="P430" s="119"/>
    </row>
    <row r="431">
      <c r="A431" s="114">
        <v>430.0</v>
      </c>
      <c r="B431" s="115"/>
      <c r="C431" s="116"/>
      <c r="D431" s="117"/>
      <c r="E431" s="117"/>
      <c r="F431" s="119"/>
      <c r="G431" s="114"/>
      <c r="H431" s="119"/>
      <c r="I431" s="119"/>
      <c r="J431" s="119"/>
      <c r="K431" s="119"/>
      <c r="L431" s="119"/>
      <c r="M431" s="119"/>
      <c r="N431" s="119"/>
      <c r="O431" s="119"/>
      <c r="P431" s="119"/>
    </row>
    <row r="432">
      <c r="A432" s="114">
        <v>431.0</v>
      </c>
      <c r="B432" s="115"/>
      <c r="C432" s="116"/>
      <c r="D432" s="117"/>
      <c r="E432" s="117"/>
      <c r="F432" s="119"/>
      <c r="G432" s="114"/>
      <c r="H432" s="119"/>
      <c r="I432" s="119"/>
      <c r="J432" s="119"/>
      <c r="K432" s="119"/>
      <c r="L432" s="119"/>
      <c r="M432" s="119"/>
      <c r="N432" s="119"/>
      <c r="O432" s="119"/>
      <c r="P432" s="119"/>
    </row>
    <row r="433">
      <c r="A433" s="114">
        <v>432.0</v>
      </c>
      <c r="B433" s="115"/>
      <c r="C433" s="116"/>
      <c r="D433" s="117"/>
      <c r="E433" s="117"/>
      <c r="F433" s="119"/>
      <c r="G433" s="114"/>
      <c r="H433" s="119"/>
      <c r="I433" s="119"/>
      <c r="J433" s="119"/>
      <c r="K433" s="119"/>
      <c r="L433" s="119"/>
      <c r="M433" s="119"/>
      <c r="N433" s="119"/>
      <c r="O433" s="119"/>
      <c r="P433" s="119"/>
    </row>
    <row r="434">
      <c r="A434" s="114">
        <v>433.0</v>
      </c>
      <c r="B434" s="115"/>
      <c r="C434" s="116"/>
      <c r="D434" s="117"/>
      <c r="E434" s="117"/>
      <c r="F434" s="119"/>
      <c r="G434" s="114"/>
      <c r="H434" s="119"/>
      <c r="I434" s="119"/>
      <c r="J434" s="119"/>
      <c r="K434" s="119"/>
      <c r="L434" s="119"/>
      <c r="M434" s="119"/>
      <c r="N434" s="119"/>
      <c r="O434" s="119"/>
      <c r="P434" s="119"/>
    </row>
    <row r="435">
      <c r="A435" s="114">
        <v>434.0</v>
      </c>
      <c r="B435" s="115"/>
      <c r="C435" s="116"/>
      <c r="D435" s="117"/>
      <c r="E435" s="117"/>
      <c r="F435" s="119"/>
      <c r="G435" s="114"/>
      <c r="H435" s="119"/>
      <c r="I435" s="119"/>
      <c r="J435" s="119"/>
      <c r="K435" s="119"/>
      <c r="L435" s="119"/>
      <c r="M435" s="119"/>
      <c r="N435" s="119"/>
      <c r="O435" s="119"/>
      <c r="P435" s="119"/>
    </row>
    <row r="436">
      <c r="A436" s="114">
        <v>435.0</v>
      </c>
      <c r="B436" s="115"/>
      <c r="C436" s="116"/>
      <c r="D436" s="117"/>
      <c r="E436" s="117"/>
      <c r="F436" s="119"/>
      <c r="G436" s="114"/>
      <c r="H436" s="119"/>
      <c r="I436" s="119"/>
      <c r="J436" s="119"/>
      <c r="K436" s="119"/>
      <c r="L436" s="119"/>
      <c r="M436" s="119"/>
      <c r="N436" s="119"/>
      <c r="O436" s="119"/>
      <c r="P436" s="119"/>
    </row>
    <row r="437">
      <c r="A437" s="114">
        <v>436.0</v>
      </c>
      <c r="B437" s="115"/>
      <c r="C437" s="116"/>
      <c r="D437" s="117"/>
      <c r="E437" s="117"/>
      <c r="F437" s="119"/>
      <c r="G437" s="114"/>
      <c r="H437" s="119"/>
      <c r="I437" s="119"/>
      <c r="J437" s="119"/>
      <c r="K437" s="119"/>
      <c r="L437" s="119"/>
      <c r="M437" s="119"/>
      <c r="N437" s="119"/>
      <c r="O437" s="119"/>
      <c r="P437" s="119"/>
    </row>
    <row r="438">
      <c r="A438" s="114">
        <v>437.0</v>
      </c>
      <c r="B438" s="115"/>
      <c r="C438" s="116"/>
      <c r="D438" s="117"/>
      <c r="E438" s="117"/>
      <c r="F438" s="119"/>
      <c r="G438" s="114"/>
      <c r="H438" s="119"/>
      <c r="I438" s="119"/>
      <c r="J438" s="119"/>
      <c r="K438" s="119"/>
      <c r="L438" s="119"/>
      <c r="M438" s="119"/>
      <c r="N438" s="119"/>
      <c r="O438" s="119"/>
      <c r="P438" s="119"/>
    </row>
    <row r="439">
      <c r="A439" s="114">
        <v>438.0</v>
      </c>
      <c r="B439" s="115"/>
      <c r="C439" s="116"/>
      <c r="D439" s="117"/>
      <c r="E439" s="117"/>
      <c r="F439" s="119"/>
      <c r="G439" s="114"/>
      <c r="H439" s="119"/>
      <c r="I439" s="119"/>
      <c r="J439" s="119"/>
      <c r="K439" s="119"/>
      <c r="L439" s="119"/>
      <c r="M439" s="119"/>
      <c r="N439" s="119"/>
      <c r="O439" s="119"/>
      <c r="P439" s="119"/>
    </row>
    <row r="440">
      <c r="A440" s="114">
        <v>439.0</v>
      </c>
      <c r="B440" s="115"/>
      <c r="C440" s="116"/>
      <c r="D440" s="117"/>
      <c r="E440" s="117"/>
      <c r="F440" s="119"/>
      <c r="G440" s="114"/>
      <c r="H440" s="119"/>
      <c r="I440" s="119"/>
      <c r="J440" s="119"/>
      <c r="K440" s="119"/>
      <c r="L440" s="119"/>
      <c r="M440" s="119"/>
      <c r="N440" s="119"/>
      <c r="O440" s="119"/>
      <c r="P440" s="119"/>
    </row>
    <row r="441">
      <c r="A441" s="114">
        <v>440.0</v>
      </c>
      <c r="B441" s="115"/>
      <c r="C441" s="116"/>
      <c r="D441" s="117"/>
      <c r="E441" s="117"/>
      <c r="F441" s="119"/>
      <c r="G441" s="114"/>
      <c r="H441" s="119"/>
      <c r="I441" s="119"/>
      <c r="J441" s="119"/>
      <c r="K441" s="119"/>
      <c r="L441" s="119"/>
      <c r="M441" s="119"/>
      <c r="N441" s="119"/>
      <c r="O441" s="119"/>
      <c r="P441" s="119"/>
    </row>
    <row r="442">
      <c r="A442" s="114">
        <v>441.0</v>
      </c>
      <c r="B442" s="115"/>
      <c r="C442" s="116"/>
      <c r="D442" s="117"/>
      <c r="E442" s="117"/>
      <c r="F442" s="119"/>
      <c r="G442" s="114"/>
      <c r="H442" s="119"/>
      <c r="I442" s="119"/>
      <c r="J442" s="119"/>
      <c r="K442" s="119"/>
      <c r="L442" s="119"/>
      <c r="M442" s="119"/>
      <c r="N442" s="119"/>
      <c r="O442" s="119"/>
      <c r="P442" s="119"/>
    </row>
    <row r="443">
      <c r="A443" s="114">
        <v>442.0</v>
      </c>
      <c r="B443" s="115"/>
      <c r="C443" s="116"/>
      <c r="D443" s="117"/>
      <c r="E443" s="117"/>
      <c r="F443" s="119"/>
      <c r="G443" s="114"/>
      <c r="H443" s="119"/>
      <c r="I443" s="119"/>
      <c r="J443" s="119"/>
      <c r="K443" s="119"/>
      <c r="L443" s="119"/>
      <c r="M443" s="119"/>
      <c r="N443" s="119"/>
      <c r="O443" s="119"/>
      <c r="P443" s="119"/>
    </row>
    <row r="444">
      <c r="A444" s="114">
        <v>443.0</v>
      </c>
      <c r="B444" s="115"/>
      <c r="C444" s="116"/>
      <c r="D444" s="117"/>
      <c r="E444" s="117"/>
      <c r="F444" s="119"/>
      <c r="G444" s="114"/>
      <c r="H444" s="119"/>
      <c r="I444" s="119"/>
      <c r="J444" s="119"/>
      <c r="K444" s="119"/>
      <c r="L444" s="119"/>
      <c r="M444" s="119"/>
      <c r="N444" s="119"/>
      <c r="O444" s="119"/>
      <c r="P444" s="119"/>
    </row>
    <row r="445">
      <c r="A445" s="114">
        <v>444.0</v>
      </c>
      <c r="B445" s="115"/>
      <c r="C445" s="116"/>
      <c r="D445" s="117"/>
      <c r="E445" s="117"/>
      <c r="F445" s="119"/>
      <c r="G445" s="114"/>
      <c r="H445" s="119"/>
      <c r="I445" s="119"/>
      <c r="J445" s="119"/>
      <c r="K445" s="119"/>
      <c r="L445" s="119"/>
      <c r="M445" s="119"/>
      <c r="N445" s="119"/>
      <c r="O445" s="119"/>
      <c r="P445" s="119"/>
    </row>
    <row r="446">
      <c r="A446" s="114">
        <v>445.0</v>
      </c>
      <c r="B446" s="115"/>
      <c r="C446" s="116"/>
      <c r="D446" s="117"/>
      <c r="E446" s="117"/>
      <c r="F446" s="119"/>
      <c r="G446" s="114"/>
      <c r="H446" s="119"/>
      <c r="I446" s="119"/>
      <c r="J446" s="119"/>
      <c r="K446" s="119"/>
      <c r="L446" s="119"/>
      <c r="M446" s="119"/>
      <c r="N446" s="119"/>
      <c r="O446" s="119"/>
      <c r="P446" s="119"/>
    </row>
    <row r="447">
      <c r="A447" s="114">
        <v>446.0</v>
      </c>
      <c r="B447" s="115"/>
      <c r="C447" s="116"/>
      <c r="D447" s="117"/>
      <c r="E447" s="117"/>
      <c r="F447" s="119"/>
      <c r="G447" s="114"/>
      <c r="H447" s="119"/>
      <c r="I447" s="119"/>
      <c r="J447" s="119"/>
      <c r="K447" s="119"/>
      <c r="L447" s="119"/>
      <c r="M447" s="119"/>
      <c r="N447" s="119"/>
      <c r="O447" s="119"/>
      <c r="P447" s="119"/>
    </row>
    <row r="448">
      <c r="A448" s="114">
        <v>447.0</v>
      </c>
      <c r="B448" s="115"/>
      <c r="C448" s="116"/>
      <c r="D448" s="117"/>
      <c r="E448" s="117"/>
      <c r="F448" s="119"/>
      <c r="G448" s="114"/>
      <c r="H448" s="119"/>
      <c r="I448" s="119"/>
      <c r="J448" s="119"/>
      <c r="K448" s="119"/>
      <c r="L448" s="119"/>
      <c r="M448" s="119"/>
      <c r="N448" s="119"/>
      <c r="O448" s="119"/>
      <c r="P448" s="119"/>
    </row>
    <row r="449">
      <c r="A449" s="114">
        <v>448.0</v>
      </c>
      <c r="B449" s="115"/>
      <c r="C449" s="116"/>
      <c r="D449" s="117"/>
      <c r="E449" s="117"/>
      <c r="F449" s="119"/>
      <c r="G449" s="114"/>
      <c r="H449" s="119"/>
      <c r="I449" s="119"/>
      <c r="J449" s="119"/>
      <c r="K449" s="119"/>
      <c r="L449" s="119"/>
      <c r="M449" s="119"/>
      <c r="N449" s="119"/>
      <c r="O449" s="119"/>
      <c r="P449" s="119"/>
    </row>
    <row r="450">
      <c r="A450" s="114">
        <v>449.0</v>
      </c>
      <c r="B450" s="115"/>
      <c r="C450" s="116"/>
      <c r="D450" s="117"/>
      <c r="E450" s="117"/>
      <c r="F450" s="119"/>
      <c r="G450" s="114"/>
      <c r="H450" s="119"/>
      <c r="I450" s="119"/>
      <c r="J450" s="119"/>
      <c r="K450" s="119"/>
      <c r="L450" s="119"/>
      <c r="M450" s="119"/>
      <c r="N450" s="119"/>
      <c r="O450" s="119"/>
      <c r="P450" s="119"/>
    </row>
    <row r="451">
      <c r="A451" s="114">
        <v>450.0</v>
      </c>
      <c r="B451" s="115"/>
      <c r="C451" s="116"/>
      <c r="D451" s="117"/>
      <c r="E451" s="117"/>
      <c r="F451" s="119"/>
      <c r="G451" s="114"/>
      <c r="H451" s="119"/>
      <c r="I451" s="119"/>
      <c r="J451" s="119"/>
      <c r="K451" s="119"/>
      <c r="L451" s="119"/>
      <c r="M451" s="119"/>
      <c r="N451" s="119"/>
      <c r="O451" s="119"/>
      <c r="P451" s="119"/>
    </row>
    <row r="452">
      <c r="A452" s="114">
        <v>451.0</v>
      </c>
      <c r="B452" s="115"/>
      <c r="C452" s="116"/>
      <c r="D452" s="117"/>
      <c r="E452" s="117"/>
      <c r="F452" s="119"/>
      <c r="G452" s="114"/>
      <c r="H452" s="119"/>
      <c r="I452" s="119"/>
      <c r="J452" s="119"/>
      <c r="K452" s="119"/>
      <c r="L452" s="119"/>
      <c r="M452" s="119"/>
      <c r="N452" s="119"/>
      <c r="O452" s="119"/>
      <c r="P452" s="119"/>
    </row>
    <row r="453">
      <c r="A453" s="114">
        <v>452.0</v>
      </c>
      <c r="B453" s="115"/>
      <c r="C453" s="116"/>
      <c r="D453" s="117"/>
      <c r="E453" s="117"/>
      <c r="F453" s="119"/>
      <c r="G453" s="114"/>
      <c r="H453" s="119"/>
      <c r="I453" s="119"/>
      <c r="J453" s="119"/>
      <c r="K453" s="119"/>
      <c r="L453" s="119"/>
      <c r="M453" s="119"/>
      <c r="N453" s="119"/>
      <c r="O453" s="119"/>
      <c r="P453" s="119"/>
    </row>
    <row r="454">
      <c r="A454" s="114">
        <v>453.0</v>
      </c>
      <c r="B454" s="115"/>
      <c r="C454" s="116"/>
      <c r="D454" s="117"/>
      <c r="E454" s="117"/>
      <c r="F454" s="119"/>
      <c r="G454" s="114"/>
      <c r="H454" s="119"/>
      <c r="I454" s="119"/>
      <c r="J454" s="119"/>
      <c r="K454" s="119"/>
      <c r="L454" s="119"/>
      <c r="M454" s="119"/>
      <c r="N454" s="119"/>
      <c r="O454" s="119"/>
      <c r="P454" s="119"/>
    </row>
    <row r="455">
      <c r="A455" s="114">
        <v>454.0</v>
      </c>
      <c r="B455" s="115"/>
      <c r="C455" s="116"/>
      <c r="D455" s="117"/>
      <c r="E455" s="117"/>
      <c r="F455" s="119"/>
      <c r="G455" s="114"/>
      <c r="H455" s="119"/>
      <c r="I455" s="119"/>
      <c r="J455" s="119"/>
      <c r="K455" s="119"/>
      <c r="L455" s="119"/>
      <c r="M455" s="119"/>
      <c r="N455" s="119"/>
      <c r="O455" s="119"/>
      <c r="P455" s="119"/>
    </row>
    <row r="456">
      <c r="A456" s="114">
        <v>455.0</v>
      </c>
      <c r="B456" s="115"/>
      <c r="C456" s="116"/>
      <c r="D456" s="117"/>
      <c r="E456" s="117"/>
      <c r="F456" s="119"/>
      <c r="G456" s="114"/>
      <c r="H456" s="119"/>
      <c r="I456" s="119"/>
      <c r="J456" s="119"/>
      <c r="K456" s="119"/>
      <c r="L456" s="119"/>
      <c r="M456" s="119"/>
      <c r="N456" s="119"/>
      <c r="O456" s="119"/>
      <c r="P456" s="119"/>
    </row>
    <row r="457">
      <c r="A457" s="114">
        <v>456.0</v>
      </c>
      <c r="B457" s="115"/>
      <c r="C457" s="116"/>
      <c r="D457" s="117"/>
      <c r="E457" s="117"/>
      <c r="F457" s="119"/>
      <c r="G457" s="114"/>
      <c r="H457" s="119"/>
      <c r="I457" s="119"/>
      <c r="J457" s="119"/>
      <c r="K457" s="119"/>
      <c r="L457" s="119"/>
      <c r="M457" s="119"/>
      <c r="N457" s="119"/>
      <c r="O457" s="119"/>
      <c r="P457" s="119"/>
    </row>
    <row r="458">
      <c r="A458" s="114">
        <v>457.0</v>
      </c>
      <c r="B458" s="115"/>
      <c r="C458" s="116"/>
      <c r="D458" s="117"/>
      <c r="E458" s="117"/>
      <c r="F458" s="119"/>
      <c r="G458" s="114"/>
      <c r="H458" s="119"/>
      <c r="I458" s="119"/>
      <c r="J458" s="119"/>
      <c r="K458" s="119"/>
      <c r="L458" s="119"/>
      <c r="M458" s="119"/>
      <c r="N458" s="119"/>
      <c r="O458" s="119"/>
      <c r="P458" s="119"/>
    </row>
    <row r="459">
      <c r="A459" s="114">
        <v>458.0</v>
      </c>
      <c r="B459" s="115"/>
      <c r="C459" s="116"/>
      <c r="D459" s="117"/>
      <c r="E459" s="117"/>
      <c r="F459" s="119"/>
      <c r="G459" s="114"/>
      <c r="H459" s="119"/>
      <c r="I459" s="119"/>
      <c r="J459" s="119"/>
      <c r="K459" s="119"/>
      <c r="L459" s="119"/>
      <c r="M459" s="119"/>
      <c r="N459" s="119"/>
      <c r="O459" s="119"/>
      <c r="P459" s="119"/>
    </row>
    <row r="460">
      <c r="A460" s="114">
        <v>459.0</v>
      </c>
      <c r="B460" s="115"/>
      <c r="C460" s="116"/>
      <c r="D460" s="117"/>
      <c r="E460" s="117"/>
      <c r="F460" s="119"/>
      <c r="G460" s="114"/>
      <c r="H460" s="119"/>
      <c r="I460" s="119"/>
      <c r="J460" s="119"/>
      <c r="K460" s="119"/>
      <c r="L460" s="119"/>
      <c r="M460" s="119"/>
      <c r="N460" s="119"/>
      <c r="O460" s="119"/>
      <c r="P460" s="119"/>
    </row>
    <row r="461">
      <c r="A461" s="114">
        <v>460.0</v>
      </c>
      <c r="B461" s="115"/>
      <c r="C461" s="116"/>
      <c r="D461" s="117"/>
      <c r="E461" s="117"/>
      <c r="F461" s="119"/>
      <c r="G461" s="114"/>
      <c r="H461" s="119"/>
      <c r="I461" s="119"/>
      <c r="J461" s="119"/>
      <c r="K461" s="119"/>
      <c r="L461" s="119"/>
      <c r="M461" s="119"/>
      <c r="N461" s="119"/>
      <c r="O461" s="119"/>
      <c r="P461" s="119"/>
    </row>
    <row r="462">
      <c r="A462" s="114">
        <v>461.0</v>
      </c>
      <c r="B462" s="115"/>
      <c r="C462" s="116"/>
      <c r="D462" s="117"/>
      <c r="E462" s="117"/>
      <c r="F462" s="119"/>
      <c r="G462" s="114"/>
      <c r="H462" s="119"/>
      <c r="I462" s="119"/>
      <c r="J462" s="119"/>
      <c r="K462" s="119"/>
      <c r="L462" s="119"/>
      <c r="M462" s="119"/>
      <c r="N462" s="119"/>
      <c r="O462" s="119"/>
      <c r="P462" s="119"/>
    </row>
    <row r="463">
      <c r="A463" s="114">
        <v>462.0</v>
      </c>
      <c r="B463" s="115"/>
      <c r="C463" s="116"/>
      <c r="D463" s="117"/>
      <c r="E463" s="117"/>
      <c r="F463" s="119"/>
      <c r="G463" s="114"/>
      <c r="H463" s="119"/>
      <c r="I463" s="119"/>
      <c r="J463" s="119"/>
      <c r="K463" s="119"/>
      <c r="L463" s="119"/>
      <c r="M463" s="119"/>
      <c r="N463" s="119"/>
      <c r="O463" s="119"/>
      <c r="P463" s="119"/>
    </row>
    <row r="464">
      <c r="A464" s="114">
        <v>463.0</v>
      </c>
      <c r="B464" s="115"/>
      <c r="C464" s="116"/>
      <c r="D464" s="117"/>
      <c r="E464" s="117"/>
      <c r="F464" s="119"/>
      <c r="G464" s="114"/>
      <c r="H464" s="119"/>
      <c r="I464" s="119"/>
      <c r="J464" s="119"/>
      <c r="K464" s="119"/>
      <c r="L464" s="119"/>
      <c r="M464" s="119"/>
      <c r="N464" s="119"/>
      <c r="O464" s="119"/>
      <c r="P464" s="119"/>
    </row>
    <row r="465">
      <c r="A465" s="114">
        <v>464.0</v>
      </c>
      <c r="B465" s="115"/>
      <c r="C465" s="116"/>
      <c r="D465" s="117"/>
      <c r="E465" s="117"/>
      <c r="F465" s="119"/>
      <c r="G465" s="114"/>
      <c r="H465" s="119"/>
      <c r="I465" s="119"/>
      <c r="J465" s="119"/>
      <c r="K465" s="119"/>
      <c r="L465" s="119"/>
      <c r="M465" s="119"/>
      <c r="N465" s="119"/>
      <c r="O465" s="119"/>
      <c r="P465" s="119"/>
    </row>
    <row r="466">
      <c r="A466" s="114">
        <v>465.0</v>
      </c>
      <c r="B466" s="115"/>
      <c r="C466" s="116"/>
      <c r="D466" s="117"/>
      <c r="E466" s="117"/>
      <c r="F466" s="119"/>
      <c r="G466" s="114"/>
      <c r="H466" s="119"/>
      <c r="I466" s="119"/>
      <c r="J466" s="119"/>
      <c r="K466" s="119"/>
      <c r="L466" s="119"/>
      <c r="M466" s="119"/>
      <c r="N466" s="119"/>
      <c r="O466" s="119"/>
      <c r="P466" s="119"/>
    </row>
    <row r="467">
      <c r="A467" s="114">
        <v>466.0</v>
      </c>
      <c r="B467" s="115"/>
      <c r="C467" s="116"/>
      <c r="D467" s="117"/>
      <c r="E467" s="117"/>
      <c r="F467" s="119"/>
      <c r="G467" s="114"/>
      <c r="H467" s="119"/>
      <c r="I467" s="119"/>
      <c r="J467" s="119"/>
      <c r="K467" s="119"/>
      <c r="L467" s="119"/>
      <c r="M467" s="119"/>
      <c r="N467" s="119"/>
      <c r="O467" s="119"/>
      <c r="P467" s="119"/>
    </row>
    <row r="468">
      <c r="A468" s="114">
        <v>467.0</v>
      </c>
      <c r="B468" s="115"/>
      <c r="C468" s="116"/>
      <c r="D468" s="117"/>
      <c r="E468" s="117"/>
      <c r="F468" s="119"/>
      <c r="G468" s="114"/>
      <c r="H468" s="119"/>
      <c r="I468" s="119"/>
      <c r="J468" s="119"/>
      <c r="K468" s="119"/>
      <c r="L468" s="119"/>
      <c r="M468" s="119"/>
      <c r="N468" s="119"/>
      <c r="O468" s="119"/>
      <c r="P468" s="119"/>
    </row>
    <row r="469">
      <c r="A469" s="114">
        <v>468.0</v>
      </c>
      <c r="B469" s="115"/>
      <c r="C469" s="116"/>
      <c r="D469" s="117"/>
      <c r="E469" s="117"/>
      <c r="F469" s="119"/>
      <c r="G469" s="114"/>
      <c r="H469" s="119"/>
      <c r="I469" s="119"/>
      <c r="J469" s="119"/>
      <c r="K469" s="119"/>
      <c r="L469" s="119"/>
      <c r="M469" s="119"/>
      <c r="N469" s="119"/>
      <c r="O469" s="119"/>
      <c r="P469" s="119"/>
    </row>
    <row r="470">
      <c r="A470" s="114">
        <v>469.0</v>
      </c>
      <c r="B470" s="115"/>
      <c r="C470" s="116"/>
      <c r="D470" s="117"/>
      <c r="E470" s="117"/>
      <c r="F470" s="119"/>
      <c r="G470" s="114"/>
      <c r="H470" s="119"/>
      <c r="I470" s="119"/>
      <c r="J470" s="119"/>
      <c r="K470" s="119"/>
      <c r="L470" s="119"/>
      <c r="M470" s="119"/>
      <c r="N470" s="119"/>
      <c r="O470" s="119"/>
      <c r="P470" s="119"/>
    </row>
    <row r="471">
      <c r="A471" s="114">
        <v>470.0</v>
      </c>
      <c r="B471" s="115"/>
      <c r="C471" s="116"/>
      <c r="D471" s="117"/>
      <c r="E471" s="117"/>
      <c r="F471" s="119"/>
      <c r="G471" s="114"/>
      <c r="H471" s="119"/>
      <c r="I471" s="119"/>
      <c r="J471" s="119"/>
      <c r="K471" s="119"/>
      <c r="L471" s="119"/>
      <c r="M471" s="119"/>
      <c r="N471" s="119"/>
      <c r="O471" s="119"/>
      <c r="P471" s="119"/>
    </row>
    <row r="472">
      <c r="A472" s="114">
        <v>471.0</v>
      </c>
      <c r="B472" s="115"/>
      <c r="C472" s="116"/>
      <c r="D472" s="117"/>
      <c r="E472" s="117"/>
      <c r="F472" s="119"/>
      <c r="G472" s="114"/>
      <c r="H472" s="119"/>
      <c r="I472" s="119"/>
      <c r="J472" s="119"/>
      <c r="K472" s="119"/>
      <c r="L472" s="119"/>
      <c r="M472" s="119"/>
      <c r="N472" s="119"/>
      <c r="O472" s="119"/>
      <c r="P472" s="119"/>
    </row>
    <row r="473">
      <c r="A473" s="114">
        <v>472.0</v>
      </c>
      <c r="B473" s="115"/>
      <c r="C473" s="116"/>
      <c r="D473" s="117"/>
      <c r="E473" s="117"/>
      <c r="F473" s="119"/>
      <c r="G473" s="114"/>
      <c r="H473" s="119"/>
      <c r="I473" s="119"/>
      <c r="J473" s="119"/>
      <c r="K473" s="119"/>
      <c r="L473" s="119"/>
      <c r="M473" s="119"/>
      <c r="N473" s="119"/>
      <c r="O473" s="119"/>
      <c r="P473" s="119"/>
    </row>
    <row r="474">
      <c r="A474" s="114">
        <v>473.0</v>
      </c>
      <c r="B474" s="115"/>
      <c r="C474" s="116"/>
      <c r="D474" s="117"/>
      <c r="E474" s="117"/>
      <c r="F474" s="119"/>
      <c r="G474" s="114"/>
      <c r="H474" s="119"/>
      <c r="I474" s="119"/>
      <c r="J474" s="119"/>
      <c r="K474" s="119"/>
      <c r="L474" s="119"/>
      <c r="M474" s="119"/>
      <c r="N474" s="119"/>
      <c r="O474" s="119"/>
      <c r="P474" s="119"/>
    </row>
    <row r="475">
      <c r="A475" s="114">
        <v>474.0</v>
      </c>
      <c r="B475" s="115"/>
      <c r="C475" s="116"/>
      <c r="D475" s="117"/>
      <c r="E475" s="117"/>
      <c r="F475" s="119"/>
      <c r="G475" s="114"/>
      <c r="H475" s="119"/>
      <c r="I475" s="119"/>
      <c r="J475" s="119"/>
      <c r="K475" s="119"/>
      <c r="L475" s="119"/>
      <c r="M475" s="119"/>
      <c r="N475" s="119"/>
      <c r="O475" s="119"/>
      <c r="P475" s="119"/>
    </row>
    <row r="476">
      <c r="A476" s="114">
        <v>475.0</v>
      </c>
      <c r="B476" s="115"/>
      <c r="C476" s="116"/>
      <c r="D476" s="117"/>
      <c r="E476" s="117"/>
      <c r="F476" s="119"/>
      <c r="G476" s="114"/>
      <c r="H476" s="119"/>
      <c r="I476" s="119"/>
      <c r="J476" s="119"/>
      <c r="K476" s="119"/>
      <c r="L476" s="119"/>
      <c r="M476" s="119"/>
      <c r="N476" s="119"/>
      <c r="O476" s="119"/>
      <c r="P476" s="119"/>
    </row>
    <row r="477">
      <c r="A477" s="114">
        <v>476.0</v>
      </c>
      <c r="B477" s="115"/>
      <c r="C477" s="116"/>
      <c r="D477" s="117"/>
      <c r="E477" s="117"/>
      <c r="F477" s="119"/>
      <c r="G477" s="114"/>
      <c r="H477" s="119"/>
      <c r="I477" s="119"/>
      <c r="J477" s="119"/>
      <c r="K477" s="119"/>
      <c r="L477" s="119"/>
      <c r="M477" s="119"/>
      <c r="N477" s="119"/>
      <c r="O477" s="119"/>
      <c r="P477" s="119"/>
    </row>
    <row r="478">
      <c r="A478" s="114">
        <v>477.0</v>
      </c>
      <c r="B478" s="115"/>
      <c r="C478" s="116"/>
      <c r="D478" s="117"/>
      <c r="E478" s="117"/>
      <c r="F478" s="119"/>
      <c r="G478" s="114"/>
      <c r="H478" s="119"/>
      <c r="I478" s="119"/>
      <c r="J478" s="119"/>
      <c r="K478" s="119"/>
      <c r="L478" s="119"/>
      <c r="M478" s="119"/>
      <c r="N478" s="119"/>
      <c r="O478" s="119"/>
      <c r="P478" s="119"/>
    </row>
    <row r="479">
      <c r="A479" s="114">
        <v>478.0</v>
      </c>
      <c r="B479" s="115"/>
      <c r="C479" s="116"/>
      <c r="D479" s="117"/>
      <c r="E479" s="117"/>
      <c r="F479" s="119"/>
      <c r="G479" s="114"/>
      <c r="H479" s="119"/>
      <c r="I479" s="119"/>
      <c r="J479" s="119"/>
      <c r="K479" s="119"/>
      <c r="L479" s="119"/>
      <c r="M479" s="119"/>
      <c r="N479" s="119"/>
      <c r="O479" s="119"/>
      <c r="P479" s="119"/>
    </row>
    <row r="480">
      <c r="A480" s="114">
        <v>479.0</v>
      </c>
      <c r="B480" s="115"/>
      <c r="C480" s="116"/>
      <c r="D480" s="117"/>
      <c r="E480" s="117"/>
      <c r="F480" s="119"/>
      <c r="G480" s="114"/>
      <c r="H480" s="119"/>
      <c r="I480" s="119"/>
      <c r="J480" s="119"/>
      <c r="K480" s="119"/>
      <c r="L480" s="119"/>
      <c r="M480" s="119"/>
      <c r="N480" s="119"/>
      <c r="O480" s="119"/>
      <c r="P480" s="119"/>
    </row>
  </sheetData>
  <dataValidations>
    <dataValidation type="list" allowBlank="1" showErrorMessage="1" sqref="E2:E480">
      <formula1>'Master Data'!$D$5:$D$1246</formula1>
    </dataValidation>
    <dataValidation type="list" allowBlank="1" showErrorMessage="1" sqref="G2:G480">
      <formula1>'Master Data'!$E$5:$E$6</formula1>
    </dataValidation>
    <dataValidation type="list" allowBlank="1" showErrorMessage="1" sqref="B2:B480">
      <formula1>'Master Data'!$A$5:$A$21</formula1>
    </dataValidation>
    <dataValidation type="list" allowBlank="1" showErrorMessage="1" sqref="D2:D480">
      <formula1>'Master Data'!$C$5:$C$98</formula1>
    </dataValidation>
    <dataValidation type="list" allowBlank="1" showErrorMessage="1" sqref="C2:C480">
      <formula1>'Master Data'!$B$5:$B$21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88"/>
    <col customWidth="1" min="3" max="6" width="12.63"/>
    <col customWidth="1" hidden="1" min="7" max="8" width="12.63"/>
    <col customWidth="1" min="9" max="10" width="12.63"/>
  </cols>
  <sheetData>
    <row r="1">
      <c r="A1" s="120" t="s">
        <v>0</v>
      </c>
      <c r="B1" s="121" t="s">
        <v>1</v>
      </c>
      <c r="C1" s="122" t="s">
        <v>117</v>
      </c>
      <c r="D1" s="3"/>
      <c r="E1" s="3"/>
      <c r="F1" s="3"/>
      <c r="G1" s="3"/>
      <c r="H1" s="3"/>
      <c r="I1" s="3"/>
      <c r="J1" s="4"/>
    </row>
    <row r="2">
      <c r="A2" s="5"/>
      <c r="B2" s="5"/>
      <c r="C2" s="123" t="s">
        <v>3</v>
      </c>
      <c r="D2" s="7"/>
      <c r="E2" s="8" t="s">
        <v>4</v>
      </c>
      <c r="F2" s="7"/>
      <c r="G2" s="9" t="s">
        <v>5</v>
      </c>
      <c r="H2" s="10" t="s">
        <v>6</v>
      </c>
      <c r="I2" s="11" t="s">
        <v>7</v>
      </c>
    </row>
    <row r="3">
      <c r="A3" s="5"/>
      <c r="B3" s="5"/>
      <c r="C3" s="12"/>
      <c r="D3" s="13"/>
      <c r="E3" s="12"/>
      <c r="F3" s="13"/>
      <c r="G3" s="5"/>
      <c r="H3" s="5"/>
      <c r="I3" s="12"/>
      <c r="J3" s="14"/>
    </row>
    <row r="4">
      <c r="A4" s="15"/>
      <c r="B4" s="15"/>
      <c r="C4" s="16" t="s">
        <v>8</v>
      </c>
      <c r="D4" s="16" t="s">
        <v>9</v>
      </c>
      <c r="E4" s="17" t="s">
        <v>8</v>
      </c>
      <c r="F4" s="17" t="s">
        <v>9</v>
      </c>
      <c r="G4" s="15"/>
      <c r="H4" s="15"/>
      <c r="I4" s="18" t="s">
        <v>10</v>
      </c>
      <c r="J4" s="18" t="s">
        <v>11</v>
      </c>
    </row>
    <row r="5">
      <c r="A5" s="26" t="s">
        <v>12</v>
      </c>
      <c r="B5" s="26" t="s">
        <v>13</v>
      </c>
      <c r="C5" s="124">
        <f>countifs(Government!C:C,"NCR", Government!H:H,"Government")</f>
        <v>4</v>
      </c>
      <c r="D5" s="124">
        <f>SUMIFS(Government!J:J,Government!C:C,"NCR", Government!H:H,"Government")</f>
        <v>84</v>
      </c>
      <c r="E5" s="124">
        <f>countifs(Private!C:C,"NCR", Private!H:H,"Private")</f>
        <v>16</v>
      </c>
      <c r="F5" s="124">
        <f>SUMIFS(Private!J:J,Private!C:C,"NCR", Private!H:H,"Private")</f>
        <v>160</v>
      </c>
      <c r="G5" s="125">
        <f t="shared" ref="G5:H5" si="1">SUM(C5,E5)</f>
        <v>20</v>
      </c>
      <c r="H5" s="125">
        <f t="shared" si="1"/>
        <v>244</v>
      </c>
      <c r="I5" s="126">
        <f t="shared" ref="I5:J5" si="2">C5+E5</f>
        <v>20</v>
      </c>
      <c r="J5" s="124">
        <f t="shared" si="2"/>
        <v>244</v>
      </c>
    </row>
    <row r="6">
      <c r="A6" s="26" t="s">
        <v>14</v>
      </c>
      <c r="B6" s="26" t="s">
        <v>15</v>
      </c>
      <c r="C6" s="124">
        <f>countifs(Government!C:C,"Region 1", Government!H:H,"Government")</f>
        <v>10</v>
      </c>
      <c r="D6" s="124">
        <f>SUMIFS(Government!J:J,Government!C:C,"Region 1", Government!H:H,"Government")</f>
        <v>138</v>
      </c>
      <c r="E6" s="124">
        <f>countifs(Private!C:C,"Region 1", Private!H:H,"Private")</f>
        <v>26</v>
      </c>
      <c r="F6" s="124">
        <f>SUMIFS(Private!J:J,Private!C:C,"Region 1", Private!H:H,"Private")</f>
        <v>334</v>
      </c>
      <c r="G6" s="125">
        <f t="shared" ref="G6:H6" si="3">SUM(C6,E6)</f>
        <v>36</v>
      </c>
      <c r="H6" s="125">
        <f t="shared" si="3"/>
        <v>472</v>
      </c>
      <c r="I6" s="126">
        <f t="shared" ref="I6:J6" si="4">C6+E6</f>
        <v>36</v>
      </c>
      <c r="J6" s="124">
        <f t="shared" si="4"/>
        <v>472</v>
      </c>
    </row>
    <row r="7">
      <c r="A7" s="26" t="s">
        <v>16</v>
      </c>
      <c r="B7" s="26" t="s">
        <v>17</v>
      </c>
      <c r="C7" s="124">
        <f>countifs(Government!C:C,"Region 2", Government!H:H,"Government")</f>
        <v>28</v>
      </c>
      <c r="D7" s="124">
        <f>SUMIFS(Government!J:J,Government!C:C,"Region 2", Government!H:H,"Government")</f>
        <v>377</v>
      </c>
      <c r="E7" s="124">
        <f>countifs(Private!C:C,"Region 2", Private!H:H,"Private")</f>
        <v>8</v>
      </c>
      <c r="F7" s="124">
        <f>SUMIFS(Private!J:J,Private!C:C,"Region 2", Private!H:H,"Private")</f>
        <v>105</v>
      </c>
      <c r="G7" s="125">
        <f t="shared" ref="G7:H7" si="5">SUM(C7,E7)</f>
        <v>36</v>
      </c>
      <c r="H7" s="125">
        <f t="shared" si="5"/>
        <v>482</v>
      </c>
      <c r="I7" s="126">
        <f t="shared" ref="I7:J7" si="6">C7+E7</f>
        <v>36</v>
      </c>
      <c r="J7" s="124">
        <f t="shared" si="6"/>
        <v>482</v>
      </c>
    </row>
    <row r="8">
      <c r="A8" s="26" t="s">
        <v>18</v>
      </c>
      <c r="B8" s="26" t="s">
        <v>19</v>
      </c>
      <c r="C8" s="124">
        <f>countifs(Government!C:C,"Region 3", Government!H:H,"Government")</f>
        <v>20</v>
      </c>
      <c r="D8" s="124">
        <f>SUMIFS(Government!J:J,Government!C:C,"Region 3", Government!H:H,"Government")</f>
        <v>361</v>
      </c>
      <c r="E8" s="124">
        <f>countifs(Private!C:C,"Region 3", Private!H:H,"Private")</f>
        <v>23</v>
      </c>
      <c r="F8" s="124">
        <f>SUMIFS(Private!J:J,Private!C:C,"Region 3", Private!H:H,"Private")</f>
        <v>301</v>
      </c>
      <c r="G8" s="125">
        <f t="shared" ref="G8:H8" si="7">SUM(C8,E8)</f>
        <v>43</v>
      </c>
      <c r="H8" s="125">
        <f t="shared" si="7"/>
        <v>662</v>
      </c>
      <c r="I8" s="126">
        <f t="shared" ref="I8:J8" si="8">C8+E8</f>
        <v>43</v>
      </c>
      <c r="J8" s="124">
        <f t="shared" si="8"/>
        <v>662</v>
      </c>
    </row>
    <row r="9">
      <c r="A9" s="26" t="s">
        <v>20</v>
      </c>
      <c r="B9" s="26" t="s">
        <v>21</v>
      </c>
      <c r="C9" s="124">
        <f>countifs(Government!C:C,"Region 4-A", Government!H:H,"Government")</f>
        <v>21</v>
      </c>
      <c r="D9" s="124">
        <f>SUMIFS(Government!J:J,Government!C:C,"Region 4-A", Government!H:H,"Government")</f>
        <v>358</v>
      </c>
      <c r="E9" s="124">
        <f>countifs(Private!C:C,"Region 4-A", Private!H:H,"Private")</f>
        <v>16</v>
      </c>
      <c r="F9" s="124">
        <f>SUMIFS(Private!J:J,Private!C:C,"Region 4-A", Private!H:H,"Private")</f>
        <v>196</v>
      </c>
      <c r="G9" s="125">
        <f t="shared" ref="G9:H9" si="9">SUM(C9,E9)</f>
        <v>37</v>
      </c>
      <c r="H9" s="125">
        <f t="shared" si="9"/>
        <v>554</v>
      </c>
      <c r="I9" s="126">
        <f t="shared" ref="I9:J9" si="10">C9+E9</f>
        <v>37</v>
      </c>
      <c r="J9" s="124">
        <f t="shared" si="10"/>
        <v>554</v>
      </c>
    </row>
    <row r="10">
      <c r="A10" s="26" t="s">
        <v>22</v>
      </c>
      <c r="B10" s="26" t="s">
        <v>23</v>
      </c>
      <c r="C10" s="124">
        <f>countifs(Government!C:C,"Region 4-B", Government!H:H,"Government")</f>
        <v>26</v>
      </c>
      <c r="D10" s="124">
        <f>SUMIFS(Government!J:J,Government!C:C,"Region 4-B", Government!H:H,"Government")</f>
        <v>378</v>
      </c>
      <c r="E10" s="124">
        <f>countifs(Private!C:C,"Region 4-B", Private!H:H,"Private")</f>
        <v>8</v>
      </c>
      <c r="F10" s="124">
        <f>SUMIFS(Private!J:J,Private!C:C,"Region 4-B", Private!H:H,"Private")</f>
        <v>69</v>
      </c>
      <c r="G10" s="125">
        <f t="shared" ref="G10:H10" si="11">SUM(C10,E10)</f>
        <v>34</v>
      </c>
      <c r="H10" s="125">
        <f t="shared" si="11"/>
        <v>447</v>
      </c>
      <c r="I10" s="126">
        <f t="shared" ref="I10:J10" si="12">C10+E10</f>
        <v>34</v>
      </c>
      <c r="J10" s="124">
        <f t="shared" si="12"/>
        <v>447</v>
      </c>
    </row>
    <row r="11">
      <c r="A11" s="26" t="s">
        <v>24</v>
      </c>
      <c r="B11" s="26" t="s">
        <v>25</v>
      </c>
      <c r="C11" s="124">
        <f>countifs(Government!C:C,"Region 5", Government!H:H,"Government")</f>
        <v>34</v>
      </c>
      <c r="D11" s="124">
        <f>SUMIFS(Government!J:J,Government!C:C,"Region 5", Government!H:H,"Government")</f>
        <v>482</v>
      </c>
      <c r="E11" s="124">
        <f>countifs(Private!C:C,"Region 5", Private!H:H,"Private")</f>
        <v>21</v>
      </c>
      <c r="F11" s="124">
        <f>SUMIFS(Private!J:J,Private!C:C,"Region 5", Private!H:H,"Private")</f>
        <v>265</v>
      </c>
      <c r="G11" s="125">
        <f t="shared" ref="G11:H11" si="13">SUM(C11,E11)</f>
        <v>55</v>
      </c>
      <c r="H11" s="125">
        <f t="shared" si="13"/>
        <v>747</v>
      </c>
      <c r="I11" s="126">
        <f t="shared" ref="I11:J11" si="14">C11+E11</f>
        <v>55</v>
      </c>
      <c r="J11" s="124">
        <f t="shared" si="14"/>
        <v>747</v>
      </c>
    </row>
    <row r="12">
      <c r="A12" s="26" t="s">
        <v>26</v>
      </c>
      <c r="B12" s="26" t="s">
        <v>27</v>
      </c>
      <c r="C12" s="124">
        <f>countifs(Government!C:C,"Region 6", Government!H:H,"Government")</f>
        <v>18</v>
      </c>
      <c r="D12" s="124">
        <f>SUMIFS(Government!J:J,Government!C:C,"Region 6", Government!H:H,"Government")</f>
        <v>319</v>
      </c>
      <c r="E12" s="124">
        <f>countifs(Private!C:C,"Region 6", Private!H:H,"Private")</f>
        <v>4</v>
      </c>
      <c r="F12" s="124">
        <f>SUMIFS(Private!J:J,Private!C:C,"Region 6", Private!H:H,"Private")</f>
        <v>51</v>
      </c>
      <c r="G12" s="125">
        <f t="shared" ref="G12:H12" si="15">SUM(C12,E12)</f>
        <v>22</v>
      </c>
      <c r="H12" s="125">
        <f t="shared" si="15"/>
        <v>370</v>
      </c>
      <c r="I12" s="126">
        <f t="shared" ref="I12:J12" si="16">C12+E12</f>
        <v>22</v>
      </c>
      <c r="J12" s="124">
        <f t="shared" si="16"/>
        <v>370</v>
      </c>
    </row>
    <row r="13">
      <c r="A13" s="26" t="s">
        <v>28</v>
      </c>
      <c r="B13" s="26" t="s">
        <v>29</v>
      </c>
      <c r="C13" s="124">
        <f>countifs(Government!C:C,"Region 7", Government!H:H,"Government")</f>
        <v>28</v>
      </c>
      <c r="D13" s="124">
        <f>SUMIFS(Government!J:J,Government!C:C,"Region 7", Government!H:H,"Government")</f>
        <v>449</v>
      </c>
      <c r="E13" s="124">
        <f>countifs(Private!C:C,"Region 7", Private!H:H,"Private")</f>
        <v>9</v>
      </c>
      <c r="F13" s="124">
        <f>SUMIFS(Private!J:J,Private!C:C,"Region 7", Private!H:H,"Private")</f>
        <v>131</v>
      </c>
      <c r="G13" s="125">
        <f t="shared" ref="G13:H13" si="17">SUM(C13,E13)</f>
        <v>37</v>
      </c>
      <c r="H13" s="125">
        <f t="shared" si="17"/>
        <v>580</v>
      </c>
      <c r="I13" s="126">
        <f t="shared" ref="I13:J13" si="18">C13+E13</f>
        <v>37</v>
      </c>
      <c r="J13" s="124">
        <f t="shared" si="18"/>
        <v>580</v>
      </c>
    </row>
    <row r="14">
      <c r="A14" s="26" t="s">
        <v>30</v>
      </c>
      <c r="B14" s="26" t="s">
        <v>31</v>
      </c>
      <c r="C14" s="124">
        <f>countifs(Government!C:C,"Region 8", Government!H:H,"Government")</f>
        <v>32</v>
      </c>
      <c r="D14" s="124">
        <f>SUMIFS(Government!J:J,Government!C:C,"Region 8", Government!H:H,"Government")</f>
        <v>388</v>
      </c>
      <c r="E14" s="124">
        <f>countifs(Private!C:C,"Region 8", Private!H:H,"Private")</f>
        <v>8</v>
      </c>
      <c r="F14" s="124">
        <f>SUMIFS(Private!J:J,Private!C:C,"Region 8", Private!H:H,"Private")</f>
        <v>111</v>
      </c>
      <c r="G14" s="125">
        <f t="shared" ref="G14:H14" si="19">SUM(C14,E14)</f>
        <v>40</v>
      </c>
      <c r="H14" s="125">
        <f t="shared" si="19"/>
        <v>499</v>
      </c>
      <c r="I14" s="126">
        <f t="shared" ref="I14:J14" si="20">C14+E14</f>
        <v>40</v>
      </c>
      <c r="J14" s="124">
        <f t="shared" si="20"/>
        <v>499</v>
      </c>
    </row>
    <row r="15">
      <c r="A15" s="26" t="s">
        <v>32</v>
      </c>
      <c r="B15" s="26" t="s">
        <v>33</v>
      </c>
      <c r="C15" s="124">
        <f>countifs(Government!C:C,"Region 9", Government!H:H,"Government")</f>
        <v>24</v>
      </c>
      <c r="D15" s="124">
        <f>SUMIFS(Government!J:J,Government!C:C,"Region 9", Government!H:H,"Government")</f>
        <v>484</v>
      </c>
      <c r="E15" s="124">
        <f>countifs(Private!C:C,"Region 9", Private!H:H,"Private")</f>
        <v>11</v>
      </c>
      <c r="F15" s="124">
        <f>SUMIFS(Private!J:J,Private!C:C,"Region 9", Private!H:H,"Private")</f>
        <v>151</v>
      </c>
      <c r="G15" s="125">
        <f t="shared" ref="G15:H15" si="21">SUM(C15,E15)</f>
        <v>35</v>
      </c>
      <c r="H15" s="125">
        <f t="shared" si="21"/>
        <v>635</v>
      </c>
      <c r="I15" s="126">
        <f t="shared" ref="I15:J15" si="22">C15+E15</f>
        <v>35</v>
      </c>
      <c r="J15" s="124">
        <f t="shared" si="22"/>
        <v>635</v>
      </c>
    </row>
    <row r="16">
      <c r="A16" s="26" t="s">
        <v>34</v>
      </c>
      <c r="B16" s="26" t="s">
        <v>35</v>
      </c>
      <c r="C16" s="124">
        <f>countifs(Government!C:C,"Region 10", Government!H:H,"Government")</f>
        <v>20</v>
      </c>
      <c r="D16" s="124">
        <f>SUMIFS(Government!J:J,Government!C:C,"Region 10", Government!H:H,"Government")</f>
        <v>398</v>
      </c>
      <c r="E16" s="124">
        <f>countifs(Private!C:C,"Region 10", Private!H:H,"Private")</f>
        <v>16</v>
      </c>
      <c r="F16" s="124">
        <f>SUMIFS(Private!J:J,Private!C:C,"Region 10", Private!H:H,"Private")</f>
        <v>262</v>
      </c>
      <c r="G16" s="125">
        <f t="shared" ref="G16:H16" si="23">SUM(C16,E16)</f>
        <v>36</v>
      </c>
      <c r="H16" s="125">
        <f t="shared" si="23"/>
        <v>660</v>
      </c>
      <c r="I16" s="126">
        <f t="shared" ref="I16:J16" si="24">C16+E16</f>
        <v>36</v>
      </c>
      <c r="J16" s="124">
        <f t="shared" si="24"/>
        <v>660</v>
      </c>
    </row>
    <row r="17">
      <c r="A17" s="26" t="s">
        <v>36</v>
      </c>
      <c r="B17" s="26" t="s">
        <v>37</v>
      </c>
      <c r="C17" s="124">
        <f>countifs(Government!C:C,"Region 11", Government!H:H,"Government")</f>
        <v>14</v>
      </c>
      <c r="D17" s="124">
        <f>SUMIFS(Government!J:J,Government!C:C,"Region 11", Government!H:H,"Government")</f>
        <v>236</v>
      </c>
      <c r="E17" s="124">
        <f>countifs(Private!C:C,"Region 11", Private!H:H,"Private")</f>
        <v>29</v>
      </c>
      <c r="F17" s="124">
        <f>SUMIFS(Private!J:J,Private!C:C,"Region 11", Private!H:H,"Private")</f>
        <v>553</v>
      </c>
      <c r="G17" s="125">
        <f t="shared" ref="G17:H17" si="25">SUM(C17,E17)</f>
        <v>43</v>
      </c>
      <c r="H17" s="125">
        <f t="shared" si="25"/>
        <v>789</v>
      </c>
      <c r="I17" s="126">
        <f t="shared" ref="I17:J17" si="26">C17+E17</f>
        <v>43</v>
      </c>
      <c r="J17" s="124">
        <f t="shared" si="26"/>
        <v>789</v>
      </c>
    </row>
    <row r="18">
      <c r="A18" s="26" t="s">
        <v>38</v>
      </c>
      <c r="B18" s="26" t="s">
        <v>39</v>
      </c>
      <c r="C18" s="124">
        <f>countifs(Government!C:C,"Region 12", Government!H:H,"Government")</f>
        <v>15</v>
      </c>
      <c r="D18" s="124">
        <f>SUMIFS(Government!J:J,Government!C:C,"Region 12", Government!H:H,"Government")</f>
        <v>269</v>
      </c>
      <c r="E18" s="124">
        <f>countifs(Private!C:C,"Region 12", Private!H:H,"Private")</f>
        <v>26</v>
      </c>
      <c r="F18" s="124">
        <f>SUMIFS(Private!J:J,Private!C:C,"Region 12", Private!H:H,"Private")</f>
        <v>505</v>
      </c>
      <c r="G18" s="125">
        <f t="shared" ref="G18:H18" si="27">SUM(C18,E18)</f>
        <v>41</v>
      </c>
      <c r="H18" s="125">
        <f t="shared" si="27"/>
        <v>774</v>
      </c>
      <c r="I18" s="126">
        <f t="shared" ref="I18:J18" si="28">C18+E18</f>
        <v>41</v>
      </c>
      <c r="J18" s="124">
        <f t="shared" si="28"/>
        <v>774</v>
      </c>
    </row>
    <row r="19">
      <c r="A19" s="26" t="s">
        <v>40</v>
      </c>
      <c r="B19" s="26" t="s">
        <v>41</v>
      </c>
      <c r="C19" s="124">
        <f>countifs(Government!C:C,"Region 13", Government!H:H,"Government")</f>
        <v>20</v>
      </c>
      <c r="D19" s="124">
        <f>SUMIFS(Government!J:J,Government!C:C,"Region 13", Government!H:H,"Government")</f>
        <v>263</v>
      </c>
      <c r="E19" s="124">
        <f>countifs(Private!C:C,"Region 13", Private!H:H,"Private")</f>
        <v>5</v>
      </c>
      <c r="F19" s="124">
        <f>SUMIFS(Private!J:J,Private!C:C,"Region 13", Private!H:H,"Private")</f>
        <v>100</v>
      </c>
      <c r="G19" s="125">
        <f t="shared" ref="G19:H19" si="29">SUM(C19,E19)</f>
        <v>25</v>
      </c>
      <c r="H19" s="125">
        <f t="shared" si="29"/>
        <v>363</v>
      </c>
      <c r="I19" s="126">
        <f t="shared" ref="I19:J19" si="30">C19+E19</f>
        <v>25</v>
      </c>
      <c r="J19" s="124">
        <f t="shared" si="30"/>
        <v>363</v>
      </c>
    </row>
    <row r="20">
      <c r="A20" s="127" t="s">
        <v>118</v>
      </c>
      <c r="B20" s="127" t="s">
        <v>119</v>
      </c>
      <c r="C20" s="124">
        <f>countifs(Government!C:C,"NIR", Government!H:H,"Government")</f>
        <v>18</v>
      </c>
      <c r="D20" s="124">
        <f>SUMIFS(Government!J:J,Government!C:C,"NIR", Government!H:H,"Government")</f>
        <v>240</v>
      </c>
      <c r="E20" s="124">
        <f>countifs(Private!C:C,"NIR", Private!H:H,"Private")</f>
        <v>2</v>
      </c>
      <c r="F20" s="124">
        <f>SUMIFS(Private!J:J,Private!C:C,"NIR", Private!H:H,"Private")</f>
        <v>35</v>
      </c>
      <c r="G20" s="125">
        <f t="shared" ref="G20:H20" si="31">SUM(C20,E20)</f>
        <v>20</v>
      </c>
      <c r="H20" s="125">
        <f t="shared" si="31"/>
        <v>275</v>
      </c>
      <c r="I20" s="126">
        <f t="shared" ref="I20:J20" si="32">C20+E20</f>
        <v>20</v>
      </c>
      <c r="J20" s="124">
        <f t="shared" si="32"/>
        <v>275</v>
      </c>
    </row>
    <row r="21">
      <c r="A21" s="26" t="s">
        <v>42</v>
      </c>
      <c r="B21" s="26" t="s">
        <v>43</v>
      </c>
      <c r="C21" s="124">
        <f>countifs(Government!C:C,"CORDILLERA", Government!H:H,"Government")</f>
        <v>23</v>
      </c>
      <c r="D21" s="124">
        <f>SUMIFS(Government!J:J,Government!C:C,"Cordillera", Government!H:H,"Government")</f>
        <v>338</v>
      </c>
      <c r="E21" s="124">
        <f>countifs(Private!C:C,"Cordillera", Private!H:H,"Private")</f>
        <v>8</v>
      </c>
      <c r="F21" s="124">
        <f>SUMIFS(Private!J:J,Private!C:C,"CORDILLERA", Private!H:H,"Private")</f>
        <v>105</v>
      </c>
      <c r="G21" s="125">
        <f t="shared" ref="G21:H21" si="33">SUM(C21,E21)</f>
        <v>31</v>
      </c>
      <c r="H21" s="125">
        <f t="shared" si="33"/>
        <v>443</v>
      </c>
      <c r="I21" s="126">
        <f t="shared" ref="I21:J21" si="34">C21+E21</f>
        <v>31</v>
      </c>
      <c r="J21" s="124">
        <f t="shared" si="34"/>
        <v>443</v>
      </c>
    </row>
    <row r="22">
      <c r="A22" s="26" t="s">
        <v>44</v>
      </c>
      <c r="B22" s="26" t="s">
        <v>45</v>
      </c>
      <c r="C22" s="124">
        <f>countifs(Government!C:C,"BARMM", Government!H:H,"Government")</f>
        <v>9</v>
      </c>
      <c r="D22" s="124">
        <f>SUMIFS(Government!J:J,Government!C:C,"BARMM", Government!H:H,"Government")</f>
        <v>150</v>
      </c>
      <c r="E22" s="124">
        <f>countifs(Private!C:C,"BARMM", Private!H:H,"Private")</f>
        <v>14</v>
      </c>
      <c r="F22" s="124">
        <f>SUMIFS(Private!J:J,Private!C:C,"BARMM", Private!H:H,"Private")</f>
        <v>212</v>
      </c>
      <c r="G22" s="125">
        <f t="shared" ref="G22:H22" si="35">SUM(C22,E22)</f>
        <v>23</v>
      </c>
      <c r="H22" s="125">
        <f t="shared" si="35"/>
        <v>362</v>
      </c>
      <c r="I22" s="126">
        <f t="shared" ref="I22:J22" si="36">C22+E22</f>
        <v>23</v>
      </c>
      <c r="J22" s="124">
        <f t="shared" si="36"/>
        <v>362</v>
      </c>
    </row>
    <row r="23">
      <c r="A23" s="128" t="s">
        <v>46</v>
      </c>
      <c r="B23" s="4"/>
      <c r="C23" s="129">
        <f t="shared" ref="C23:D23" si="37">sum(C5:C22)</f>
        <v>364</v>
      </c>
      <c r="D23" s="129">
        <f t="shared" si="37"/>
        <v>5712</v>
      </c>
      <c r="E23" s="130">
        <f t="shared" ref="E23:F23" si="38">SUM(E5:E22)</f>
        <v>250</v>
      </c>
      <c r="F23" s="130">
        <f t="shared" si="38"/>
        <v>3646</v>
      </c>
      <c r="G23" s="131">
        <f t="shared" ref="G23:H23" si="39">SUM(C23,E23)</f>
        <v>614</v>
      </c>
      <c r="H23" s="131">
        <f t="shared" si="39"/>
        <v>9358</v>
      </c>
      <c r="I23" s="132">
        <f t="shared" ref="I23:J23" si="40">SUM(I5:I22)</f>
        <v>614</v>
      </c>
      <c r="J23" s="132">
        <f t="shared" si="40"/>
        <v>9358</v>
      </c>
    </row>
  </sheetData>
  <mergeCells count="9">
    <mergeCell ref="B1:B4"/>
    <mergeCell ref="A23:B23"/>
    <mergeCell ref="A1:A4"/>
    <mergeCell ref="C1:J1"/>
    <mergeCell ref="C2:D3"/>
    <mergeCell ref="E2:F3"/>
    <mergeCell ref="G2:G4"/>
    <mergeCell ref="H2:H4"/>
    <mergeCell ref="I2:J3"/>
  </mergeCells>
  <printOptions/>
  <pageMargins bottom="0.75" footer="0.0" header="0.0" left="0.7" right="0.7" top="0.75"/>
  <pageSetup paperSize="9" orientation="landscape"/>
  <headerFooter>
    <oddHeader>&amp;LNumber of Regulated Hospitals as of Dec. 31, 2022</oddHeader>
  </headerFooter>
  <colBreaks count="2" manualBreakCount="2">
    <brk man="1"/>
    <brk id="10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hidden="1" min="2" max="2" width="15.13"/>
    <col customWidth="1" min="3" max="5" width="18.88"/>
    <col customWidth="1" min="6" max="7" width="37.63"/>
    <col customWidth="1" min="8" max="8" width="18.88"/>
    <col customWidth="1" hidden="1" min="9" max="9" width="18.88"/>
    <col customWidth="1" min="10" max="10" width="18.88"/>
    <col customWidth="1" hidden="1" min="11" max="17" width="18.88"/>
    <col customWidth="1" min="18" max="19" width="18.88"/>
    <col customWidth="1" hidden="1" min="20" max="25" width="15.13"/>
  </cols>
  <sheetData>
    <row r="1" ht="33.0" customHeight="1">
      <c r="A1" s="133"/>
      <c r="B1" s="134" t="s">
        <v>120</v>
      </c>
      <c r="C1" s="134" t="s">
        <v>0</v>
      </c>
      <c r="D1" s="135" t="s">
        <v>48</v>
      </c>
      <c r="E1" s="135" t="s">
        <v>121</v>
      </c>
      <c r="F1" s="135" t="s">
        <v>50</v>
      </c>
      <c r="G1" s="134" t="s">
        <v>51</v>
      </c>
      <c r="H1" s="135" t="s">
        <v>52</v>
      </c>
      <c r="I1" s="134" t="s">
        <v>53</v>
      </c>
      <c r="J1" s="134" t="s">
        <v>9</v>
      </c>
      <c r="K1" s="135" t="s">
        <v>54</v>
      </c>
      <c r="L1" s="135" t="s">
        <v>122</v>
      </c>
      <c r="M1" s="134" t="s">
        <v>123</v>
      </c>
      <c r="N1" s="136" t="s">
        <v>57</v>
      </c>
      <c r="O1" s="136" t="s">
        <v>58</v>
      </c>
      <c r="P1" s="134" t="s">
        <v>59</v>
      </c>
      <c r="Q1" s="135" t="s">
        <v>60</v>
      </c>
      <c r="R1" s="135" t="s">
        <v>61</v>
      </c>
      <c r="S1" s="135" t="s">
        <v>62</v>
      </c>
      <c r="T1" s="135" t="s">
        <v>63</v>
      </c>
      <c r="U1" s="135" t="s">
        <v>124</v>
      </c>
      <c r="V1" s="137" t="s">
        <v>125</v>
      </c>
      <c r="W1" s="135" t="s">
        <v>64</v>
      </c>
      <c r="X1" s="135"/>
      <c r="Y1" s="135"/>
    </row>
    <row r="2" ht="33.0" customHeight="1">
      <c r="A2" s="138">
        <v>1.0</v>
      </c>
      <c r="B2" s="139" t="s">
        <v>126</v>
      </c>
      <c r="C2" s="138" t="s">
        <v>14</v>
      </c>
      <c r="D2" s="138" t="s">
        <v>127</v>
      </c>
      <c r="E2" s="138" t="s">
        <v>128</v>
      </c>
      <c r="F2" s="138" t="s">
        <v>129</v>
      </c>
      <c r="G2" s="140" t="s">
        <v>130</v>
      </c>
      <c r="H2" s="138" t="s">
        <v>131</v>
      </c>
      <c r="I2" s="138" t="s">
        <v>48</v>
      </c>
      <c r="J2" s="138">
        <v>18.0</v>
      </c>
      <c r="K2" s="138" t="s">
        <v>132</v>
      </c>
      <c r="L2" s="138" t="s">
        <v>133</v>
      </c>
      <c r="M2" s="138" t="s">
        <v>134</v>
      </c>
      <c r="N2" s="138" t="s">
        <v>135</v>
      </c>
      <c r="O2" s="138" t="s">
        <v>136</v>
      </c>
      <c r="P2" s="138" t="s">
        <v>137</v>
      </c>
      <c r="Q2" s="138" t="s">
        <v>138</v>
      </c>
      <c r="R2" s="141">
        <v>46023.0</v>
      </c>
      <c r="S2" s="141">
        <v>46387.0</v>
      </c>
      <c r="T2" s="138" t="s">
        <v>139</v>
      </c>
      <c r="U2" s="142" t="s">
        <v>140</v>
      </c>
      <c r="V2" s="138" t="s">
        <v>141</v>
      </c>
      <c r="W2" s="143"/>
      <c r="X2" s="138" t="s">
        <v>142</v>
      </c>
      <c r="Y2" s="144"/>
    </row>
    <row r="3" ht="33.0" customHeight="1">
      <c r="A3" s="138">
        <v>2.0</v>
      </c>
      <c r="B3" s="139" t="s">
        <v>143</v>
      </c>
      <c r="C3" s="138" t="s">
        <v>14</v>
      </c>
      <c r="D3" s="138" t="s">
        <v>127</v>
      </c>
      <c r="E3" s="138" t="s">
        <v>144</v>
      </c>
      <c r="F3" s="138" t="s">
        <v>145</v>
      </c>
      <c r="G3" s="140" t="s">
        <v>146</v>
      </c>
      <c r="H3" s="138" t="s">
        <v>131</v>
      </c>
      <c r="I3" s="138" t="s">
        <v>48</v>
      </c>
      <c r="J3" s="138">
        <v>18.0</v>
      </c>
      <c r="K3" s="138" t="s">
        <v>147</v>
      </c>
      <c r="L3" s="138" t="s">
        <v>133</v>
      </c>
      <c r="M3" s="138" t="s">
        <v>148</v>
      </c>
      <c r="N3" s="139" t="s">
        <v>149</v>
      </c>
      <c r="O3" s="138" t="s">
        <v>150</v>
      </c>
      <c r="P3" s="138" t="s">
        <v>151</v>
      </c>
      <c r="Q3" s="145"/>
      <c r="R3" s="141">
        <v>46023.0</v>
      </c>
      <c r="S3" s="141">
        <v>46387.0</v>
      </c>
      <c r="T3" s="138" t="s">
        <v>152</v>
      </c>
      <c r="U3" s="142" t="s">
        <v>140</v>
      </c>
      <c r="V3" s="138" t="s">
        <v>141</v>
      </c>
      <c r="W3" s="143"/>
      <c r="X3" s="138" t="s">
        <v>142</v>
      </c>
      <c r="Y3" s="144"/>
    </row>
    <row r="4" ht="33.0" customHeight="1">
      <c r="A4" s="138">
        <v>3.0</v>
      </c>
      <c r="B4" s="139" t="s">
        <v>153</v>
      </c>
      <c r="C4" s="138" t="s">
        <v>14</v>
      </c>
      <c r="D4" s="138" t="s">
        <v>127</v>
      </c>
      <c r="E4" s="138" t="s">
        <v>154</v>
      </c>
      <c r="F4" s="138" t="s">
        <v>155</v>
      </c>
      <c r="G4" s="140" t="s">
        <v>156</v>
      </c>
      <c r="H4" s="138" t="s">
        <v>131</v>
      </c>
      <c r="I4" s="138" t="s">
        <v>48</v>
      </c>
      <c r="J4" s="138">
        <v>15.0</v>
      </c>
      <c r="K4" s="138" t="s">
        <v>157</v>
      </c>
      <c r="L4" s="138" t="s">
        <v>158</v>
      </c>
      <c r="M4" s="138" t="s">
        <v>159</v>
      </c>
      <c r="N4" s="138" t="s">
        <v>160</v>
      </c>
      <c r="O4" s="138" t="s">
        <v>161</v>
      </c>
      <c r="P4" s="138" t="s">
        <v>162</v>
      </c>
      <c r="Q4" s="145"/>
      <c r="R4" s="141">
        <v>46023.0</v>
      </c>
      <c r="S4" s="141">
        <v>46387.0</v>
      </c>
      <c r="T4" s="138" t="s">
        <v>163</v>
      </c>
      <c r="U4" s="142" t="s">
        <v>140</v>
      </c>
      <c r="V4" s="138" t="s">
        <v>141</v>
      </c>
      <c r="W4" s="143"/>
      <c r="X4" s="138" t="s">
        <v>142</v>
      </c>
      <c r="Y4" s="144"/>
    </row>
    <row r="5" ht="33.0" customHeight="1">
      <c r="A5" s="138">
        <v>4.0</v>
      </c>
      <c r="B5" s="139" t="s">
        <v>164</v>
      </c>
      <c r="C5" s="138" t="s">
        <v>14</v>
      </c>
      <c r="D5" s="138" t="s">
        <v>165</v>
      </c>
      <c r="E5" s="138" t="s">
        <v>166</v>
      </c>
      <c r="F5" s="138" t="s">
        <v>167</v>
      </c>
      <c r="G5" s="140" t="s">
        <v>168</v>
      </c>
      <c r="H5" s="138" t="s">
        <v>131</v>
      </c>
      <c r="I5" s="138" t="s">
        <v>105</v>
      </c>
      <c r="J5" s="138">
        <v>10.0</v>
      </c>
      <c r="K5" s="138" t="s">
        <v>169</v>
      </c>
      <c r="L5" s="138" t="s">
        <v>133</v>
      </c>
      <c r="M5" s="138" t="s">
        <v>170</v>
      </c>
      <c r="N5" s="139" t="s">
        <v>171</v>
      </c>
      <c r="O5" s="138" t="s">
        <v>172</v>
      </c>
      <c r="P5" s="145"/>
      <c r="Q5" s="138" t="s">
        <v>173</v>
      </c>
      <c r="R5" s="141">
        <v>46023.0</v>
      </c>
      <c r="S5" s="141">
        <v>46387.0</v>
      </c>
      <c r="T5" s="138" t="s">
        <v>174</v>
      </c>
      <c r="U5" s="142" t="s">
        <v>140</v>
      </c>
      <c r="V5" s="138" t="s">
        <v>141</v>
      </c>
      <c r="W5" s="143"/>
      <c r="X5" s="138" t="s">
        <v>142</v>
      </c>
      <c r="Y5" s="144"/>
    </row>
    <row r="6" ht="33.0" customHeight="1">
      <c r="A6" s="138">
        <v>5.0</v>
      </c>
      <c r="B6" s="139" t="s">
        <v>175</v>
      </c>
      <c r="C6" s="138" t="s">
        <v>14</v>
      </c>
      <c r="D6" s="138" t="s">
        <v>165</v>
      </c>
      <c r="E6" s="138" t="s">
        <v>176</v>
      </c>
      <c r="F6" s="138" t="s">
        <v>177</v>
      </c>
      <c r="G6" s="140" t="s">
        <v>178</v>
      </c>
      <c r="H6" s="138" t="s">
        <v>131</v>
      </c>
      <c r="I6" s="138" t="s">
        <v>48</v>
      </c>
      <c r="J6" s="138">
        <v>15.0</v>
      </c>
      <c r="K6" s="138" t="s">
        <v>179</v>
      </c>
      <c r="L6" s="138" t="s">
        <v>133</v>
      </c>
      <c r="M6" s="138" t="s">
        <v>180</v>
      </c>
      <c r="N6" s="139" t="s">
        <v>181</v>
      </c>
      <c r="O6" s="138" t="s">
        <v>182</v>
      </c>
      <c r="P6" s="145"/>
      <c r="Q6" s="138" t="s">
        <v>183</v>
      </c>
      <c r="R6" s="141">
        <v>46023.0</v>
      </c>
      <c r="S6" s="141">
        <v>46387.0</v>
      </c>
      <c r="T6" s="138" t="s">
        <v>184</v>
      </c>
      <c r="U6" s="142" t="s">
        <v>140</v>
      </c>
      <c r="V6" s="138" t="s">
        <v>141</v>
      </c>
      <c r="W6" s="143"/>
      <c r="X6" s="138" t="s">
        <v>142</v>
      </c>
      <c r="Y6" s="144"/>
    </row>
    <row r="7" ht="33.0" customHeight="1">
      <c r="A7" s="138">
        <v>6.0</v>
      </c>
      <c r="B7" s="139" t="s">
        <v>185</v>
      </c>
      <c r="C7" s="138" t="s">
        <v>14</v>
      </c>
      <c r="D7" s="138" t="s">
        <v>165</v>
      </c>
      <c r="E7" s="138" t="s">
        <v>186</v>
      </c>
      <c r="F7" s="138" t="s">
        <v>187</v>
      </c>
      <c r="G7" s="140" t="s">
        <v>188</v>
      </c>
      <c r="H7" s="138" t="s">
        <v>131</v>
      </c>
      <c r="I7" s="138" t="s">
        <v>189</v>
      </c>
      <c r="J7" s="138">
        <v>18.0</v>
      </c>
      <c r="K7" s="138" t="s">
        <v>190</v>
      </c>
      <c r="L7" s="138" t="s">
        <v>133</v>
      </c>
      <c r="M7" s="138" t="s">
        <v>191</v>
      </c>
      <c r="N7" s="139" t="s">
        <v>192</v>
      </c>
      <c r="O7" s="138" t="s">
        <v>193</v>
      </c>
      <c r="P7" s="145"/>
      <c r="Q7" s="138" t="s">
        <v>194</v>
      </c>
      <c r="R7" s="141">
        <v>46023.0</v>
      </c>
      <c r="S7" s="141">
        <v>46387.0</v>
      </c>
      <c r="T7" s="138" t="s">
        <v>195</v>
      </c>
      <c r="U7" s="142" t="s">
        <v>140</v>
      </c>
      <c r="V7" s="138" t="s">
        <v>141</v>
      </c>
      <c r="W7" s="143"/>
      <c r="X7" s="138" t="s">
        <v>142</v>
      </c>
      <c r="Y7" s="144"/>
    </row>
    <row r="8" ht="33.0" customHeight="1">
      <c r="A8" s="138">
        <v>7.0</v>
      </c>
      <c r="B8" s="143"/>
      <c r="C8" s="138" t="s">
        <v>14</v>
      </c>
      <c r="D8" s="138" t="s">
        <v>196</v>
      </c>
      <c r="E8" s="138" t="s">
        <v>197</v>
      </c>
      <c r="F8" s="138" t="s">
        <v>198</v>
      </c>
      <c r="G8" s="140" t="s">
        <v>199</v>
      </c>
      <c r="H8" s="138" t="s">
        <v>131</v>
      </c>
      <c r="I8" s="138" t="s">
        <v>105</v>
      </c>
      <c r="J8" s="138">
        <v>10.0</v>
      </c>
      <c r="K8" s="138" t="s">
        <v>200</v>
      </c>
      <c r="L8" s="146"/>
      <c r="M8" s="138" t="s">
        <v>201</v>
      </c>
      <c r="N8" s="138">
        <v>9.162437676E9</v>
      </c>
      <c r="O8" s="138" t="s">
        <v>202</v>
      </c>
      <c r="P8" s="145"/>
      <c r="Q8" s="147"/>
      <c r="R8" s="141">
        <v>46023.0</v>
      </c>
      <c r="S8" s="141">
        <v>46387.0</v>
      </c>
      <c r="T8" s="138" t="s">
        <v>203</v>
      </c>
      <c r="U8" s="142" t="s">
        <v>204</v>
      </c>
      <c r="V8" s="138" t="s">
        <v>141</v>
      </c>
      <c r="W8" s="143"/>
      <c r="X8" s="143"/>
      <c r="Y8" s="144"/>
    </row>
    <row r="9" ht="33.0" customHeight="1">
      <c r="A9" s="138">
        <v>8.0</v>
      </c>
      <c r="B9" s="139"/>
      <c r="C9" s="138" t="s">
        <v>14</v>
      </c>
      <c r="D9" s="138" t="s">
        <v>196</v>
      </c>
      <c r="E9" s="138" t="s">
        <v>205</v>
      </c>
      <c r="F9" s="138" t="s">
        <v>206</v>
      </c>
      <c r="G9" s="140" t="s">
        <v>207</v>
      </c>
      <c r="H9" s="138" t="s">
        <v>131</v>
      </c>
      <c r="I9" s="138" t="s">
        <v>105</v>
      </c>
      <c r="J9" s="138">
        <v>16.0</v>
      </c>
      <c r="K9" s="138" t="s">
        <v>208</v>
      </c>
      <c r="L9" s="138" t="s">
        <v>158</v>
      </c>
      <c r="M9" s="138" t="s">
        <v>209</v>
      </c>
      <c r="N9" s="138">
        <v>9.629339935E9</v>
      </c>
      <c r="O9" s="138" t="s">
        <v>210</v>
      </c>
      <c r="P9" s="138" t="s">
        <v>211</v>
      </c>
      <c r="Q9" s="138" t="s">
        <v>212</v>
      </c>
      <c r="R9" s="141">
        <v>46122.0</v>
      </c>
      <c r="S9" s="141">
        <v>46387.0</v>
      </c>
      <c r="T9" s="138" t="s">
        <v>213</v>
      </c>
      <c r="U9" s="142" t="s">
        <v>204</v>
      </c>
      <c r="V9" s="138" t="s">
        <v>141</v>
      </c>
      <c r="W9" s="143"/>
      <c r="X9" s="138" t="s">
        <v>142</v>
      </c>
      <c r="Y9" s="144"/>
    </row>
    <row r="10" ht="33.0" customHeight="1">
      <c r="A10" s="138">
        <v>9.0</v>
      </c>
      <c r="B10" s="139" t="s">
        <v>214</v>
      </c>
      <c r="C10" s="138" t="s">
        <v>14</v>
      </c>
      <c r="D10" s="138" t="s">
        <v>196</v>
      </c>
      <c r="E10" s="138" t="s">
        <v>215</v>
      </c>
      <c r="F10" s="138" t="s">
        <v>216</v>
      </c>
      <c r="G10" s="140" t="s">
        <v>217</v>
      </c>
      <c r="H10" s="138" t="s">
        <v>131</v>
      </c>
      <c r="I10" s="138" t="s">
        <v>105</v>
      </c>
      <c r="J10" s="138">
        <v>12.0</v>
      </c>
      <c r="K10" s="138" t="s">
        <v>200</v>
      </c>
      <c r="L10" s="146"/>
      <c r="M10" s="138" t="s">
        <v>218</v>
      </c>
      <c r="N10" s="138" t="s">
        <v>219</v>
      </c>
      <c r="O10" s="138" t="s">
        <v>220</v>
      </c>
      <c r="P10" s="145"/>
      <c r="Q10" s="145"/>
      <c r="R10" s="141">
        <v>46023.0</v>
      </c>
      <c r="S10" s="141">
        <v>46387.0</v>
      </c>
      <c r="T10" s="138" t="s">
        <v>221</v>
      </c>
      <c r="U10" s="142" t="s">
        <v>140</v>
      </c>
      <c r="V10" s="138" t="s">
        <v>141</v>
      </c>
      <c r="W10" s="143"/>
      <c r="X10" s="138" t="s">
        <v>142</v>
      </c>
      <c r="Y10" s="144"/>
    </row>
    <row r="11" ht="33.0" customHeight="1">
      <c r="A11" s="138">
        <v>10.0</v>
      </c>
      <c r="B11" s="139" t="s">
        <v>222</v>
      </c>
      <c r="C11" s="138" t="s">
        <v>14</v>
      </c>
      <c r="D11" s="138" t="s">
        <v>196</v>
      </c>
      <c r="E11" s="138" t="s">
        <v>223</v>
      </c>
      <c r="F11" s="138" t="s">
        <v>224</v>
      </c>
      <c r="G11" s="140" t="s">
        <v>225</v>
      </c>
      <c r="H11" s="138" t="s">
        <v>131</v>
      </c>
      <c r="I11" s="138" t="s">
        <v>105</v>
      </c>
      <c r="J11" s="138">
        <v>6.0</v>
      </c>
      <c r="K11" s="138" t="s">
        <v>226</v>
      </c>
      <c r="L11" s="138" t="s">
        <v>133</v>
      </c>
      <c r="M11" s="138" t="s">
        <v>227</v>
      </c>
      <c r="N11" s="139" t="s">
        <v>228</v>
      </c>
      <c r="O11" s="138" t="s">
        <v>229</v>
      </c>
      <c r="P11" s="138" t="s">
        <v>230</v>
      </c>
      <c r="Q11" s="145"/>
      <c r="R11" s="141">
        <v>46023.0</v>
      </c>
      <c r="S11" s="141">
        <v>46387.0</v>
      </c>
      <c r="T11" s="138" t="s">
        <v>231</v>
      </c>
      <c r="U11" s="142" t="s">
        <v>140</v>
      </c>
      <c r="V11" s="138" t="s">
        <v>141</v>
      </c>
      <c r="W11" s="143"/>
      <c r="X11" s="138" t="s">
        <v>142</v>
      </c>
      <c r="Y11" s="144"/>
    </row>
    <row r="12" ht="33.0" customHeight="1">
      <c r="A12" s="138">
        <v>11.0</v>
      </c>
      <c r="B12" s="138">
        <v>4052.0</v>
      </c>
      <c r="C12" s="138" t="s">
        <v>16</v>
      </c>
      <c r="D12" s="138" t="s">
        <v>232</v>
      </c>
      <c r="E12" s="138" t="s">
        <v>233</v>
      </c>
      <c r="F12" s="138" t="s">
        <v>234</v>
      </c>
      <c r="G12" s="140" t="s">
        <v>235</v>
      </c>
      <c r="H12" s="138" t="s">
        <v>131</v>
      </c>
      <c r="I12" s="138" t="s">
        <v>48</v>
      </c>
      <c r="J12" s="138">
        <v>15.0</v>
      </c>
      <c r="K12" s="138" t="s">
        <v>200</v>
      </c>
      <c r="L12" s="138" t="s">
        <v>141</v>
      </c>
      <c r="M12" s="138" t="s">
        <v>236</v>
      </c>
      <c r="N12" s="138" t="s">
        <v>237</v>
      </c>
      <c r="O12" s="138" t="s">
        <v>238</v>
      </c>
      <c r="P12" s="138" t="s">
        <v>239</v>
      </c>
      <c r="Q12" s="145"/>
      <c r="R12" s="141">
        <v>46023.0</v>
      </c>
      <c r="S12" s="141">
        <v>46387.0</v>
      </c>
      <c r="T12" s="138" t="s">
        <v>240</v>
      </c>
      <c r="U12" s="142" t="s">
        <v>140</v>
      </c>
      <c r="V12" s="138" t="s">
        <v>241</v>
      </c>
      <c r="W12" s="138" t="s">
        <v>242</v>
      </c>
      <c r="X12" s="138" t="s">
        <v>142</v>
      </c>
      <c r="Y12" s="144"/>
    </row>
    <row r="13" ht="33.0" customHeight="1">
      <c r="A13" s="138">
        <v>12.0</v>
      </c>
      <c r="B13" s="143"/>
      <c r="C13" s="138" t="s">
        <v>16</v>
      </c>
      <c r="D13" s="138" t="s">
        <v>243</v>
      </c>
      <c r="E13" s="138" t="s">
        <v>244</v>
      </c>
      <c r="F13" s="138" t="s">
        <v>245</v>
      </c>
      <c r="G13" s="140" t="s">
        <v>246</v>
      </c>
      <c r="H13" s="138" t="s">
        <v>131</v>
      </c>
      <c r="I13" s="138" t="s">
        <v>247</v>
      </c>
      <c r="J13" s="138">
        <v>16.0</v>
      </c>
      <c r="K13" s="138" t="s">
        <v>248</v>
      </c>
      <c r="L13" s="138" t="s">
        <v>249</v>
      </c>
      <c r="M13" s="138" t="s">
        <v>250</v>
      </c>
      <c r="N13" s="138">
        <v>9.126306613E9</v>
      </c>
      <c r="O13" s="138" t="s">
        <v>251</v>
      </c>
      <c r="P13" s="138" t="s">
        <v>252</v>
      </c>
      <c r="Q13" s="145"/>
      <c r="R13" s="141">
        <v>46023.0</v>
      </c>
      <c r="S13" s="141">
        <v>46387.0</v>
      </c>
      <c r="T13" s="138" t="s">
        <v>253</v>
      </c>
      <c r="U13" s="142" t="s">
        <v>140</v>
      </c>
      <c r="V13" s="138" t="s">
        <v>141</v>
      </c>
      <c r="W13" s="138" t="s">
        <v>254</v>
      </c>
      <c r="X13" s="138" t="s">
        <v>142</v>
      </c>
      <c r="Y13" s="144"/>
    </row>
    <row r="14" ht="33.0" customHeight="1">
      <c r="A14" s="138">
        <v>13.0</v>
      </c>
      <c r="B14" s="143"/>
      <c r="C14" s="138" t="s">
        <v>16</v>
      </c>
      <c r="D14" s="138" t="s">
        <v>243</v>
      </c>
      <c r="E14" s="138" t="s">
        <v>255</v>
      </c>
      <c r="F14" s="138" t="s">
        <v>256</v>
      </c>
      <c r="G14" s="140" t="s">
        <v>257</v>
      </c>
      <c r="H14" s="138" t="s">
        <v>131</v>
      </c>
      <c r="I14" s="138" t="s">
        <v>48</v>
      </c>
      <c r="J14" s="138">
        <v>10.0</v>
      </c>
      <c r="K14" s="138" t="s">
        <v>258</v>
      </c>
      <c r="L14" s="138" t="s">
        <v>133</v>
      </c>
      <c r="M14" s="138" t="s">
        <v>259</v>
      </c>
      <c r="N14" s="138" t="s">
        <v>260</v>
      </c>
      <c r="O14" s="138" t="s">
        <v>261</v>
      </c>
      <c r="P14" s="138" t="s">
        <v>262</v>
      </c>
      <c r="Q14" s="145"/>
      <c r="R14" s="141">
        <v>46023.0</v>
      </c>
      <c r="S14" s="141">
        <v>46387.0</v>
      </c>
      <c r="T14" s="138" t="s">
        <v>263</v>
      </c>
      <c r="U14" s="142" t="s">
        <v>140</v>
      </c>
      <c r="V14" s="143"/>
      <c r="W14" s="143"/>
      <c r="X14" s="138" t="s">
        <v>142</v>
      </c>
      <c r="Y14" s="144"/>
    </row>
    <row r="15" ht="33.0" customHeight="1">
      <c r="A15" s="138">
        <v>14.0</v>
      </c>
      <c r="B15" s="143"/>
      <c r="C15" s="138" t="s">
        <v>16</v>
      </c>
      <c r="D15" s="138" t="s">
        <v>243</v>
      </c>
      <c r="E15" s="138" t="s">
        <v>264</v>
      </c>
      <c r="F15" s="138" t="s">
        <v>265</v>
      </c>
      <c r="G15" s="140" t="s">
        <v>266</v>
      </c>
      <c r="H15" s="138" t="s">
        <v>131</v>
      </c>
      <c r="I15" s="138" t="s">
        <v>48</v>
      </c>
      <c r="J15" s="138">
        <v>10.0</v>
      </c>
      <c r="K15" s="138" t="s">
        <v>200</v>
      </c>
      <c r="L15" s="138" t="s">
        <v>158</v>
      </c>
      <c r="M15" s="138" t="s">
        <v>267</v>
      </c>
      <c r="N15" s="138">
        <v>9.17142489E9</v>
      </c>
      <c r="O15" s="138" t="s">
        <v>268</v>
      </c>
      <c r="P15" s="138" t="s">
        <v>269</v>
      </c>
      <c r="Q15" s="145"/>
      <c r="R15" s="141">
        <v>46023.0</v>
      </c>
      <c r="S15" s="141">
        <v>46387.0</v>
      </c>
      <c r="T15" s="138" t="s">
        <v>270</v>
      </c>
      <c r="U15" s="142" t="s">
        <v>140</v>
      </c>
      <c r="V15" s="143"/>
      <c r="W15" s="143"/>
      <c r="X15" s="138" t="s">
        <v>142</v>
      </c>
      <c r="Y15" s="148"/>
    </row>
    <row r="16" ht="33.0" customHeight="1">
      <c r="A16" s="138">
        <v>15.0</v>
      </c>
      <c r="B16" s="143"/>
      <c r="C16" s="138" t="s">
        <v>16</v>
      </c>
      <c r="D16" s="138" t="s">
        <v>243</v>
      </c>
      <c r="E16" s="138" t="s">
        <v>271</v>
      </c>
      <c r="F16" s="138" t="s">
        <v>272</v>
      </c>
      <c r="G16" s="140" t="s">
        <v>273</v>
      </c>
      <c r="H16" s="138" t="s">
        <v>131</v>
      </c>
      <c r="I16" s="138" t="s">
        <v>105</v>
      </c>
      <c r="J16" s="138">
        <v>10.0</v>
      </c>
      <c r="K16" s="138" t="s">
        <v>274</v>
      </c>
      <c r="L16" s="138" t="s">
        <v>133</v>
      </c>
      <c r="M16" s="138" t="s">
        <v>275</v>
      </c>
      <c r="N16" s="138">
        <v>9.120296037E9</v>
      </c>
      <c r="O16" s="138" t="s">
        <v>276</v>
      </c>
      <c r="P16" s="145"/>
      <c r="Q16" s="138" t="s">
        <v>277</v>
      </c>
      <c r="R16" s="141">
        <v>46023.0</v>
      </c>
      <c r="S16" s="141">
        <v>46387.0</v>
      </c>
      <c r="T16" s="138" t="s">
        <v>278</v>
      </c>
      <c r="U16" s="142" t="s">
        <v>140</v>
      </c>
      <c r="V16" s="143"/>
      <c r="W16" s="138" t="s">
        <v>279</v>
      </c>
      <c r="X16" s="138" t="s">
        <v>142</v>
      </c>
      <c r="Y16" s="148"/>
    </row>
    <row r="17" ht="33.0" customHeight="1">
      <c r="A17" s="138">
        <v>16.0</v>
      </c>
      <c r="B17" s="143"/>
      <c r="C17" s="138" t="s">
        <v>16</v>
      </c>
      <c r="D17" s="138" t="s">
        <v>243</v>
      </c>
      <c r="E17" s="138" t="s">
        <v>280</v>
      </c>
      <c r="F17" s="138" t="s">
        <v>281</v>
      </c>
      <c r="G17" s="140" t="s">
        <v>282</v>
      </c>
      <c r="H17" s="138" t="s">
        <v>131</v>
      </c>
      <c r="I17" s="138" t="s">
        <v>105</v>
      </c>
      <c r="J17" s="138">
        <v>10.0</v>
      </c>
      <c r="K17" s="138" t="s">
        <v>283</v>
      </c>
      <c r="L17" s="138" t="s">
        <v>158</v>
      </c>
      <c r="M17" s="138" t="s">
        <v>284</v>
      </c>
      <c r="N17" s="138" t="s">
        <v>285</v>
      </c>
      <c r="O17" s="138" t="s">
        <v>286</v>
      </c>
      <c r="P17" s="145"/>
      <c r="Q17" s="145"/>
      <c r="R17" s="141">
        <v>46023.0</v>
      </c>
      <c r="S17" s="141">
        <v>46387.0</v>
      </c>
      <c r="T17" s="138" t="s">
        <v>287</v>
      </c>
      <c r="U17" s="142" t="s">
        <v>140</v>
      </c>
      <c r="V17" s="143"/>
      <c r="W17" s="138" t="s">
        <v>288</v>
      </c>
      <c r="X17" s="143"/>
      <c r="Y17" s="148"/>
    </row>
    <row r="18" ht="33.0" customHeight="1">
      <c r="A18" s="138">
        <v>17.0</v>
      </c>
      <c r="B18" s="143"/>
      <c r="C18" s="138" t="s">
        <v>16</v>
      </c>
      <c r="D18" s="138" t="s">
        <v>243</v>
      </c>
      <c r="E18" s="138" t="s">
        <v>280</v>
      </c>
      <c r="F18" s="138" t="s">
        <v>289</v>
      </c>
      <c r="G18" s="140" t="s">
        <v>290</v>
      </c>
      <c r="H18" s="138" t="s">
        <v>131</v>
      </c>
      <c r="I18" s="138" t="s">
        <v>48</v>
      </c>
      <c r="J18" s="138">
        <v>10.0</v>
      </c>
      <c r="K18" s="138" t="s">
        <v>291</v>
      </c>
      <c r="L18" s="138" t="s">
        <v>158</v>
      </c>
      <c r="M18" s="138" t="s">
        <v>292</v>
      </c>
      <c r="N18" s="138" t="s">
        <v>293</v>
      </c>
      <c r="O18" s="138" t="s">
        <v>294</v>
      </c>
      <c r="P18" s="138" t="s">
        <v>295</v>
      </c>
      <c r="Q18" s="145"/>
      <c r="R18" s="141">
        <v>46023.0</v>
      </c>
      <c r="S18" s="141">
        <v>46387.0</v>
      </c>
      <c r="T18" s="138" t="s">
        <v>296</v>
      </c>
      <c r="U18" s="142" t="s">
        <v>140</v>
      </c>
      <c r="V18" s="143"/>
      <c r="W18" s="149"/>
      <c r="X18" s="142" t="s">
        <v>142</v>
      </c>
      <c r="Y18" s="148"/>
    </row>
    <row r="19" ht="33.0" customHeight="1">
      <c r="A19" s="138">
        <v>18.0</v>
      </c>
      <c r="B19" s="143"/>
      <c r="C19" s="138" t="s">
        <v>16</v>
      </c>
      <c r="D19" s="138" t="s">
        <v>243</v>
      </c>
      <c r="E19" s="138" t="s">
        <v>297</v>
      </c>
      <c r="F19" s="138" t="s">
        <v>298</v>
      </c>
      <c r="G19" s="140" t="s">
        <v>299</v>
      </c>
      <c r="H19" s="138" t="s">
        <v>131</v>
      </c>
      <c r="I19" s="138" t="s">
        <v>48</v>
      </c>
      <c r="J19" s="138">
        <v>17.0</v>
      </c>
      <c r="K19" s="138" t="s">
        <v>300</v>
      </c>
      <c r="L19" s="138" t="s">
        <v>133</v>
      </c>
      <c r="M19" s="138" t="s">
        <v>301</v>
      </c>
      <c r="N19" s="138" t="s">
        <v>302</v>
      </c>
      <c r="O19" s="138" t="s">
        <v>303</v>
      </c>
      <c r="P19" s="138" t="s">
        <v>304</v>
      </c>
      <c r="Q19" s="145"/>
      <c r="R19" s="141">
        <v>46023.0</v>
      </c>
      <c r="S19" s="141">
        <v>46387.0</v>
      </c>
      <c r="T19" s="138" t="s">
        <v>305</v>
      </c>
      <c r="U19" s="142" t="s">
        <v>140</v>
      </c>
      <c r="V19" s="143"/>
      <c r="W19" s="143"/>
      <c r="X19" s="138" t="s">
        <v>142</v>
      </c>
      <c r="Y19" s="148"/>
    </row>
    <row r="20" ht="33.0" customHeight="1">
      <c r="A20" s="138">
        <v>19.0</v>
      </c>
      <c r="B20" s="143"/>
      <c r="C20" s="138" t="s">
        <v>16</v>
      </c>
      <c r="D20" s="138" t="s">
        <v>243</v>
      </c>
      <c r="E20" s="138" t="s">
        <v>306</v>
      </c>
      <c r="F20" s="138" t="s">
        <v>307</v>
      </c>
      <c r="G20" s="140" t="s">
        <v>308</v>
      </c>
      <c r="H20" s="138" t="s">
        <v>131</v>
      </c>
      <c r="I20" s="138" t="s">
        <v>48</v>
      </c>
      <c r="J20" s="138">
        <v>10.0</v>
      </c>
      <c r="K20" s="138" t="s">
        <v>274</v>
      </c>
      <c r="L20" s="138" t="s">
        <v>158</v>
      </c>
      <c r="M20" s="138" t="s">
        <v>309</v>
      </c>
      <c r="N20" s="138" t="s">
        <v>310</v>
      </c>
      <c r="O20" s="138" t="s">
        <v>311</v>
      </c>
      <c r="P20" s="145"/>
      <c r="Q20" s="138" t="s">
        <v>312</v>
      </c>
      <c r="R20" s="141">
        <v>46023.0</v>
      </c>
      <c r="S20" s="141">
        <v>46387.0</v>
      </c>
      <c r="T20" s="138" t="s">
        <v>313</v>
      </c>
      <c r="U20" s="142" t="s">
        <v>140</v>
      </c>
      <c r="V20" s="143"/>
      <c r="W20" s="143"/>
      <c r="X20" s="138" t="s">
        <v>142</v>
      </c>
      <c r="Y20" s="148"/>
    </row>
    <row r="21" ht="33.0" customHeight="1">
      <c r="A21" s="138">
        <v>20.0</v>
      </c>
      <c r="B21" s="143"/>
      <c r="C21" s="138" t="s">
        <v>16</v>
      </c>
      <c r="D21" s="138" t="s">
        <v>314</v>
      </c>
      <c r="E21" s="138" t="s">
        <v>315</v>
      </c>
      <c r="F21" s="138" t="s">
        <v>316</v>
      </c>
      <c r="G21" s="140" t="s">
        <v>317</v>
      </c>
      <c r="H21" s="138" t="s">
        <v>131</v>
      </c>
      <c r="I21" s="138" t="s">
        <v>105</v>
      </c>
      <c r="J21" s="138">
        <v>8.0</v>
      </c>
      <c r="K21" s="138" t="s">
        <v>318</v>
      </c>
      <c r="L21" s="138" t="s">
        <v>158</v>
      </c>
      <c r="M21" s="138" t="s">
        <v>319</v>
      </c>
      <c r="N21" s="138" t="s">
        <v>320</v>
      </c>
      <c r="O21" s="138" t="s">
        <v>321</v>
      </c>
      <c r="P21" s="138" t="s">
        <v>322</v>
      </c>
      <c r="Q21" s="147"/>
      <c r="R21" s="141">
        <v>46023.0</v>
      </c>
      <c r="S21" s="141">
        <v>46387.0</v>
      </c>
      <c r="T21" s="138" t="s">
        <v>323</v>
      </c>
      <c r="U21" s="142" t="s">
        <v>140</v>
      </c>
      <c r="V21" s="143"/>
      <c r="W21" s="138" t="s">
        <v>324</v>
      </c>
      <c r="X21" s="138" t="s">
        <v>142</v>
      </c>
      <c r="Y21" s="148"/>
    </row>
    <row r="22" ht="33.0" customHeight="1">
      <c r="A22" s="138">
        <v>21.0</v>
      </c>
      <c r="B22" s="143"/>
      <c r="C22" s="138" t="s">
        <v>16</v>
      </c>
      <c r="D22" s="138" t="s">
        <v>314</v>
      </c>
      <c r="E22" s="138" t="s">
        <v>325</v>
      </c>
      <c r="F22" s="138" t="s">
        <v>326</v>
      </c>
      <c r="G22" s="140" t="s">
        <v>327</v>
      </c>
      <c r="H22" s="138" t="s">
        <v>131</v>
      </c>
      <c r="I22" s="138" t="s">
        <v>105</v>
      </c>
      <c r="J22" s="138">
        <v>22.0</v>
      </c>
      <c r="K22" s="146"/>
      <c r="L22" s="146"/>
      <c r="M22" s="138" t="s">
        <v>328</v>
      </c>
      <c r="N22" s="138">
        <v>9.363572513E9</v>
      </c>
      <c r="O22" s="138" t="s">
        <v>329</v>
      </c>
      <c r="P22" s="138" t="s">
        <v>330</v>
      </c>
      <c r="Q22" s="147"/>
      <c r="R22" s="141">
        <v>46023.0</v>
      </c>
      <c r="S22" s="141">
        <v>46387.0</v>
      </c>
      <c r="T22" s="138" t="s">
        <v>331</v>
      </c>
      <c r="U22" s="142" t="s">
        <v>140</v>
      </c>
      <c r="V22" s="138" t="s">
        <v>332</v>
      </c>
      <c r="W22" s="143"/>
      <c r="X22" s="138" t="s">
        <v>142</v>
      </c>
      <c r="Y22" s="148"/>
    </row>
    <row r="23" ht="33.0" customHeight="1">
      <c r="A23" s="138">
        <v>22.0</v>
      </c>
      <c r="B23" s="143"/>
      <c r="C23" s="138" t="s">
        <v>16</v>
      </c>
      <c r="D23" s="138" t="s">
        <v>314</v>
      </c>
      <c r="E23" s="138" t="s">
        <v>333</v>
      </c>
      <c r="F23" s="138" t="s">
        <v>334</v>
      </c>
      <c r="G23" s="140" t="s">
        <v>335</v>
      </c>
      <c r="H23" s="138" t="s">
        <v>131</v>
      </c>
      <c r="I23" s="138" t="s">
        <v>48</v>
      </c>
      <c r="J23" s="138">
        <v>10.0</v>
      </c>
      <c r="K23" s="138" t="s">
        <v>336</v>
      </c>
      <c r="L23" s="138" t="s">
        <v>158</v>
      </c>
      <c r="M23" s="138" t="s">
        <v>337</v>
      </c>
      <c r="N23" s="138">
        <v>9.171424236E9</v>
      </c>
      <c r="O23" s="138" t="s">
        <v>338</v>
      </c>
      <c r="P23" s="138" t="s">
        <v>339</v>
      </c>
      <c r="Q23" s="145"/>
      <c r="R23" s="141">
        <v>46023.0</v>
      </c>
      <c r="S23" s="141">
        <v>46387.0</v>
      </c>
      <c r="T23" s="138" t="s">
        <v>340</v>
      </c>
      <c r="U23" s="142" t="s">
        <v>140</v>
      </c>
      <c r="V23" s="143"/>
      <c r="W23" s="138" t="s">
        <v>341</v>
      </c>
      <c r="X23" s="138" t="s">
        <v>142</v>
      </c>
      <c r="Y23" s="148"/>
    </row>
    <row r="24" ht="33.0" customHeight="1">
      <c r="A24" s="138">
        <v>23.0</v>
      </c>
      <c r="B24" s="143"/>
      <c r="C24" s="138" t="s">
        <v>16</v>
      </c>
      <c r="D24" s="138" t="s">
        <v>314</v>
      </c>
      <c r="E24" s="138" t="s">
        <v>342</v>
      </c>
      <c r="F24" s="138" t="s">
        <v>343</v>
      </c>
      <c r="G24" s="140" t="s">
        <v>344</v>
      </c>
      <c r="H24" s="138" t="s">
        <v>131</v>
      </c>
      <c r="I24" s="138" t="s">
        <v>105</v>
      </c>
      <c r="J24" s="138">
        <v>12.0</v>
      </c>
      <c r="K24" s="138" t="s">
        <v>200</v>
      </c>
      <c r="L24" s="138" t="s">
        <v>200</v>
      </c>
      <c r="M24" s="138" t="s">
        <v>345</v>
      </c>
      <c r="N24" s="138">
        <v>9.082935214E9</v>
      </c>
      <c r="O24" s="138" t="s">
        <v>346</v>
      </c>
      <c r="P24" s="145"/>
      <c r="Q24" s="145"/>
      <c r="R24" s="141">
        <v>46125.0</v>
      </c>
      <c r="S24" s="141">
        <v>46387.0</v>
      </c>
      <c r="T24" s="138" t="s">
        <v>347</v>
      </c>
      <c r="U24" s="142" t="s">
        <v>348</v>
      </c>
      <c r="V24" s="143"/>
      <c r="W24" s="138" t="s">
        <v>349</v>
      </c>
      <c r="X24" s="143"/>
      <c r="Y24" s="148"/>
    </row>
    <row r="25" ht="33.0" customHeight="1">
      <c r="A25" s="138">
        <v>24.0</v>
      </c>
      <c r="B25" s="143"/>
      <c r="C25" s="138" t="s">
        <v>16</v>
      </c>
      <c r="D25" s="138" t="s">
        <v>314</v>
      </c>
      <c r="E25" s="138" t="s">
        <v>350</v>
      </c>
      <c r="F25" s="138" t="s">
        <v>351</v>
      </c>
      <c r="G25" s="140" t="s">
        <v>352</v>
      </c>
      <c r="H25" s="138" t="s">
        <v>131</v>
      </c>
      <c r="I25" s="138" t="s">
        <v>353</v>
      </c>
      <c r="J25" s="138">
        <v>30.0</v>
      </c>
      <c r="K25" s="138" t="s">
        <v>354</v>
      </c>
      <c r="L25" s="138" t="s">
        <v>133</v>
      </c>
      <c r="M25" s="138" t="s">
        <v>355</v>
      </c>
      <c r="N25" s="138">
        <v>9.950694515E9</v>
      </c>
      <c r="O25" s="138" t="s">
        <v>356</v>
      </c>
      <c r="P25" s="138" t="s">
        <v>357</v>
      </c>
      <c r="Q25" s="147"/>
      <c r="R25" s="141">
        <v>46023.0</v>
      </c>
      <c r="S25" s="141">
        <v>46387.0</v>
      </c>
      <c r="T25" s="138" t="s">
        <v>358</v>
      </c>
      <c r="U25" s="142" t="s">
        <v>140</v>
      </c>
      <c r="V25" s="138" t="s">
        <v>241</v>
      </c>
      <c r="W25" s="143"/>
      <c r="X25" s="138" t="s">
        <v>142</v>
      </c>
      <c r="Y25" s="148"/>
    </row>
    <row r="26" ht="33.0" customHeight="1">
      <c r="A26" s="138">
        <v>25.0</v>
      </c>
      <c r="B26" s="143"/>
      <c r="C26" s="138" t="s">
        <v>16</v>
      </c>
      <c r="D26" s="138" t="s">
        <v>314</v>
      </c>
      <c r="E26" s="138" t="s">
        <v>359</v>
      </c>
      <c r="F26" s="138" t="s">
        <v>360</v>
      </c>
      <c r="G26" s="140" t="s">
        <v>361</v>
      </c>
      <c r="H26" s="138" t="s">
        <v>131</v>
      </c>
      <c r="I26" s="138" t="s">
        <v>105</v>
      </c>
      <c r="J26" s="138">
        <v>10.0</v>
      </c>
      <c r="K26" s="138" t="s">
        <v>362</v>
      </c>
      <c r="L26" s="138" t="s">
        <v>133</v>
      </c>
      <c r="M26" s="138" t="s">
        <v>363</v>
      </c>
      <c r="N26" s="138">
        <v>9.552361E9</v>
      </c>
      <c r="O26" s="138" t="s">
        <v>364</v>
      </c>
      <c r="P26" s="145"/>
      <c r="Q26" s="138" t="s">
        <v>365</v>
      </c>
      <c r="R26" s="141">
        <v>46023.0</v>
      </c>
      <c r="S26" s="141">
        <v>46387.0</v>
      </c>
      <c r="T26" s="138" t="s">
        <v>366</v>
      </c>
      <c r="U26" s="142" t="s">
        <v>140</v>
      </c>
      <c r="V26" s="138" t="s">
        <v>141</v>
      </c>
      <c r="W26" s="138" t="s">
        <v>367</v>
      </c>
      <c r="X26" s="138" t="s">
        <v>142</v>
      </c>
      <c r="Y26" s="148"/>
    </row>
    <row r="27" ht="33.0" customHeight="1">
      <c r="A27" s="138">
        <v>26.0</v>
      </c>
      <c r="B27" s="143"/>
      <c r="C27" s="138" t="s">
        <v>16</v>
      </c>
      <c r="D27" s="138" t="s">
        <v>314</v>
      </c>
      <c r="E27" s="138" t="s">
        <v>368</v>
      </c>
      <c r="F27" s="138" t="s">
        <v>369</v>
      </c>
      <c r="G27" s="140" t="s">
        <v>370</v>
      </c>
      <c r="H27" s="138" t="s">
        <v>131</v>
      </c>
      <c r="I27" s="138" t="s">
        <v>105</v>
      </c>
      <c r="J27" s="138">
        <v>10.0</v>
      </c>
      <c r="K27" s="138" t="s">
        <v>371</v>
      </c>
      <c r="L27" s="138" t="s">
        <v>158</v>
      </c>
      <c r="M27" s="138" t="s">
        <v>372</v>
      </c>
      <c r="N27" s="138">
        <v>9.673000762E9</v>
      </c>
      <c r="O27" s="138" t="s">
        <v>373</v>
      </c>
      <c r="P27" s="138" t="s">
        <v>374</v>
      </c>
      <c r="Q27" s="145"/>
      <c r="R27" s="141">
        <v>46023.0</v>
      </c>
      <c r="S27" s="141">
        <v>46387.0</v>
      </c>
      <c r="T27" s="138" t="s">
        <v>375</v>
      </c>
      <c r="U27" s="142" t="s">
        <v>140</v>
      </c>
      <c r="V27" s="143"/>
      <c r="W27" s="143"/>
      <c r="X27" s="138" t="s">
        <v>142</v>
      </c>
      <c r="Y27" s="148"/>
    </row>
    <row r="28" ht="33.0" customHeight="1">
      <c r="A28" s="138">
        <v>27.0</v>
      </c>
      <c r="B28" s="143"/>
      <c r="C28" s="138" t="s">
        <v>16</v>
      </c>
      <c r="D28" s="138" t="s">
        <v>314</v>
      </c>
      <c r="E28" s="138" t="s">
        <v>376</v>
      </c>
      <c r="F28" s="138" t="s">
        <v>377</v>
      </c>
      <c r="G28" s="140" t="s">
        <v>378</v>
      </c>
      <c r="H28" s="138" t="s">
        <v>131</v>
      </c>
      <c r="I28" s="138" t="s">
        <v>48</v>
      </c>
      <c r="J28" s="138">
        <v>10.0</v>
      </c>
      <c r="K28" s="138" t="s">
        <v>300</v>
      </c>
      <c r="L28" s="138" t="s">
        <v>158</v>
      </c>
      <c r="M28" s="138" t="s">
        <v>379</v>
      </c>
      <c r="N28" s="138">
        <v>9.678393252E9</v>
      </c>
      <c r="O28" s="138" t="s">
        <v>380</v>
      </c>
      <c r="P28" s="138" t="s">
        <v>381</v>
      </c>
      <c r="Q28" s="147"/>
      <c r="R28" s="141">
        <v>46023.0</v>
      </c>
      <c r="S28" s="141">
        <v>46387.0</v>
      </c>
      <c r="T28" s="138" t="s">
        <v>382</v>
      </c>
      <c r="U28" s="142" t="s">
        <v>140</v>
      </c>
      <c r="V28" s="143"/>
      <c r="W28" s="138" t="s">
        <v>383</v>
      </c>
      <c r="X28" s="138" t="s">
        <v>142</v>
      </c>
      <c r="Y28" s="148"/>
    </row>
    <row r="29" ht="33.0" customHeight="1">
      <c r="A29" s="138">
        <v>28.0</v>
      </c>
      <c r="B29" s="143"/>
      <c r="C29" s="138" t="s">
        <v>16</v>
      </c>
      <c r="D29" s="138" t="s">
        <v>314</v>
      </c>
      <c r="E29" s="138" t="s">
        <v>384</v>
      </c>
      <c r="F29" s="138" t="s">
        <v>385</v>
      </c>
      <c r="G29" s="140" t="s">
        <v>386</v>
      </c>
      <c r="H29" s="138" t="s">
        <v>131</v>
      </c>
      <c r="I29" s="138" t="s">
        <v>105</v>
      </c>
      <c r="J29" s="138">
        <v>15.0</v>
      </c>
      <c r="K29" s="138" t="s">
        <v>387</v>
      </c>
      <c r="L29" s="138" t="s">
        <v>158</v>
      </c>
      <c r="M29" s="138" t="s">
        <v>388</v>
      </c>
      <c r="N29" s="138">
        <v>9.172450034E9</v>
      </c>
      <c r="O29" s="138" t="s">
        <v>389</v>
      </c>
      <c r="P29" s="138" t="s">
        <v>390</v>
      </c>
      <c r="Q29" s="145"/>
      <c r="R29" s="141">
        <v>46023.0</v>
      </c>
      <c r="S29" s="141">
        <v>46387.0</v>
      </c>
      <c r="T29" s="138" t="s">
        <v>391</v>
      </c>
      <c r="U29" s="142" t="s">
        <v>140</v>
      </c>
      <c r="V29" s="143"/>
      <c r="W29" s="143"/>
      <c r="X29" s="138" t="s">
        <v>142</v>
      </c>
      <c r="Y29" s="148"/>
    </row>
    <row r="30" ht="33.0" customHeight="1">
      <c r="A30" s="138">
        <v>29.0</v>
      </c>
      <c r="B30" s="143"/>
      <c r="C30" s="138" t="s">
        <v>16</v>
      </c>
      <c r="D30" s="138" t="s">
        <v>314</v>
      </c>
      <c r="E30" s="138" t="s">
        <v>392</v>
      </c>
      <c r="F30" s="138" t="s">
        <v>393</v>
      </c>
      <c r="G30" s="140" t="s">
        <v>394</v>
      </c>
      <c r="H30" s="138" t="s">
        <v>131</v>
      </c>
      <c r="I30" s="138" t="s">
        <v>105</v>
      </c>
      <c r="J30" s="138">
        <v>17.0</v>
      </c>
      <c r="K30" s="138" t="s">
        <v>274</v>
      </c>
      <c r="L30" s="138" t="s">
        <v>158</v>
      </c>
      <c r="M30" s="138" t="s">
        <v>395</v>
      </c>
      <c r="N30" s="138">
        <v>9.393068311E9</v>
      </c>
      <c r="O30" s="138" t="s">
        <v>396</v>
      </c>
      <c r="P30" s="145"/>
      <c r="Q30" s="138" t="s">
        <v>397</v>
      </c>
      <c r="R30" s="141">
        <v>46023.0</v>
      </c>
      <c r="S30" s="141">
        <v>46387.0</v>
      </c>
      <c r="T30" s="138" t="s">
        <v>398</v>
      </c>
      <c r="U30" s="142" t="s">
        <v>140</v>
      </c>
      <c r="V30" s="143"/>
      <c r="W30" s="143"/>
      <c r="X30" s="138" t="s">
        <v>142</v>
      </c>
      <c r="Y30" s="148"/>
    </row>
    <row r="31" ht="33.0" customHeight="1">
      <c r="A31" s="138">
        <v>30.0</v>
      </c>
      <c r="B31" s="143"/>
      <c r="C31" s="138" t="s">
        <v>16</v>
      </c>
      <c r="D31" s="138" t="s">
        <v>314</v>
      </c>
      <c r="E31" s="138" t="s">
        <v>399</v>
      </c>
      <c r="F31" s="138" t="s">
        <v>400</v>
      </c>
      <c r="G31" s="140" t="s">
        <v>401</v>
      </c>
      <c r="H31" s="138" t="s">
        <v>131</v>
      </c>
      <c r="I31" s="138" t="s">
        <v>105</v>
      </c>
      <c r="J31" s="138">
        <v>24.0</v>
      </c>
      <c r="K31" s="138" t="s">
        <v>402</v>
      </c>
      <c r="L31" s="138" t="s">
        <v>133</v>
      </c>
      <c r="M31" s="138" t="s">
        <v>403</v>
      </c>
      <c r="N31" s="138">
        <v>9.976430483E9</v>
      </c>
      <c r="O31" s="138" t="s">
        <v>404</v>
      </c>
      <c r="P31" s="145"/>
      <c r="Q31" s="138" t="s">
        <v>405</v>
      </c>
      <c r="R31" s="141">
        <v>46023.0</v>
      </c>
      <c r="S31" s="141">
        <v>46387.0</v>
      </c>
      <c r="T31" s="138" t="s">
        <v>406</v>
      </c>
      <c r="U31" s="142" t="s">
        <v>140</v>
      </c>
      <c r="V31" s="138" t="s">
        <v>141</v>
      </c>
      <c r="W31" s="138" t="s">
        <v>407</v>
      </c>
      <c r="X31" s="138" t="s">
        <v>142</v>
      </c>
      <c r="Y31" s="148"/>
    </row>
    <row r="32" ht="33.0" customHeight="1">
      <c r="A32" s="138">
        <v>31.0</v>
      </c>
      <c r="B32" s="143"/>
      <c r="C32" s="138" t="s">
        <v>16</v>
      </c>
      <c r="D32" s="138" t="s">
        <v>314</v>
      </c>
      <c r="E32" s="138" t="s">
        <v>408</v>
      </c>
      <c r="F32" s="138" t="s">
        <v>409</v>
      </c>
      <c r="G32" s="140" t="s">
        <v>410</v>
      </c>
      <c r="H32" s="138" t="s">
        <v>131</v>
      </c>
      <c r="I32" s="138" t="s">
        <v>105</v>
      </c>
      <c r="J32" s="138">
        <v>10.0</v>
      </c>
      <c r="K32" s="138" t="s">
        <v>200</v>
      </c>
      <c r="L32" s="138" t="s">
        <v>158</v>
      </c>
      <c r="M32" s="138" t="s">
        <v>411</v>
      </c>
      <c r="N32" s="138">
        <v>9.175771316E9</v>
      </c>
      <c r="O32" s="138" t="s">
        <v>412</v>
      </c>
      <c r="P32" s="145"/>
      <c r="Q32" s="138" t="s">
        <v>413</v>
      </c>
      <c r="R32" s="141">
        <v>46023.0</v>
      </c>
      <c r="S32" s="141">
        <v>46387.0</v>
      </c>
      <c r="T32" s="138" t="s">
        <v>414</v>
      </c>
      <c r="U32" s="142" t="s">
        <v>140</v>
      </c>
      <c r="V32" s="143"/>
      <c r="W32" s="143"/>
      <c r="X32" s="138" t="s">
        <v>142</v>
      </c>
      <c r="Y32" s="148"/>
    </row>
    <row r="33" ht="33.0" customHeight="1">
      <c r="A33" s="138">
        <v>32.0</v>
      </c>
      <c r="B33" s="143"/>
      <c r="C33" s="138" t="s">
        <v>16</v>
      </c>
      <c r="D33" s="138" t="s">
        <v>314</v>
      </c>
      <c r="E33" s="138" t="s">
        <v>415</v>
      </c>
      <c r="F33" s="138" t="s">
        <v>416</v>
      </c>
      <c r="G33" s="140" t="s">
        <v>417</v>
      </c>
      <c r="H33" s="138" t="s">
        <v>131</v>
      </c>
      <c r="I33" s="138" t="s">
        <v>105</v>
      </c>
      <c r="J33" s="138">
        <v>15.0</v>
      </c>
      <c r="K33" s="138" t="s">
        <v>418</v>
      </c>
      <c r="L33" s="138" t="s">
        <v>249</v>
      </c>
      <c r="M33" s="138" t="s">
        <v>419</v>
      </c>
      <c r="N33" s="138" t="s">
        <v>420</v>
      </c>
      <c r="O33" s="138" t="s">
        <v>421</v>
      </c>
      <c r="P33" s="138" t="s">
        <v>422</v>
      </c>
      <c r="Q33" s="147"/>
      <c r="R33" s="141">
        <v>46023.0</v>
      </c>
      <c r="S33" s="141">
        <v>46387.0</v>
      </c>
      <c r="T33" s="138" t="s">
        <v>423</v>
      </c>
      <c r="U33" s="142" t="s">
        <v>140</v>
      </c>
      <c r="V33" s="143"/>
      <c r="W33" s="143"/>
      <c r="X33" s="138" t="s">
        <v>142</v>
      </c>
      <c r="Y33" s="149"/>
    </row>
    <row r="34" ht="33.0" customHeight="1">
      <c r="A34" s="138">
        <v>33.0</v>
      </c>
      <c r="B34" s="143"/>
      <c r="C34" s="138" t="s">
        <v>16</v>
      </c>
      <c r="D34" s="138" t="s">
        <v>424</v>
      </c>
      <c r="E34" s="138" t="s">
        <v>425</v>
      </c>
      <c r="F34" s="138" t="s">
        <v>426</v>
      </c>
      <c r="G34" s="140" t="s">
        <v>427</v>
      </c>
      <c r="H34" s="138" t="s">
        <v>131</v>
      </c>
      <c r="I34" s="138" t="s">
        <v>105</v>
      </c>
      <c r="J34" s="138">
        <v>9.0</v>
      </c>
      <c r="K34" s="138" t="s">
        <v>428</v>
      </c>
      <c r="L34" s="138" t="s">
        <v>428</v>
      </c>
      <c r="M34" s="138" t="s">
        <v>429</v>
      </c>
      <c r="N34" s="138">
        <v>9.193295652E9</v>
      </c>
      <c r="O34" s="138" t="s">
        <v>430</v>
      </c>
      <c r="P34" s="145"/>
      <c r="Q34" s="138" t="s">
        <v>431</v>
      </c>
      <c r="R34" s="141">
        <v>46023.0</v>
      </c>
      <c r="S34" s="141">
        <v>46387.0</v>
      </c>
      <c r="T34" s="138" t="s">
        <v>432</v>
      </c>
      <c r="U34" s="142" t="s">
        <v>140</v>
      </c>
      <c r="V34" s="143"/>
      <c r="W34" s="143"/>
      <c r="X34" s="138" t="s">
        <v>142</v>
      </c>
      <c r="Y34" s="144"/>
    </row>
    <row r="35" ht="33.0" customHeight="1">
      <c r="A35" s="138">
        <v>34.0</v>
      </c>
      <c r="B35" s="143"/>
      <c r="C35" s="138" t="s">
        <v>16</v>
      </c>
      <c r="D35" s="138" t="s">
        <v>424</v>
      </c>
      <c r="E35" s="138" t="s">
        <v>433</v>
      </c>
      <c r="F35" s="138" t="s">
        <v>434</v>
      </c>
      <c r="G35" s="140" t="s">
        <v>435</v>
      </c>
      <c r="H35" s="138" t="s">
        <v>131</v>
      </c>
      <c r="I35" s="138" t="s">
        <v>48</v>
      </c>
      <c r="J35" s="138">
        <v>10.0</v>
      </c>
      <c r="K35" s="138" t="s">
        <v>300</v>
      </c>
      <c r="L35" s="138" t="s">
        <v>133</v>
      </c>
      <c r="M35" s="138" t="s">
        <v>436</v>
      </c>
      <c r="N35" s="138">
        <v>9.175676808E9</v>
      </c>
      <c r="O35" s="138" t="s">
        <v>437</v>
      </c>
      <c r="P35" s="138" t="s">
        <v>438</v>
      </c>
      <c r="Q35" s="147"/>
      <c r="R35" s="141">
        <v>46023.0</v>
      </c>
      <c r="S35" s="141">
        <v>46387.0</v>
      </c>
      <c r="T35" s="138" t="s">
        <v>439</v>
      </c>
      <c r="U35" s="142" t="s">
        <v>140</v>
      </c>
      <c r="V35" s="138" t="s">
        <v>141</v>
      </c>
      <c r="W35" s="143"/>
      <c r="X35" s="138" t="s">
        <v>142</v>
      </c>
      <c r="Y35" s="144"/>
    </row>
    <row r="36" ht="33.0" customHeight="1">
      <c r="A36" s="138">
        <v>35.0</v>
      </c>
      <c r="B36" s="143"/>
      <c r="C36" s="138" t="s">
        <v>16</v>
      </c>
      <c r="D36" s="138" t="s">
        <v>424</v>
      </c>
      <c r="E36" s="138" t="s">
        <v>440</v>
      </c>
      <c r="F36" s="138" t="s">
        <v>441</v>
      </c>
      <c r="G36" s="140" t="s">
        <v>442</v>
      </c>
      <c r="H36" s="138" t="s">
        <v>131</v>
      </c>
      <c r="I36" s="138" t="s">
        <v>105</v>
      </c>
      <c r="J36" s="138">
        <v>9.0</v>
      </c>
      <c r="K36" s="138" t="s">
        <v>200</v>
      </c>
      <c r="L36" s="138" t="s">
        <v>200</v>
      </c>
      <c r="M36" s="138" t="s">
        <v>443</v>
      </c>
      <c r="N36" s="138">
        <v>9.671156897E9</v>
      </c>
      <c r="O36" s="150" t="s">
        <v>444</v>
      </c>
      <c r="P36" s="138" t="s">
        <v>445</v>
      </c>
      <c r="Q36" s="145"/>
      <c r="R36" s="141">
        <v>46023.0</v>
      </c>
      <c r="S36" s="141">
        <v>46387.0</v>
      </c>
      <c r="T36" s="138" t="s">
        <v>446</v>
      </c>
      <c r="U36" s="142" t="s">
        <v>140</v>
      </c>
      <c r="V36" s="143"/>
      <c r="W36" s="143"/>
      <c r="X36" s="138" t="s">
        <v>142</v>
      </c>
      <c r="Y36" s="144"/>
    </row>
    <row r="37" ht="33.0" customHeight="1">
      <c r="A37" s="138">
        <v>36.0</v>
      </c>
      <c r="B37" s="143"/>
      <c r="C37" s="138" t="s">
        <v>16</v>
      </c>
      <c r="D37" s="138" t="s">
        <v>424</v>
      </c>
      <c r="E37" s="138" t="s">
        <v>440</v>
      </c>
      <c r="F37" s="138" t="s">
        <v>447</v>
      </c>
      <c r="G37" s="140" t="s">
        <v>448</v>
      </c>
      <c r="H37" s="138" t="s">
        <v>131</v>
      </c>
      <c r="I37" s="138" t="s">
        <v>48</v>
      </c>
      <c r="J37" s="138">
        <v>10.0</v>
      </c>
      <c r="K37" s="138" t="s">
        <v>449</v>
      </c>
      <c r="L37" s="138" t="s">
        <v>133</v>
      </c>
      <c r="M37" s="138" t="s">
        <v>450</v>
      </c>
      <c r="N37" s="138">
        <v>9.77830295E9</v>
      </c>
      <c r="O37" s="138" t="s">
        <v>451</v>
      </c>
      <c r="P37" s="138" t="s">
        <v>452</v>
      </c>
      <c r="Q37" s="147"/>
      <c r="R37" s="141">
        <v>46023.0</v>
      </c>
      <c r="S37" s="141">
        <v>46387.0</v>
      </c>
      <c r="T37" s="138" t="s">
        <v>453</v>
      </c>
      <c r="U37" s="142" t="s">
        <v>140</v>
      </c>
      <c r="V37" s="143"/>
      <c r="W37" s="138" t="s">
        <v>454</v>
      </c>
      <c r="X37" s="138" t="s">
        <v>142</v>
      </c>
      <c r="Y37" s="144"/>
    </row>
    <row r="38" ht="33.0" customHeight="1">
      <c r="A38" s="138">
        <v>37.0</v>
      </c>
      <c r="B38" s="143"/>
      <c r="C38" s="138" t="s">
        <v>16</v>
      </c>
      <c r="D38" s="138" t="s">
        <v>166</v>
      </c>
      <c r="E38" s="138" t="s">
        <v>455</v>
      </c>
      <c r="F38" s="138" t="s">
        <v>456</v>
      </c>
      <c r="G38" s="140" t="s">
        <v>457</v>
      </c>
      <c r="H38" s="138" t="s">
        <v>131</v>
      </c>
      <c r="I38" s="138" t="s">
        <v>48</v>
      </c>
      <c r="J38" s="138">
        <v>15.0</v>
      </c>
      <c r="K38" s="138" t="s">
        <v>274</v>
      </c>
      <c r="L38" s="138" t="s">
        <v>133</v>
      </c>
      <c r="M38" s="138" t="s">
        <v>458</v>
      </c>
      <c r="N38" s="138">
        <v>9.150493845E9</v>
      </c>
      <c r="O38" s="138" t="s">
        <v>459</v>
      </c>
      <c r="P38" s="138" t="s">
        <v>460</v>
      </c>
      <c r="Q38" s="147"/>
      <c r="R38" s="141">
        <v>46023.0</v>
      </c>
      <c r="S38" s="141">
        <v>46387.0</v>
      </c>
      <c r="T38" s="138" t="s">
        <v>461</v>
      </c>
      <c r="U38" s="142" t="s">
        <v>140</v>
      </c>
      <c r="V38" s="143"/>
      <c r="W38" s="143"/>
      <c r="X38" s="138" t="s">
        <v>142</v>
      </c>
      <c r="Y38" s="144"/>
    </row>
    <row r="39" ht="33.0" customHeight="1">
      <c r="A39" s="138">
        <v>38.0</v>
      </c>
      <c r="B39" s="143"/>
      <c r="C39" s="138" t="s">
        <v>16</v>
      </c>
      <c r="D39" s="138" t="s">
        <v>166</v>
      </c>
      <c r="E39" s="138" t="s">
        <v>462</v>
      </c>
      <c r="F39" s="138" t="s">
        <v>463</v>
      </c>
      <c r="G39" s="140" t="s">
        <v>464</v>
      </c>
      <c r="H39" s="138" t="s">
        <v>131</v>
      </c>
      <c r="I39" s="138" t="s">
        <v>48</v>
      </c>
      <c r="J39" s="138">
        <v>23.0</v>
      </c>
      <c r="K39" s="138" t="s">
        <v>465</v>
      </c>
      <c r="L39" s="138" t="s">
        <v>133</v>
      </c>
      <c r="M39" s="138" t="s">
        <v>466</v>
      </c>
      <c r="N39" s="138" t="s">
        <v>467</v>
      </c>
      <c r="O39" s="138" t="s">
        <v>468</v>
      </c>
      <c r="P39" s="145"/>
      <c r="Q39" s="138" t="s">
        <v>469</v>
      </c>
      <c r="R39" s="141">
        <v>46023.0</v>
      </c>
      <c r="S39" s="141">
        <v>46387.0</v>
      </c>
      <c r="T39" s="138" t="s">
        <v>470</v>
      </c>
      <c r="U39" s="142" t="s">
        <v>140</v>
      </c>
      <c r="V39" s="143"/>
      <c r="W39" s="138" t="s">
        <v>471</v>
      </c>
      <c r="X39" s="138" t="s">
        <v>142</v>
      </c>
      <c r="Y39" s="144"/>
    </row>
    <row r="40" ht="33.0" customHeight="1">
      <c r="A40" s="138">
        <v>39.0</v>
      </c>
      <c r="B40" s="138">
        <v>2983.0</v>
      </c>
      <c r="C40" s="138" t="s">
        <v>18</v>
      </c>
      <c r="D40" s="138" t="s">
        <v>472</v>
      </c>
      <c r="E40" s="138" t="s">
        <v>473</v>
      </c>
      <c r="F40" s="138" t="s">
        <v>474</v>
      </c>
      <c r="G40" s="140" t="s">
        <v>475</v>
      </c>
      <c r="H40" s="138" t="s">
        <v>131</v>
      </c>
      <c r="I40" s="138" t="s">
        <v>48</v>
      </c>
      <c r="J40" s="138">
        <v>29.0</v>
      </c>
      <c r="K40" s="138" t="s">
        <v>476</v>
      </c>
      <c r="L40" s="138" t="s">
        <v>158</v>
      </c>
      <c r="M40" s="138" t="s">
        <v>477</v>
      </c>
      <c r="N40" s="138">
        <v>9.772697791E9</v>
      </c>
      <c r="O40" s="150" t="s">
        <v>478</v>
      </c>
      <c r="P40" s="138" t="s">
        <v>479</v>
      </c>
      <c r="Q40" s="138" t="s">
        <v>475</v>
      </c>
      <c r="R40" s="141">
        <v>46023.0</v>
      </c>
      <c r="S40" s="141">
        <v>46387.0</v>
      </c>
      <c r="T40" s="138" t="s">
        <v>480</v>
      </c>
      <c r="U40" s="142" t="s">
        <v>140</v>
      </c>
      <c r="V40" s="138" t="s">
        <v>141</v>
      </c>
      <c r="W40" s="143"/>
      <c r="X40" s="143"/>
      <c r="Y40" s="144"/>
    </row>
    <row r="41" ht="33.0" customHeight="1">
      <c r="A41" s="138">
        <v>40.0</v>
      </c>
      <c r="B41" s="138">
        <v>263.0</v>
      </c>
      <c r="C41" s="138" t="s">
        <v>18</v>
      </c>
      <c r="D41" s="138" t="s">
        <v>472</v>
      </c>
      <c r="E41" s="138" t="s">
        <v>481</v>
      </c>
      <c r="F41" s="138" t="s">
        <v>482</v>
      </c>
      <c r="G41" s="151" t="s">
        <v>483</v>
      </c>
      <c r="H41" s="138" t="s">
        <v>131</v>
      </c>
      <c r="I41" s="138" t="s">
        <v>105</v>
      </c>
      <c r="J41" s="138">
        <v>10.0</v>
      </c>
      <c r="K41" s="138" t="s">
        <v>484</v>
      </c>
      <c r="L41" s="152" t="s">
        <v>141</v>
      </c>
      <c r="M41" s="138" t="s">
        <v>485</v>
      </c>
      <c r="N41" s="138">
        <v>9.616878808E9</v>
      </c>
      <c r="O41" s="150" t="s">
        <v>486</v>
      </c>
      <c r="P41" s="138" t="s">
        <v>487</v>
      </c>
      <c r="Q41" s="138" t="s">
        <v>483</v>
      </c>
      <c r="R41" s="141">
        <v>46023.0</v>
      </c>
      <c r="S41" s="141">
        <v>46387.0</v>
      </c>
      <c r="T41" s="138" t="s">
        <v>488</v>
      </c>
      <c r="U41" s="142" t="s">
        <v>140</v>
      </c>
      <c r="V41" s="138" t="s">
        <v>489</v>
      </c>
      <c r="W41" s="143"/>
      <c r="X41" s="143"/>
      <c r="Y41" s="144"/>
    </row>
    <row r="42" ht="33.0" customHeight="1">
      <c r="A42" s="138">
        <v>41.0</v>
      </c>
      <c r="B42" s="138">
        <v>23748.0</v>
      </c>
      <c r="C42" s="138" t="s">
        <v>18</v>
      </c>
      <c r="D42" s="138" t="s">
        <v>472</v>
      </c>
      <c r="E42" s="138" t="s">
        <v>490</v>
      </c>
      <c r="F42" s="138" t="s">
        <v>491</v>
      </c>
      <c r="G42" s="140" t="s">
        <v>492</v>
      </c>
      <c r="H42" s="138" t="s">
        <v>131</v>
      </c>
      <c r="I42" s="138" t="s">
        <v>48</v>
      </c>
      <c r="J42" s="138">
        <v>10.0</v>
      </c>
      <c r="K42" s="138" t="s">
        <v>493</v>
      </c>
      <c r="L42" s="138" t="s">
        <v>133</v>
      </c>
      <c r="M42" s="138" t="s">
        <v>494</v>
      </c>
      <c r="N42" s="138" t="s">
        <v>495</v>
      </c>
      <c r="O42" s="150" t="s">
        <v>496</v>
      </c>
      <c r="P42" s="138" t="s">
        <v>497</v>
      </c>
      <c r="Q42" s="138" t="s">
        <v>492</v>
      </c>
      <c r="R42" s="141">
        <v>46023.0</v>
      </c>
      <c r="S42" s="141">
        <v>46387.0</v>
      </c>
      <c r="T42" s="138" t="s">
        <v>498</v>
      </c>
      <c r="U42" s="142" t="s">
        <v>140</v>
      </c>
      <c r="V42" s="138" t="s">
        <v>141</v>
      </c>
      <c r="W42" s="143"/>
      <c r="X42" s="143"/>
      <c r="Y42" s="148"/>
    </row>
    <row r="43" ht="33.0" customHeight="1">
      <c r="A43" s="138">
        <v>42.0</v>
      </c>
      <c r="B43" s="138">
        <v>417.0</v>
      </c>
      <c r="C43" s="138" t="s">
        <v>18</v>
      </c>
      <c r="D43" s="138" t="s">
        <v>499</v>
      </c>
      <c r="E43" s="138" t="s">
        <v>500</v>
      </c>
      <c r="F43" s="138" t="s">
        <v>501</v>
      </c>
      <c r="G43" s="151" t="s">
        <v>502</v>
      </c>
      <c r="H43" s="138" t="s">
        <v>131</v>
      </c>
      <c r="I43" s="138" t="s">
        <v>48</v>
      </c>
      <c r="J43" s="138">
        <v>15.0</v>
      </c>
      <c r="K43" s="138" t="s">
        <v>503</v>
      </c>
      <c r="L43" s="138" t="s">
        <v>133</v>
      </c>
      <c r="M43" s="138" t="s">
        <v>504</v>
      </c>
      <c r="N43" s="138" t="s">
        <v>505</v>
      </c>
      <c r="O43" s="138" t="s">
        <v>506</v>
      </c>
      <c r="P43" s="138" t="s">
        <v>507</v>
      </c>
      <c r="Q43" s="145"/>
      <c r="R43" s="141">
        <v>46023.0</v>
      </c>
      <c r="S43" s="141">
        <v>46387.0</v>
      </c>
      <c r="T43" s="138" t="s">
        <v>508</v>
      </c>
      <c r="U43" s="142" t="s">
        <v>140</v>
      </c>
      <c r="V43" s="138" t="s">
        <v>141</v>
      </c>
      <c r="W43" s="143"/>
      <c r="X43" s="143"/>
      <c r="Y43" s="148"/>
    </row>
    <row r="44" ht="33.0" customHeight="1">
      <c r="A44" s="138">
        <v>43.0</v>
      </c>
      <c r="B44" s="138">
        <v>229.0</v>
      </c>
      <c r="C44" s="138" t="s">
        <v>18</v>
      </c>
      <c r="D44" s="138" t="s">
        <v>509</v>
      </c>
      <c r="E44" s="138" t="s">
        <v>510</v>
      </c>
      <c r="F44" s="138" t="s">
        <v>511</v>
      </c>
      <c r="G44" s="140" t="s">
        <v>512</v>
      </c>
      <c r="H44" s="138" t="s">
        <v>131</v>
      </c>
      <c r="I44" s="138" t="s">
        <v>105</v>
      </c>
      <c r="J44" s="138">
        <v>10.0</v>
      </c>
      <c r="K44" s="138" t="s">
        <v>513</v>
      </c>
      <c r="L44" s="138" t="s">
        <v>158</v>
      </c>
      <c r="M44" s="138" t="s">
        <v>514</v>
      </c>
      <c r="N44" s="138" t="s">
        <v>515</v>
      </c>
      <c r="O44" s="150" t="s">
        <v>516</v>
      </c>
      <c r="P44" s="138" t="s">
        <v>517</v>
      </c>
      <c r="Q44" s="145"/>
      <c r="R44" s="141">
        <v>46023.0</v>
      </c>
      <c r="S44" s="141">
        <v>46387.0</v>
      </c>
      <c r="T44" s="138" t="s">
        <v>518</v>
      </c>
      <c r="U44" s="142" t="s">
        <v>140</v>
      </c>
      <c r="V44" s="138" t="s">
        <v>141</v>
      </c>
      <c r="W44" s="143"/>
      <c r="X44" s="143"/>
      <c r="Y44" s="148"/>
    </row>
    <row r="45" ht="33.0" customHeight="1">
      <c r="A45" s="138">
        <v>44.0</v>
      </c>
      <c r="B45" s="138">
        <v>47690.0</v>
      </c>
      <c r="C45" s="138" t="s">
        <v>18</v>
      </c>
      <c r="D45" s="138" t="s">
        <v>509</v>
      </c>
      <c r="E45" s="138" t="s">
        <v>519</v>
      </c>
      <c r="F45" s="138" t="s">
        <v>520</v>
      </c>
      <c r="G45" s="140" t="s">
        <v>521</v>
      </c>
      <c r="H45" s="138" t="s">
        <v>131</v>
      </c>
      <c r="I45" s="138" t="s">
        <v>105</v>
      </c>
      <c r="J45" s="138">
        <v>5.0</v>
      </c>
      <c r="K45" s="138" t="s">
        <v>274</v>
      </c>
      <c r="L45" s="146"/>
      <c r="M45" s="138" t="s">
        <v>522</v>
      </c>
      <c r="N45" s="138">
        <v>9.696308505E9</v>
      </c>
      <c r="O45" s="150" t="s">
        <v>523</v>
      </c>
      <c r="P45" s="138" t="s">
        <v>524</v>
      </c>
      <c r="Q45" s="145"/>
      <c r="R45" s="141">
        <v>46023.0</v>
      </c>
      <c r="S45" s="141">
        <v>46387.0</v>
      </c>
      <c r="T45" s="138" t="s">
        <v>525</v>
      </c>
      <c r="U45" s="142" t="s">
        <v>140</v>
      </c>
      <c r="V45" s="138" t="s">
        <v>141</v>
      </c>
      <c r="W45" s="143"/>
      <c r="X45" s="143"/>
      <c r="Y45" s="148"/>
    </row>
    <row r="46" ht="33.0" customHeight="1">
      <c r="A46" s="138">
        <v>45.0</v>
      </c>
      <c r="B46" s="138">
        <v>52072.0</v>
      </c>
      <c r="C46" s="138" t="s">
        <v>18</v>
      </c>
      <c r="D46" s="138" t="s">
        <v>509</v>
      </c>
      <c r="E46" s="138" t="s">
        <v>526</v>
      </c>
      <c r="F46" s="138" t="s">
        <v>527</v>
      </c>
      <c r="G46" s="140" t="s">
        <v>528</v>
      </c>
      <c r="H46" s="138" t="s">
        <v>131</v>
      </c>
      <c r="I46" s="138" t="s">
        <v>105</v>
      </c>
      <c r="J46" s="138">
        <v>25.0</v>
      </c>
      <c r="K46" s="138" t="s">
        <v>169</v>
      </c>
      <c r="L46" s="138" t="s">
        <v>133</v>
      </c>
      <c r="M46" s="138" t="s">
        <v>529</v>
      </c>
      <c r="N46" s="138" t="s">
        <v>530</v>
      </c>
      <c r="O46" s="150" t="s">
        <v>531</v>
      </c>
      <c r="P46" s="138" t="s">
        <v>141</v>
      </c>
      <c r="Q46" s="138" t="s">
        <v>532</v>
      </c>
      <c r="R46" s="141">
        <v>46063.0</v>
      </c>
      <c r="S46" s="141">
        <v>46387.0</v>
      </c>
      <c r="T46" s="138" t="s">
        <v>533</v>
      </c>
      <c r="U46" s="142" t="s">
        <v>140</v>
      </c>
      <c r="V46" s="138" t="s">
        <v>141</v>
      </c>
      <c r="W46" s="138" t="s">
        <v>534</v>
      </c>
      <c r="X46" s="143"/>
      <c r="Y46" s="148"/>
    </row>
    <row r="47" ht="33.0" customHeight="1">
      <c r="A47" s="138">
        <v>46.0</v>
      </c>
      <c r="B47" s="138">
        <v>37489.0</v>
      </c>
      <c r="C47" s="138" t="s">
        <v>18</v>
      </c>
      <c r="D47" s="138" t="s">
        <v>509</v>
      </c>
      <c r="E47" s="138" t="s">
        <v>535</v>
      </c>
      <c r="F47" s="138" t="s">
        <v>536</v>
      </c>
      <c r="G47" s="140" t="s">
        <v>537</v>
      </c>
      <c r="H47" s="138" t="s">
        <v>131</v>
      </c>
      <c r="I47" s="138" t="s">
        <v>48</v>
      </c>
      <c r="J47" s="138">
        <v>16.0</v>
      </c>
      <c r="K47" s="138" t="s">
        <v>274</v>
      </c>
      <c r="L47" s="146"/>
      <c r="M47" s="138" t="s">
        <v>538</v>
      </c>
      <c r="N47" s="138" t="s">
        <v>539</v>
      </c>
      <c r="O47" s="150" t="s">
        <v>540</v>
      </c>
      <c r="P47" s="138" t="s">
        <v>141</v>
      </c>
      <c r="Q47" s="138" t="s">
        <v>541</v>
      </c>
      <c r="R47" s="141">
        <v>46023.0</v>
      </c>
      <c r="S47" s="141">
        <v>46387.0</v>
      </c>
      <c r="T47" s="138" t="s">
        <v>542</v>
      </c>
      <c r="U47" s="142" t="s">
        <v>140</v>
      </c>
      <c r="V47" s="138" t="s">
        <v>141</v>
      </c>
      <c r="W47" s="143"/>
      <c r="X47" s="143"/>
      <c r="Y47" s="148"/>
    </row>
    <row r="48" ht="33.0" customHeight="1">
      <c r="A48" s="138">
        <v>47.0</v>
      </c>
      <c r="B48" s="138">
        <v>2043.0</v>
      </c>
      <c r="C48" s="138" t="s">
        <v>18</v>
      </c>
      <c r="D48" s="138" t="s">
        <v>543</v>
      </c>
      <c r="E48" s="138" t="s">
        <v>544</v>
      </c>
      <c r="F48" s="138" t="s">
        <v>545</v>
      </c>
      <c r="G48" s="140" t="s">
        <v>546</v>
      </c>
      <c r="H48" s="138" t="s">
        <v>131</v>
      </c>
      <c r="I48" s="138" t="s">
        <v>48</v>
      </c>
      <c r="J48" s="138">
        <v>15.0</v>
      </c>
      <c r="K48" s="138" t="s">
        <v>169</v>
      </c>
      <c r="L48" s="138" t="s">
        <v>158</v>
      </c>
      <c r="M48" s="138" t="s">
        <v>547</v>
      </c>
      <c r="N48" s="138" t="s">
        <v>548</v>
      </c>
      <c r="O48" s="138" t="s">
        <v>549</v>
      </c>
      <c r="P48" s="138" t="s">
        <v>550</v>
      </c>
      <c r="Q48" s="145"/>
      <c r="R48" s="141">
        <v>46023.0</v>
      </c>
      <c r="S48" s="141">
        <v>46387.0</v>
      </c>
      <c r="T48" s="138" t="s">
        <v>551</v>
      </c>
      <c r="U48" s="142" t="s">
        <v>140</v>
      </c>
      <c r="V48" s="138" t="s">
        <v>141</v>
      </c>
      <c r="W48" s="143"/>
      <c r="X48" s="143"/>
      <c r="Y48" s="148"/>
    </row>
    <row r="49" ht="33.0" customHeight="1">
      <c r="A49" s="138">
        <v>48.0</v>
      </c>
      <c r="B49" s="138">
        <v>43739.0</v>
      </c>
      <c r="C49" s="138" t="s">
        <v>18</v>
      </c>
      <c r="D49" s="138" t="s">
        <v>543</v>
      </c>
      <c r="E49" s="138" t="s">
        <v>552</v>
      </c>
      <c r="F49" s="138" t="s">
        <v>553</v>
      </c>
      <c r="G49" s="140" t="s">
        <v>554</v>
      </c>
      <c r="H49" s="138" t="s">
        <v>131</v>
      </c>
      <c r="I49" s="138" t="s">
        <v>105</v>
      </c>
      <c r="J49" s="138">
        <v>13.0</v>
      </c>
      <c r="K49" s="146"/>
      <c r="L49" s="146"/>
      <c r="M49" s="138" t="s">
        <v>555</v>
      </c>
      <c r="N49" s="138" t="s">
        <v>556</v>
      </c>
      <c r="O49" s="138" t="s">
        <v>557</v>
      </c>
      <c r="P49" s="145"/>
      <c r="Q49" s="138" t="s">
        <v>558</v>
      </c>
      <c r="R49" s="141">
        <v>46023.0</v>
      </c>
      <c r="S49" s="141">
        <v>46387.0</v>
      </c>
      <c r="T49" s="138" t="s">
        <v>559</v>
      </c>
      <c r="U49" s="142" t="s">
        <v>140</v>
      </c>
      <c r="V49" s="138" t="s">
        <v>141</v>
      </c>
      <c r="W49" s="143"/>
      <c r="X49" s="143"/>
      <c r="Y49" s="148"/>
    </row>
    <row r="50" ht="33.0" customHeight="1">
      <c r="A50" s="138">
        <v>49.0</v>
      </c>
      <c r="B50" s="138">
        <v>245.0</v>
      </c>
      <c r="C50" s="138" t="s">
        <v>18</v>
      </c>
      <c r="D50" s="138" t="s">
        <v>543</v>
      </c>
      <c r="E50" s="138" t="s">
        <v>560</v>
      </c>
      <c r="F50" s="138" t="s">
        <v>561</v>
      </c>
      <c r="G50" s="140" t="s">
        <v>562</v>
      </c>
      <c r="H50" s="138" t="s">
        <v>131</v>
      </c>
      <c r="I50" s="138" t="s">
        <v>48</v>
      </c>
      <c r="J50" s="138">
        <v>15.0</v>
      </c>
      <c r="K50" s="138" t="s">
        <v>169</v>
      </c>
      <c r="L50" s="138" t="s">
        <v>158</v>
      </c>
      <c r="M50" s="138" t="s">
        <v>563</v>
      </c>
      <c r="N50" s="138" t="s">
        <v>564</v>
      </c>
      <c r="O50" s="150" t="s">
        <v>565</v>
      </c>
      <c r="P50" s="138" t="s">
        <v>566</v>
      </c>
      <c r="Q50" s="145"/>
      <c r="R50" s="141">
        <v>46023.0</v>
      </c>
      <c r="S50" s="141">
        <v>46387.0</v>
      </c>
      <c r="T50" s="138" t="s">
        <v>567</v>
      </c>
      <c r="U50" s="142" t="s">
        <v>140</v>
      </c>
      <c r="V50" s="138" t="s">
        <v>141</v>
      </c>
      <c r="W50" s="143"/>
      <c r="X50" s="143"/>
      <c r="Y50" s="148"/>
    </row>
    <row r="51" ht="33.0" customHeight="1">
      <c r="A51" s="138">
        <v>50.0</v>
      </c>
      <c r="B51" s="138">
        <v>3551.0</v>
      </c>
      <c r="C51" s="138" t="s">
        <v>18</v>
      </c>
      <c r="D51" s="138" t="s">
        <v>543</v>
      </c>
      <c r="E51" s="138" t="s">
        <v>568</v>
      </c>
      <c r="F51" s="138" t="s">
        <v>569</v>
      </c>
      <c r="G51" s="140" t="s">
        <v>570</v>
      </c>
      <c r="H51" s="138" t="s">
        <v>131</v>
      </c>
      <c r="I51" s="138" t="s">
        <v>48</v>
      </c>
      <c r="J51" s="138">
        <v>15.0</v>
      </c>
      <c r="K51" s="138" t="s">
        <v>169</v>
      </c>
      <c r="L51" s="138" t="s">
        <v>158</v>
      </c>
      <c r="M51" s="138" t="s">
        <v>571</v>
      </c>
      <c r="N51" s="138">
        <v>9.263539242E9</v>
      </c>
      <c r="O51" s="138" t="s">
        <v>572</v>
      </c>
      <c r="P51" s="138" t="s">
        <v>573</v>
      </c>
      <c r="Q51" s="145"/>
      <c r="R51" s="141">
        <v>46023.0</v>
      </c>
      <c r="S51" s="141">
        <v>46387.0</v>
      </c>
      <c r="T51" s="138" t="s">
        <v>574</v>
      </c>
      <c r="U51" s="142" t="s">
        <v>140</v>
      </c>
      <c r="V51" s="138" t="s">
        <v>141</v>
      </c>
      <c r="W51" s="143"/>
      <c r="X51" s="143"/>
      <c r="Y51" s="148"/>
    </row>
    <row r="52" ht="33.0" customHeight="1">
      <c r="A52" s="138">
        <v>51.0</v>
      </c>
      <c r="B52" s="138">
        <v>32438.0</v>
      </c>
      <c r="C52" s="138" t="s">
        <v>18</v>
      </c>
      <c r="D52" s="138" t="s">
        <v>543</v>
      </c>
      <c r="E52" s="138" t="s">
        <v>575</v>
      </c>
      <c r="F52" s="138" t="s">
        <v>576</v>
      </c>
      <c r="G52" s="140" t="s">
        <v>577</v>
      </c>
      <c r="H52" s="138" t="s">
        <v>131</v>
      </c>
      <c r="I52" s="138" t="s">
        <v>48</v>
      </c>
      <c r="J52" s="138">
        <v>18.0</v>
      </c>
      <c r="K52" s="138" t="s">
        <v>578</v>
      </c>
      <c r="L52" s="138" t="s">
        <v>133</v>
      </c>
      <c r="M52" s="138" t="s">
        <v>579</v>
      </c>
      <c r="N52" s="138" t="s">
        <v>580</v>
      </c>
      <c r="O52" s="138" t="s">
        <v>581</v>
      </c>
      <c r="P52" s="138" t="s">
        <v>582</v>
      </c>
      <c r="Q52" s="145"/>
      <c r="R52" s="141">
        <v>46023.0</v>
      </c>
      <c r="S52" s="141">
        <v>46387.0</v>
      </c>
      <c r="T52" s="138" t="s">
        <v>583</v>
      </c>
      <c r="U52" s="142" t="s">
        <v>140</v>
      </c>
      <c r="V52" s="138" t="s">
        <v>141</v>
      </c>
      <c r="W52" s="143"/>
      <c r="X52" s="143"/>
      <c r="Y52" s="144"/>
    </row>
    <row r="53" ht="33.0" customHeight="1">
      <c r="A53" s="138">
        <v>52.0</v>
      </c>
      <c r="B53" s="138">
        <v>3182.0</v>
      </c>
      <c r="C53" s="138" t="s">
        <v>18</v>
      </c>
      <c r="D53" s="138" t="s">
        <v>543</v>
      </c>
      <c r="E53" s="138" t="s">
        <v>584</v>
      </c>
      <c r="F53" s="142" t="s">
        <v>585</v>
      </c>
      <c r="G53" s="153" t="s">
        <v>586</v>
      </c>
      <c r="H53" s="138" t="s">
        <v>131</v>
      </c>
      <c r="I53" s="138" t="s">
        <v>587</v>
      </c>
      <c r="J53" s="138">
        <v>50.0</v>
      </c>
      <c r="K53" s="138" t="s">
        <v>588</v>
      </c>
      <c r="L53" s="138" t="s">
        <v>133</v>
      </c>
      <c r="M53" s="142" t="s">
        <v>589</v>
      </c>
      <c r="N53" s="142" t="s">
        <v>590</v>
      </c>
      <c r="O53" s="142" t="s">
        <v>591</v>
      </c>
      <c r="P53" s="138" t="s">
        <v>592</v>
      </c>
      <c r="Q53" s="145"/>
      <c r="R53" s="141">
        <v>46023.0</v>
      </c>
      <c r="S53" s="141">
        <v>46387.0</v>
      </c>
      <c r="T53" s="142" t="s">
        <v>593</v>
      </c>
      <c r="U53" s="142" t="s">
        <v>140</v>
      </c>
      <c r="V53" s="138" t="s">
        <v>141</v>
      </c>
      <c r="W53" s="143"/>
      <c r="X53" s="143"/>
      <c r="Y53" s="148"/>
    </row>
    <row r="54" ht="33.0" customHeight="1">
      <c r="A54" s="138">
        <v>53.0</v>
      </c>
      <c r="B54" s="138">
        <v>1661.0</v>
      </c>
      <c r="C54" s="138" t="s">
        <v>18</v>
      </c>
      <c r="D54" s="138" t="s">
        <v>543</v>
      </c>
      <c r="E54" s="138" t="s">
        <v>584</v>
      </c>
      <c r="F54" s="138" t="s">
        <v>594</v>
      </c>
      <c r="G54" s="140" t="s">
        <v>595</v>
      </c>
      <c r="H54" s="138" t="s">
        <v>131</v>
      </c>
      <c r="I54" s="138" t="s">
        <v>105</v>
      </c>
      <c r="J54" s="138">
        <v>18.0</v>
      </c>
      <c r="K54" s="138" t="s">
        <v>596</v>
      </c>
      <c r="L54" s="138" t="s">
        <v>158</v>
      </c>
      <c r="M54" s="138" t="s">
        <v>597</v>
      </c>
      <c r="N54" s="138">
        <v>9.178018247E9</v>
      </c>
      <c r="O54" s="138" t="s">
        <v>598</v>
      </c>
      <c r="P54" s="138" t="s">
        <v>599</v>
      </c>
      <c r="Q54" s="145"/>
      <c r="R54" s="141">
        <v>46023.0</v>
      </c>
      <c r="S54" s="141">
        <v>46387.0</v>
      </c>
      <c r="T54" s="138" t="s">
        <v>600</v>
      </c>
      <c r="U54" s="142" t="s">
        <v>140</v>
      </c>
      <c r="V54" s="138" t="s">
        <v>141</v>
      </c>
      <c r="W54" s="143"/>
      <c r="X54" s="143"/>
      <c r="Y54" s="148"/>
    </row>
    <row r="55" ht="33.0" customHeight="1">
      <c r="A55" s="138">
        <v>54.0</v>
      </c>
      <c r="B55" s="138">
        <v>46877.0</v>
      </c>
      <c r="C55" s="138" t="s">
        <v>18</v>
      </c>
      <c r="D55" s="138" t="s">
        <v>543</v>
      </c>
      <c r="E55" s="138" t="s">
        <v>601</v>
      </c>
      <c r="F55" s="138" t="s">
        <v>602</v>
      </c>
      <c r="G55" s="140" t="s">
        <v>603</v>
      </c>
      <c r="H55" s="138" t="s">
        <v>131</v>
      </c>
      <c r="I55" s="138" t="s">
        <v>105</v>
      </c>
      <c r="J55" s="138">
        <v>10.0</v>
      </c>
      <c r="K55" s="146"/>
      <c r="L55" s="146"/>
      <c r="M55" s="154" t="s">
        <v>604</v>
      </c>
      <c r="N55" s="155" t="s">
        <v>605</v>
      </c>
      <c r="O55" s="138" t="s">
        <v>606</v>
      </c>
      <c r="P55" s="145"/>
      <c r="Q55" s="138" t="s">
        <v>607</v>
      </c>
      <c r="R55" s="156">
        <v>46023.0</v>
      </c>
      <c r="S55" s="156">
        <v>46387.0</v>
      </c>
      <c r="T55" s="157" t="s">
        <v>608</v>
      </c>
      <c r="U55" s="142" t="s">
        <v>140</v>
      </c>
      <c r="V55" s="138" t="s">
        <v>141</v>
      </c>
      <c r="W55" s="143"/>
      <c r="X55" s="143"/>
      <c r="Y55" s="144"/>
    </row>
    <row r="56" ht="33.0" customHeight="1">
      <c r="A56" s="138">
        <v>55.0</v>
      </c>
      <c r="B56" s="143"/>
      <c r="C56" s="138" t="s">
        <v>18</v>
      </c>
      <c r="D56" s="138" t="s">
        <v>543</v>
      </c>
      <c r="E56" s="138" t="s">
        <v>609</v>
      </c>
      <c r="F56" s="146"/>
      <c r="G56" s="140" t="s">
        <v>610</v>
      </c>
      <c r="H56" s="138" t="s">
        <v>131</v>
      </c>
      <c r="I56" s="138" t="s">
        <v>105</v>
      </c>
      <c r="J56" s="138">
        <v>10.0</v>
      </c>
      <c r="K56" s="138" t="s">
        <v>611</v>
      </c>
      <c r="L56" s="138" t="s">
        <v>133</v>
      </c>
      <c r="M56" s="138" t="s">
        <v>612</v>
      </c>
      <c r="N56" s="138" t="s">
        <v>613</v>
      </c>
      <c r="O56" s="138" t="s">
        <v>614</v>
      </c>
      <c r="P56" s="145"/>
      <c r="Q56" s="145"/>
      <c r="R56" s="141">
        <v>46023.0</v>
      </c>
      <c r="S56" s="141">
        <v>46387.0</v>
      </c>
      <c r="T56" s="138" t="s">
        <v>615</v>
      </c>
      <c r="U56" s="142" t="s">
        <v>140</v>
      </c>
      <c r="V56" s="138" t="s">
        <v>141</v>
      </c>
      <c r="W56" s="143"/>
      <c r="X56" s="143"/>
      <c r="Y56" s="148"/>
    </row>
    <row r="57" ht="33.0" customHeight="1">
      <c r="A57" s="138">
        <v>56.0</v>
      </c>
      <c r="B57" s="138">
        <v>32440.0</v>
      </c>
      <c r="C57" s="138" t="s">
        <v>18</v>
      </c>
      <c r="D57" s="138" t="s">
        <v>616</v>
      </c>
      <c r="E57" s="138" t="s">
        <v>617</v>
      </c>
      <c r="F57" s="138" t="s">
        <v>618</v>
      </c>
      <c r="G57" s="140" t="s">
        <v>619</v>
      </c>
      <c r="H57" s="138" t="s">
        <v>131</v>
      </c>
      <c r="I57" s="138" t="s">
        <v>105</v>
      </c>
      <c r="J57" s="138">
        <v>16.0</v>
      </c>
      <c r="K57" s="138" t="s">
        <v>620</v>
      </c>
      <c r="L57" s="138" t="s">
        <v>133</v>
      </c>
      <c r="M57" s="138" t="s">
        <v>621</v>
      </c>
      <c r="N57" s="138" t="s">
        <v>622</v>
      </c>
      <c r="O57" s="138" t="s">
        <v>623</v>
      </c>
      <c r="P57" s="138" t="s">
        <v>624</v>
      </c>
      <c r="Q57" s="145"/>
      <c r="R57" s="141">
        <v>46023.0</v>
      </c>
      <c r="S57" s="141">
        <v>46387.0</v>
      </c>
      <c r="T57" s="138" t="s">
        <v>625</v>
      </c>
      <c r="U57" s="142" t="s">
        <v>140</v>
      </c>
      <c r="V57" s="138" t="s">
        <v>141</v>
      </c>
      <c r="W57" s="143"/>
      <c r="X57" s="143"/>
      <c r="Y57" s="148"/>
    </row>
    <row r="58" ht="33.0" customHeight="1">
      <c r="A58" s="138">
        <v>57.0</v>
      </c>
      <c r="B58" s="138">
        <v>30898.0</v>
      </c>
      <c r="C58" s="138" t="s">
        <v>18</v>
      </c>
      <c r="D58" s="138" t="s">
        <v>626</v>
      </c>
      <c r="E58" s="138" t="s">
        <v>627</v>
      </c>
      <c r="F58" s="138" t="s">
        <v>628</v>
      </c>
      <c r="G58" s="140" t="s">
        <v>629</v>
      </c>
      <c r="H58" s="138" t="s">
        <v>131</v>
      </c>
      <c r="I58" s="138" t="s">
        <v>105</v>
      </c>
      <c r="J58" s="138">
        <v>24.0</v>
      </c>
      <c r="K58" s="138" t="s">
        <v>630</v>
      </c>
      <c r="L58" s="138" t="s">
        <v>133</v>
      </c>
      <c r="M58" s="138" t="s">
        <v>631</v>
      </c>
      <c r="N58" s="138" t="s">
        <v>632</v>
      </c>
      <c r="O58" s="138" t="s">
        <v>633</v>
      </c>
      <c r="P58" s="145"/>
      <c r="Q58" s="138" t="s">
        <v>634</v>
      </c>
      <c r="R58" s="141">
        <v>46023.0</v>
      </c>
      <c r="S58" s="141">
        <v>46387.0</v>
      </c>
      <c r="T58" s="138" t="s">
        <v>635</v>
      </c>
      <c r="U58" s="142" t="s">
        <v>140</v>
      </c>
      <c r="V58" s="138" t="s">
        <v>141</v>
      </c>
      <c r="W58" s="149"/>
      <c r="X58" s="149"/>
      <c r="Y58" s="148"/>
    </row>
    <row r="59" ht="33.0" customHeight="1">
      <c r="A59" s="138">
        <v>58.0</v>
      </c>
      <c r="B59" s="138">
        <v>32444.0</v>
      </c>
      <c r="C59" s="138" t="s">
        <v>18</v>
      </c>
      <c r="D59" s="138" t="s">
        <v>636</v>
      </c>
      <c r="E59" s="138" t="s">
        <v>637</v>
      </c>
      <c r="F59" s="138" t="s">
        <v>638</v>
      </c>
      <c r="G59" s="140" t="s">
        <v>639</v>
      </c>
      <c r="H59" s="138" t="s">
        <v>131</v>
      </c>
      <c r="I59" s="138" t="s">
        <v>105</v>
      </c>
      <c r="J59" s="138">
        <v>37.0</v>
      </c>
      <c r="K59" s="138" t="s">
        <v>640</v>
      </c>
      <c r="L59" s="138" t="s">
        <v>133</v>
      </c>
      <c r="M59" s="138" t="s">
        <v>641</v>
      </c>
      <c r="N59" s="138">
        <v>9.98970139E9</v>
      </c>
      <c r="O59" s="138" t="s">
        <v>642</v>
      </c>
      <c r="P59" s="138" t="s">
        <v>643</v>
      </c>
      <c r="Q59" s="143"/>
      <c r="R59" s="141">
        <v>46023.0</v>
      </c>
      <c r="S59" s="141">
        <v>46387.0</v>
      </c>
      <c r="T59" s="138" t="s">
        <v>644</v>
      </c>
      <c r="U59" s="142" t="s">
        <v>140</v>
      </c>
      <c r="V59" s="138" t="s">
        <v>141</v>
      </c>
      <c r="W59" s="149"/>
      <c r="X59" s="149"/>
      <c r="Y59" s="144"/>
    </row>
    <row r="60" ht="33.0" customHeight="1">
      <c r="A60" s="138">
        <v>59.0</v>
      </c>
      <c r="B60" s="143"/>
      <c r="C60" s="138" t="s">
        <v>20</v>
      </c>
      <c r="D60" s="138" t="s">
        <v>645</v>
      </c>
      <c r="E60" s="138" t="s">
        <v>646</v>
      </c>
      <c r="F60" s="138" t="s">
        <v>647</v>
      </c>
      <c r="G60" s="140" t="s">
        <v>648</v>
      </c>
      <c r="H60" s="138" t="s">
        <v>131</v>
      </c>
      <c r="I60" s="138" t="s">
        <v>105</v>
      </c>
      <c r="J60" s="138">
        <v>25.0</v>
      </c>
      <c r="K60" s="138"/>
      <c r="L60" s="138" t="s">
        <v>141</v>
      </c>
      <c r="M60" s="138" t="s">
        <v>649</v>
      </c>
      <c r="N60" s="138">
        <v>9.175009553E9</v>
      </c>
      <c r="O60" s="138" t="s">
        <v>650</v>
      </c>
      <c r="P60" s="138"/>
      <c r="Q60" s="143"/>
      <c r="R60" s="141">
        <v>46023.0</v>
      </c>
      <c r="S60" s="141">
        <v>46387.0</v>
      </c>
      <c r="T60" s="138" t="s">
        <v>651</v>
      </c>
      <c r="U60" s="142" t="s">
        <v>140</v>
      </c>
      <c r="V60" s="138" t="s">
        <v>141</v>
      </c>
      <c r="W60" s="149"/>
      <c r="X60" s="149"/>
      <c r="Y60" s="148"/>
    </row>
    <row r="61" ht="33.0" customHeight="1">
      <c r="A61" s="138">
        <v>60.0</v>
      </c>
      <c r="B61" s="143"/>
      <c r="C61" s="138" t="s">
        <v>20</v>
      </c>
      <c r="D61" s="138" t="s">
        <v>645</v>
      </c>
      <c r="E61" s="138" t="s">
        <v>652</v>
      </c>
      <c r="F61" s="138" t="s">
        <v>653</v>
      </c>
      <c r="G61" s="140" t="s">
        <v>654</v>
      </c>
      <c r="H61" s="138" t="s">
        <v>131</v>
      </c>
      <c r="I61" s="138" t="s">
        <v>105</v>
      </c>
      <c r="J61" s="138">
        <v>50.0</v>
      </c>
      <c r="K61" s="138" t="s">
        <v>141</v>
      </c>
      <c r="L61" s="138" t="s">
        <v>158</v>
      </c>
      <c r="M61" s="138" t="s">
        <v>655</v>
      </c>
      <c r="N61" s="138" t="s">
        <v>656</v>
      </c>
      <c r="O61" s="138" t="s">
        <v>657</v>
      </c>
      <c r="P61" s="138" t="s">
        <v>141</v>
      </c>
      <c r="Q61" s="145"/>
      <c r="R61" s="141">
        <v>46023.0</v>
      </c>
      <c r="S61" s="141">
        <v>46387.0</v>
      </c>
      <c r="T61" s="138" t="s">
        <v>658</v>
      </c>
      <c r="U61" s="142" t="s">
        <v>140</v>
      </c>
      <c r="V61" s="138" t="s">
        <v>141</v>
      </c>
      <c r="W61" s="149"/>
      <c r="X61" s="149"/>
      <c r="Y61" s="148"/>
    </row>
    <row r="62" ht="33.0" customHeight="1">
      <c r="A62" s="138">
        <v>61.0</v>
      </c>
      <c r="B62" s="143"/>
      <c r="C62" s="138" t="s">
        <v>20</v>
      </c>
      <c r="D62" s="138" t="s">
        <v>659</v>
      </c>
      <c r="E62" s="138" t="s">
        <v>660</v>
      </c>
      <c r="F62" s="138" t="s">
        <v>661</v>
      </c>
      <c r="G62" s="140" t="s">
        <v>662</v>
      </c>
      <c r="H62" s="138" t="s">
        <v>131</v>
      </c>
      <c r="I62" s="138" t="s">
        <v>105</v>
      </c>
      <c r="J62" s="138">
        <v>17.0</v>
      </c>
      <c r="K62" s="138" t="s">
        <v>663</v>
      </c>
      <c r="L62" s="138" t="s">
        <v>158</v>
      </c>
      <c r="M62" s="138" t="s">
        <v>664</v>
      </c>
      <c r="N62" s="138" t="s">
        <v>665</v>
      </c>
      <c r="O62" s="138" t="s">
        <v>666</v>
      </c>
      <c r="P62" s="138" t="s">
        <v>667</v>
      </c>
      <c r="Q62" s="145"/>
      <c r="R62" s="141">
        <v>46023.0</v>
      </c>
      <c r="S62" s="141">
        <v>46387.0</v>
      </c>
      <c r="T62" s="138" t="s">
        <v>668</v>
      </c>
      <c r="U62" s="142" t="s">
        <v>140</v>
      </c>
      <c r="V62" s="138" t="s">
        <v>141</v>
      </c>
      <c r="W62" s="149"/>
      <c r="X62" s="149"/>
      <c r="Y62" s="148"/>
    </row>
    <row r="63" ht="33.0" customHeight="1">
      <c r="A63" s="138">
        <v>62.0</v>
      </c>
      <c r="B63" s="143"/>
      <c r="C63" s="138" t="s">
        <v>20</v>
      </c>
      <c r="D63" s="138" t="s">
        <v>659</v>
      </c>
      <c r="E63" s="138" t="s">
        <v>669</v>
      </c>
      <c r="F63" s="138" t="s">
        <v>670</v>
      </c>
      <c r="G63" s="140" t="s">
        <v>671</v>
      </c>
      <c r="H63" s="138" t="s">
        <v>131</v>
      </c>
      <c r="I63" s="138" t="s">
        <v>105</v>
      </c>
      <c r="J63" s="138">
        <v>10.0</v>
      </c>
      <c r="K63" s="138" t="s">
        <v>274</v>
      </c>
      <c r="L63" s="138" t="s">
        <v>158</v>
      </c>
      <c r="M63" s="138" t="s">
        <v>672</v>
      </c>
      <c r="N63" s="138" t="s">
        <v>673</v>
      </c>
      <c r="O63" s="138" t="s">
        <v>674</v>
      </c>
      <c r="P63" s="145"/>
      <c r="Q63" s="145"/>
      <c r="R63" s="141">
        <v>46023.0</v>
      </c>
      <c r="S63" s="141">
        <v>46387.0</v>
      </c>
      <c r="T63" s="138" t="s">
        <v>675</v>
      </c>
      <c r="U63" s="142" t="s">
        <v>140</v>
      </c>
      <c r="V63" s="138" t="s">
        <v>141</v>
      </c>
      <c r="W63" s="149"/>
      <c r="X63" s="149"/>
      <c r="Y63" s="148"/>
    </row>
    <row r="64" ht="33.0" customHeight="1">
      <c r="A64" s="138">
        <v>63.0</v>
      </c>
      <c r="B64" s="143"/>
      <c r="C64" s="138" t="s">
        <v>20</v>
      </c>
      <c r="D64" s="138" t="s">
        <v>659</v>
      </c>
      <c r="E64" s="138" t="s">
        <v>669</v>
      </c>
      <c r="F64" s="138" t="s">
        <v>676</v>
      </c>
      <c r="G64" s="140" t="s">
        <v>677</v>
      </c>
      <c r="H64" s="138" t="s">
        <v>131</v>
      </c>
      <c r="I64" s="138" t="s">
        <v>678</v>
      </c>
      <c r="J64" s="138">
        <v>10.0</v>
      </c>
      <c r="K64" s="138" t="s">
        <v>274</v>
      </c>
      <c r="L64" s="138" t="s">
        <v>141</v>
      </c>
      <c r="M64" s="138" t="s">
        <v>679</v>
      </c>
      <c r="N64" s="138">
        <v>9.166380746E9</v>
      </c>
      <c r="O64" s="138" t="s">
        <v>680</v>
      </c>
      <c r="P64" s="138" t="s">
        <v>681</v>
      </c>
      <c r="Q64" s="138" t="s">
        <v>682</v>
      </c>
      <c r="R64" s="141">
        <v>46023.0</v>
      </c>
      <c r="S64" s="141">
        <v>46387.0</v>
      </c>
      <c r="T64" s="138" t="s">
        <v>683</v>
      </c>
      <c r="U64" s="142" t="s">
        <v>140</v>
      </c>
      <c r="V64" s="138" t="s">
        <v>141</v>
      </c>
      <c r="W64" s="149"/>
      <c r="X64" s="149"/>
      <c r="Y64" s="148"/>
    </row>
    <row r="65" ht="33.0" customHeight="1">
      <c r="A65" s="138">
        <v>64.0</v>
      </c>
      <c r="B65" s="143"/>
      <c r="C65" s="138" t="s">
        <v>20</v>
      </c>
      <c r="D65" s="138" t="s">
        <v>659</v>
      </c>
      <c r="E65" s="138" t="s">
        <v>684</v>
      </c>
      <c r="F65" s="138" t="s">
        <v>685</v>
      </c>
      <c r="G65" s="140" t="s">
        <v>686</v>
      </c>
      <c r="H65" s="138" t="s">
        <v>131</v>
      </c>
      <c r="I65" s="138" t="s">
        <v>105</v>
      </c>
      <c r="J65" s="138">
        <v>19.0</v>
      </c>
      <c r="K65" s="138" t="s">
        <v>274</v>
      </c>
      <c r="L65" s="138" t="s">
        <v>158</v>
      </c>
      <c r="M65" s="138" t="s">
        <v>687</v>
      </c>
      <c r="N65" s="138" t="s">
        <v>688</v>
      </c>
      <c r="O65" s="138" t="s">
        <v>689</v>
      </c>
      <c r="P65" s="138" t="s">
        <v>690</v>
      </c>
      <c r="Q65" s="145"/>
      <c r="R65" s="141">
        <v>46023.0</v>
      </c>
      <c r="S65" s="141">
        <v>46387.0</v>
      </c>
      <c r="T65" s="138" t="s">
        <v>691</v>
      </c>
      <c r="U65" s="142" t="s">
        <v>140</v>
      </c>
      <c r="V65" s="138" t="s">
        <v>141</v>
      </c>
      <c r="W65" s="149"/>
      <c r="X65" s="149"/>
      <c r="Y65" s="148"/>
    </row>
    <row r="66" ht="33.0" customHeight="1">
      <c r="A66" s="138">
        <v>65.0</v>
      </c>
      <c r="B66" s="143"/>
      <c r="C66" s="138" t="s">
        <v>20</v>
      </c>
      <c r="D66" s="138" t="s">
        <v>659</v>
      </c>
      <c r="E66" s="138" t="s">
        <v>692</v>
      </c>
      <c r="F66" s="138" t="s">
        <v>693</v>
      </c>
      <c r="G66" s="140" t="s">
        <v>694</v>
      </c>
      <c r="H66" s="138" t="s">
        <v>131</v>
      </c>
      <c r="I66" s="138" t="s">
        <v>105</v>
      </c>
      <c r="J66" s="138">
        <v>10.0</v>
      </c>
      <c r="K66" s="142" t="s">
        <v>695</v>
      </c>
      <c r="L66" s="142" t="s">
        <v>158</v>
      </c>
      <c r="M66" s="138" t="s">
        <v>696</v>
      </c>
      <c r="N66" s="138">
        <v>4.65090064E8</v>
      </c>
      <c r="O66" s="138" t="s">
        <v>697</v>
      </c>
      <c r="P66" s="145"/>
      <c r="Q66" s="145"/>
      <c r="R66" s="141">
        <v>46023.0</v>
      </c>
      <c r="S66" s="141">
        <v>46387.0</v>
      </c>
      <c r="T66" s="138" t="s">
        <v>698</v>
      </c>
      <c r="U66" s="142" t="s">
        <v>140</v>
      </c>
      <c r="V66" s="138" t="s">
        <v>141</v>
      </c>
      <c r="W66" s="149"/>
      <c r="X66" s="149"/>
      <c r="Y66" s="148"/>
    </row>
    <row r="67" ht="33.0" customHeight="1">
      <c r="A67" s="138">
        <v>66.0</v>
      </c>
      <c r="B67" s="143"/>
      <c r="C67" s="138" t="s">
        <v>20</v>
      </c>
      <c r="D67" s="138" t="s">
        <v>659</v>
      </c>
      <c r="E67" s="138" t="s">
        <v>699</v>
      </c>
      <c r="F67" s="138" t="s">
        <v>700</v>
      </c>
      <c r="G67" s="140" t="s">
        <v>701</v>
      </c>
      <c r="H67" s="138" t="s">
        <v>131</v>
      </c>
      <c r="I67" s="138" t="s">
        <v>105</v>
      </c>
      <c r="J67" s="138">
        <v>10.0</v>
      </c>
      <c r="K67" s="138" t="s">
        <v>274</v>
      </c>
      <c r="L67" s="138" t="s">
        <v>133</v>
      </c>
      <c r="M67" s="138" t="s">
        <v>702</v>
      </c>
      <c r="N67" s="138" t="s">
        <v>703</v>
      </c>
      <c r="O67" s="138" t="s">
        <v>704</v>
      </c>
      <c r="P67" s="145"/>
      <c r="Q67" s="145"/>
      <c r="R67" s="141">
        <v>46023.0</v>
      </c>
      <c r="S67" s="141">
        <v>46387.0</v>
      </c>
      <c r="T67" s="138" t="s">
        <v>705</v>
      </c>
      <c r="U67" s="142" t="s">
        <v>140</v>
      </c>
      <c r="V67" s="138" t="s">
        <v>141</v>
      </c>
      <c r="W67" s="149"/>
      <c r="X67" s="149"/>
      <c r="Y67" s="148"/>
    </row>
    <row r="68" ht="33.0" customHeight="1">
      <c r="A68" s="138">
        <v>67.0</v>
      </c>
      <c r="B68" s="143"/>
      <c r="C68" s="138" t="s">
        <v>20</v>
      </c>
      <c r="D68" s="138" t="s">
        <v>659</v>
      </c>
      <c r="E68" s="138" t="s">
        <v>706</v>
      </c>
      <c r="F68" s="138" t="s">
        <v>707</v>
      </c>
      <c r="G68" s="140" t="s">
        <v>708</v>
      </c>
      <c r="H68" s="138" t="s">
        <v>131</v>
      </c>
      <c r="I68" s="138" t="s">
        <v>105</v>
      </c>
      <c r="J68" s="138">
        <v>10.0</v>
      </c>
      <c r="K68" s="138" t="s">
        <v>274</v>
      </c>
      <c r="L68" s="138" t="s">
        <v>158</v>
      </c>
      <c r="M68" s="138" t="s">
        <v>709</v>
      </c>
      <c r="N68" s="138" t="s">
        <v>710</v>
      </c>
      <c r="O68" s="138" t="s">
        <v>711</v>
      </c>
      <c r="P68" s="145"/>
      <c r="Q68" s="145"/>
      <c r="R68" s="141">
        <v>46023.0</v>
      </c>
      <c r="S68" s="141">
        <v>46387.0</v>
      </c>
      <c r="T68" s="138" t="s">
        <v>712</v>
      </c>
      <c r="U68" s="142" t="s">
        <v>713</v>
      </c>
      <c r="V68" s="138"/>
      <c r="W68" s="142" t="s">
        <v>714</v>
      </c>
      <c r="X68" s="149"/>
      <c r="Y68" s="148"/>
    </row>
    <row r="69" ht="33.0" customHeight="1">
      <c r="A69" s="138">
        <v>68.0</v>
      </c>
      <c r="B69" s="143"/>
      <c r="C69" s="138" t="s">
        <v>20</v>
      </c>
      <c r="D69" s="138" t="s">
        <v>659</v>
      </c>
      <c r="E69" s="138" t="s">
        <v>715</v>
      </c>
      <c r="F69" s="138" t="s">
        <v>716</v>
      </c>
      <c r="G69" s="140" t="s">
        <v>717</v>
      </c>
      <c r="H69" s="138" t="s">
        <v>131</v>
      </c>
      <c r="I69" s="138" t="s">
        <v>105</v>
      </c>
      <c r="J69" s="138">
        <v>10.0</v>
      </c>
      <c r="K69" s="138" t="s">
        <v>274</v>
      </c>
      <c r="L69" s="138" t="s">
        <v>158</v>
      </c>
      <c r="M69" s="138" t="s">
        <v>718</v>
      </c>
      <c r="N69" s="138" t="s">
        <v>719</v>
      </c>
      <c r="O69" s="138" t="s">
        <v>720</v>
      </c>
      <c r="P69" s="145"/>
      <c r="Q69" s="145"/>
      <c r="R69" s="141">
        <v>46023.0</v>
      </c>
      <c r="S69" s="141">
        <v>46387.0</v>
      </c>
      <c r="T69" s="138" t="s">
        <v>721</v>
      </c>
      <c r="U69" s="142" t="s">
        <v>140</v>
      </c>
      <c r="V69" s="138" t="s">
        <v>141</v>
      </c>
      <c r="W69" s="149"/>
      <c r="X69" s="149"/>
      <c r="Y69" s="148"/>
    </row>
    <row r="70" ht="33.0" customHeight="1">
      <c r="A70" s="138">
        <v>69.0</v>
      </c>
      <c r="B70" s="143"/>
      <c r="C70" s="138" t="s">
        <v>20</v>
      </c>
      <c r="D70" s="138" t="s">
        <v>659</v>
      </c>
      <c r="E70" s="138" t="s">
        <v>722</v>
      </c>
      <c r="F70" s="138" t="s">
        <v>723</v>
      </c>
      <c r="G70" s="140" t="s">
        <v>724</v>
      </c>
      <c r="H70" s="138" t="s">
        <v>131</v>
      </c>
      <c r="I70" s="138" t="s">
        <v>105</v>
      </c>
      <c r="J70" s="138">
        <v>49.0</v>
      </c>
      <c r="K70" s="138" t="s">
        <v>274</v>
      </c>
      <c r="L70" s="138" t="s">
        <v>158</v>
      </c>
      <c r="M70" s="138" t="s">
        <v>725</v>
      </c>
      <c r="N70" s="138" t="s">
        <v>726</v>
      </c>
      <c r="O70" s="138" t="s">
        <v>727</v>
      </c>
      <c r="P70" s="142" t="s">
        <v>728</v>
      </c>
      <c r="Q70" s="158"/>
      <c r="R70" s="141">
        <v>46023.0</v>
      </c>
      <c r="S70" s="141">
        <v>46387.0</v>
      </c>
      <c r="T70" s="138" t="s">
        <v>729</v>
      </c>
      <c r="U70" s="142" t="s">
        <v>140</v>
      </c>
      <c r="V70" s="138" t="s">
        <v>141</v>
      </c>
      <c r="W70" s="149"/>
      <c r="X70" s="149"/>
      <c r="Y70" s="148"/>
    </row>
    <row r="71" ht="33.0" customHeight="1">
      <c r="A71" s="138">
        <v>70.0</v>
      </c>
      <c r="B71" s="143"/>
      <c r="C71" s="138" t="s">
        <v>20</v>
      </c>
      <c r="D71" s="138" t="s">
        <v>659</v>
      </c>
      <c r="E71" s="138" t="s">
        <v>730</v>
      </c>
      <c r="F71" s="138" t="s">
        <v>731</v>
      </c>
      <c r="G71" s="140" t="s">
        <v>732</v>
      </c>
      <c r="H71" s="138" t="s">
        <v>131</v>
      </c>
      <c r="I71" s="138" t="s">
        <v>587</v>
      </c>
      <c r="J71" s="138">
        <v>14.0</v>
      </c>
      <c r="K71" s="143"/>
      <c r="L71" s="138" t="s">
        <v>141</v>
      </c>
      <c r="M71" s="138" t="s">
        <v>733</v>
      </c>
      <c r="N71" s="138">
        <v>9.163206024E9</v>
      </c>
      <c r="O71" s="138" t="s">
        <v>734</v>
      </c>
      <c r="P71" s="145"/>
      <c r="Q71" s="145"/>
      <c r="R71" s="141">
        <v>46023.0</v>
      </c>
      <c r="S71" s="141">
        <v>46387.0</v>
      </c>
      <c r="T71" s="138" t="s">
        <v>735</v>
      </c>
      <c r="U71" s="142" t="s">
        <v>140</v>
      </c>
      <c r="V71" s="138" t="s">
        <v>141</v>
      </c>
      <c r="W71" s="149"/>
      <c r="X71" s="149"/>
      <c r="Y71" s="148"/>
    </row>
    <row r="72" ht="33.0" customHeight="1">
      <c r="A72" s="138">
        <v>71.0</v>
      </c>
      <c r="B72" s="143"/>
      <c r="C72" s="138" t="s">
        <v>20</v>
      </c>
      <c r="D72" s="138" t="s">
        <v>736</v>
      </c>
      <c r="E72" s="138" t="s">
        <v>737</v>
      </c>
      <c r="F72" s="138" t="s">
        <v>738</v>
      </c>
      <c r="G72" s="140" t="s">
        <v>739</v>
      </c>
      <c r="H72" s="138" t="s">
        <v>131</v>
      </c>
      <c r="I72" s="138" t="s">
        <v>76</v>
      </c>
      <c r="J72" s="138">
        <v>10.0</v>
      </c>
      <c r="K72" s="146"/>
      <c r="L72" s="138" t="s">
        <v>158</v>
      </c>
      <c r="M72" s="138" t="s">
        <v>740</v>
      </c>
      <c r="N72" s="138">
        <v>9.566433173E9</v>
      </c>
      <c r="O72" s="138" t="s">
        <v>741</v>
      </c>
      <c r="P72" s="145"/>
      <c r="Q72" s="145"/>
      <c r="R72" s="141">
        <v>46023.0</v>
      </c>
      <c r="S72" s="141">
        <v>46387.0</v>
      </c>
      <c r="T72" s="138" t="s">
        <v>742</v>
      </c>
      <c r="U72" s="142" t="s">
        <v>140</v>
      </c>
      <c r="V72" s="138" t="s">
        <v>141</v>
      </c>
      <c r="W72" s="149"/>
      <c r="X72" s="149"/>
      <c r="Y72" s="148"/>
    </row>
    <row r="73" ht="33.0" customHeight="1">
      <c r="A73" s="138">
        <v>72.0</v>
      </c>
      <c r="B73" s="143"/>
      <c r="C73" s="138" t="s">
        <v>20</v>
      </c>
      <c r="D73" s="138" t="s">
        <v>736</v>
      </c>
      <c r="E73" s="138" t="s">
        <v>743</v>
      </c>
      <c r="F73" s="138" t="s">
        <v>744</v>
      </c>
      <c r="G73" s="140" t="s">
        <v>745</v>
      </c>
      <c r="H73" s="138" t="s">
        <v>131</v>
      </c>
      <c r="I73" s="138" t="s">
        <v>105</v>
      </c>
      <c r="J73" s="138">
        <v>7.0</v>
      </c>
      <c r="K73" s="138" t="s">
        <v>274</v>
      </c>
      <c r="L73" s="138" t="s">
        <v>158</v>
      </c>
      <c r="M73" s="138" t="s">
        <v>746</v>
      </c>
      <c r="N73" s="138" t="s">
        <v>747</v>
      </c>
      <c r="O73" s="138" t="s">
        <v>748</v>
      </c>
      <c r="P73" s="138" t="s">
        <v>749</v>
      </c>
      <c r="Q73" s="145"/>
      <c r="R73" s="141">
        <v>46023.0</v>
      </c>
      <c r="S73" s="141">
        <v>46387.0</v>
      </c>
      <c r="T73" s="138" t="s">
        <v>750</v>
      </c>
      <c r="U73" s="142" t="s">
        <v>140</v>
      </c>
      <c r="V73" s="138" t="s">
        <v>141</v>
      </c>
      <c r="W73" s="149"/>
      <c r="X73" s="149"/>
      <c r="Y73" s="148"/>
    </row>
    <row r="74" ht="33.0" customHeight="1">
      <c r="A74" s="138">
        <v>73.0</v>
      </c>
      <c r="B74" s="143"/>
      <c r="C74" s="138" t="s">
        <v>20</v>
      </c>
      <c r="D74" s="138" t="s">
        <v>384</v>
      </c>
      <c r="E74" s="138" t="s">
        <v>751</v>
      </c>
      <c r="F74" s="138" t="s">
        <v>752</v>
      </c>
      <c r="G74" s="140" t="s">
        <v>753</v>
      </c>
      <c r="H74" s="138" t="s">
        <v>131</v>
      </c>
      <c r="I74" s="138" t="s">
        <v>105</v>
      </c>
      <c r="J74" s="138">
        <v>12.0</v>
      </c>
      <c r="K74" s="143"/>
      <c r="L74" s="138" t="s">
        <v>133</v>
      </c>
      <c r="M74" s="138" t="s">
        <v>754</v>
      </c>
      <c r="N74" s="138">
        <v>9.127440648E9</v>
      </c>
      <c r="O74" s="138" t="s">
        <v>755</v>
      </c>
      <c r="P74" s="145"/>
      <c r="Q74" s="145"/>
      <c r="R74" s="141">
        <v>46076.0</v>
      </c>
      <c r="S74" s="141">
        <v>46387.0</v>
      </c>
      <c r="T74" s="138" t="s">
        <v>756</v>
      </c>
      <c r="U74" s="142" t="s">
        <v>140</v>
      </c>
      <c r="V74" s="138" t="s">
        <v>141</v>
      </c>
      <c r="W74" s="149"/>
      <c r="X74" s="149"/>
      <c r="Y74" s="148"/>
    </row>
    <row r="75" ht="33.0" customHeight="1">
      <c r="A75" s="138">
        <v>74.0</v>
      </c>
      <c r="B75" s="143"/>
      <c r="C75" s="138" t="s">
        <v>20</v>
      </c>
      <c r="D75" s="138" t="s">
        <v>384</v>
      </c>
      <c r="E75" s="138" t="s">
        <v>757</v>
      </c>
      <c r="F75" s="138" t="s">
        <v>758</v>
      </c>
      <c r="G75" s="140" t="s">
        <v>759</v>
      </c>
      <c r="H75" s="138" t="s">
        <v>131</v>
      </c>
      <c r="I75" s="138" t="s">
        <v>587</v>
      </c>
      <c r="J75" s="138">
        <v>25.0</v>
      </c>
      <c r="K75" s="142" t="s">
        <v>274</v>
      </c>
      <c r="L75" s="138" t="s">
        <v>158</v>
      </c>
      <c r="M75" s="138" t="s">
        <v>760</v>
      </c>
      <c r="N75" s="138" t="s">
        <v>761</v>
      </c>
      <c r="O75" s="138" t="s">
        <v>762</v>
      </c>
      <c r="P75" s="138" t="s">
        <v>763</v>
      </c>
      <c r="Q75" s="145"/>
      <c r="R75" s="141">
        <v>46023.0</v>
      </c>
      <c r="S75" s="141">
        <v>46387.0</v>
      </c>
      <c r="T75" s="138" t="s">
        <v>764</v>
      </c>
      <c r="U75" s="142" t="s">
        <v>140</v>
      </c>
      <c r="V75" s="138" t="s">
        <v>141</v>
      </c>
      <c r="W75" s="149"/>
      <c r="X75" s="149"/>
      <c r="Y75" s="148"/>
    </row>
    <row r="76" ht="33.0" customHeight="1">
      <c r="A76" s="138">
        <v>75.0</v>
      </c>
      <c r="B76" s="143"/>
      <c r="C76" s="138" t="s">
        <v>20</v>
      </c>
      <c r="D76" s="138" t="s">
        <v>384</v>
      </c>
      <c r="E76" s="138" t="s">
        <v>765</v>
      </c>
      <c r="F76" s="138" t="s">
        <v>766</v>
      </c>
      <c r="G76" s="140" t="s">
        <v>767</v>
      </c>
      <c r="H76" s="138" t="s">
        <v>131</v>
      </c>
      <c r="I76" s="138" t="s">
        <v>105</v>
      </c>
      <c r="J76" s="138">
        <v>10.0</v>
      </c>
      <c r="K76" s="142" t="s">
        <v>274</v>
      </c>
      <c r="L76" s="142" t="s">
        <v>133</v>
      </c>
      <c r="M76" s="138" t="s">
        <v>768</v>
      </c>
      <c r="N76" s="138">
        <v>9.638479319E9</v>
      </c>
      <c r="O76" s="138" t="s">
        <v>769</v>
      </c>
      <c r="P76" s="158"/>
      <c r="Q76" s="145"/>
      <c r="R76" s="141">
        <v>46023.0</v>
      </c>
      <c r="S76" s="141">
        <v>46387.0</v>
      </c>
      <c r="T76" s="138" t="s">
        <v>770</v>
      </c>
      <c r="U76" s="142" t="s">
        <v>140</v>
      </c>
      <c r="V76" s="138" t="s">
        <v>141</v>
      </c>
      <c r="W76" s="149"/>
      <c r="X76" s="149"/>
      <c r="Y76" s="148"/>
    </row>
    <row r="77" ht="33.0" customHeight="1">
      <c r="A77" s="138">
        <v>76.0</v>
      </c>
      <c r="B77" s="143"/>
      <c r="C77" s="138" t="s">
        <v>20</v>
      </c>
      <c r="D77" s="138" t="s">
        <v>384</v>
      </c>
      <c r="E77" s="138" t="s">
        <v>771</v>
      </c>
      <c r="F77" s="138" t="s">
        <v>772</v>
      </c>
      <c r="G77" s="140" t="s">
        <v>773</v>
      </c>
      <c r="H77" s="138" t="s">
        <v>131</v>
      </c>
      <c r="I77" s="138" t="s">
        <v>105</v>
      </c>
      <c r="J77" s="138">
        <v>10.0</v>
      </c>
      <c r="K77" s="142" t="s">
        <v>274</v>
      </c>
      <c r="L77" s="138" t="s">
        <v>133</v>
      </c>
      <c r="M77" s="138" t="s">
        <v>774</v>
      </c>
      <c r="N77" s="138">
        <v>4.27941176E8</v>
      </c>
      <c r="O77" s="138" t="s">
        <v>775</v>
      </c>
      <c r="P77" s="145"/>
      <c r="Q77" s="145"/>
      <c r="R77" s="141">
        <v>46023.0</v>
      </c>
      <c r="S77" s="141">
        <v>46387.0</v>
      </c>
      <c r="T77" s="138" t="s">
        <v>776</v>
      </c>
      <c r="U77" s="142" t="s">
        <v>140</v>
      </c>
      <c r="V77" s="138" t="s">
        <v>141</v>
      </c>
      <c r="W77" s="149"/>
      <c r="X77" s="149"/>
      <c r="Y77" s="148"/>
    </row>
    <row r="78" ht="33.0" customHeight="1">
      <c r="A78" s="138">
        <v>77.0</v>
      </c>
      <c r="B78" s="143"/>
      <c r="C78" s="138" t="s">
        <v>20</v>
      </c>
      <c r="D78" s="138" t="s">
        <v>384</v>
      </c>
      <c r="E78" s="138" t="s">
        <v>777</v>
      </c>
      <c r="F78" s="138" t="s">
        <v>778</v>
      </c>
      <c r="G78" s="140" t="s">
        <v>779</v>
      </c>
      <c r="H78" s="138" t="s">
        <v>131</v>
      </c>
      <c r="I78" s="138" t="s">
        <v>105</v>
      </c>
      <c r="J78" s="138">
        <v>10.0</v>
      </c>
      <c r="K78" s="138" t="s">
        <v>695</v>
      </c>
      <c r="L78" s="138" t="s">
        <v>158</v>
      </c>
      <c r="M78" s="138" t="s">
        <v>780</v>
      </c>
      <c r="N78" s="138">
        <v>9.959224273E9</v>
      </c>
      <c r="O78" s="138" t="s">
        <v>781</v>
      </c>
      <c r="P78" s="138" t="s">
        <v>782</v>
      </c>
      <c r="Q78" s="145"/>
      <c r="R78" s="141">
        <v>46027.0</v>
      </c>
      <c r="S78" s="141">
        <v>46387.0</v>
      </c>
      <c r="T78" s="138" t="s">
        <v>783</v>
      </c>
      <c r="U78" s="142" t="s">
        <v>140</v>
      </c>
      <c r="V78" s="138" t="s">
        <v>141</v>
      </c>
      <c r="W78" s="149"/>
      <c r="X78" s="149"/>
      <c r="Y78" s="148"/>
    </row>
    <row r="79" ht="33.0" customHeight="1">
      <c r="A79" s="138">
        <v>78.0</v>
      </c>
      <c r="B79" s="143"/>
      <c r="C79" s="138" t="s">
        <v>20</v>
      </c>
      <c r="D79" s="142" t="s">
        <v>784</v>
      </c>
      <c r="E79" s="142" t="s">
        <v>785</v>
      </c>
      <c r="F79" s="138" t="s">
        <v>786</v>
      </c>
      <c r="G79" s="140" t="s">
        <v>787</v>
      </c>
      <c r="H79" s="138" t="s">
        <v>131</v>
      </c>
      <c r="I79" s="138" t="s">
        <v>105</v>
      </c>
      <c r="J79" s="138">
        <v>10.0</v>
      </c>
      <c r="K79" s="142" t="s">
        <v>695</v>
      </c>
      <c r="L79" s="142" t="s">
        <v>158</v>
      </c>
      <c r="M79" s="138" t="s">
        <v>788</v>
      </c>
      <c r="N79" s="138">
        <v>4256210.0</v>
      </c>
      <c r="O79" s="138" t="s">
        <v>789</v>
      </c>
      <c r="P79" s="138" t="s">
        <v>790</v>
      </c>
      <c r="Q79" s="145"/>
      <c r="R79" s="141">
        <v>46028.0</v>
      </c>
      <c r="S79" s="141">
        <v>46387.0</v>
      </c>
      <c r="T79" s="138" t="s">
        <v>791</v>
      </c>
      <c r="U79" s="138" t="s">
        <v>140</v>
      </c>
      <c r="V79" s="138" t="s">
        <v>141</v>
      </c>
      <c r="W79" s="149"/>
      <c r="X79" s="149"/>
      <c r="Y79" s="148"/>
    </row>
    <row r="80" ht="33.0" customHeight="1">
      <c r="A80" s="138">
        <v>79.0</v>
      </c>
      <c r="B80" s="143"/>
      <c r="C80" s="138" t="s">
        <v>20</v>
      </c>
      <c r="D80" s="138" t="s">
        <v>784</v>
      </c>
      <c r="E80" s="138" t="s">
        <v>792</v>
      </c>
      <c r="F80" s="138" t="s">
        <v>793</v>
      </c>
      <c r="G80" s="140" t="s">
        <v>794</v>
      </c>
      <c r="H80" s="138" t="s">
        <v>131</v>
      </c>
      <c r="I80" s="138" t="s">
        <v>587</v>
      </c>
      <c r="J80" s="138">
        <v>30.0</v>
      </c>
      <c r="K80" s="138" t="s">
        <v>795</v>
      </c>
      <c r="L80" s="138" t="s">
        <v>158</v>
      </c>
      <c r="M80" s="138" t="s">
        <v>796</v>
      </c>
      <c r="N80" s="138">
        <v>9.105575764E9</v>
      </c>
      <c r="O80" s="138" t="s">
        <v>797</v>
      </c>
      <c r="P80" s="138" t="s">
        <v>798</v>
      </c>
      <c r="Q80" s="145"/>
      <c r="R80" s="141">
        <v>46023.0</v>
      </c>
      <c r="S80" s="141">
        <v>46387.0</v>
      </c>
      <c r="T80" s="138" t="s">
        <v>799</v>
      </c>
      <c r="U80" s="142" t="s">
        <v>140</v>
      </c>
      <c r="V80" s="138" t="s">
        <v>141</v>
      </c>
      <c r="W80" s="149"/>
      <c r="X80" s="149"/>
      <c r="Y80" s="148"/>
    </row>
    <row r="81" ht="33.0" customHeight="1">
      <c r="A81" s="138">
        <v>80.0</v>
      </c>
      <c r="B81" s="143"/>
      <c r="C81" s="138" t="s">
        <v>22</v>
      </c>
      <c r="D81" s="138" t="s">
        <v>800</v>
      </c>
      <c r="E81" s="138" t="s">
        <v>801</v>
      </c>
      <c r="F81" s="138" t="s">
        <v>802</v>
      </c>
      <c r="G81" s="140" t="s">
        <v>803</v>
      </c>
      <c r="H81" s="138" t="s">
        <v>131</v>
      </c>
      <c r="I81" s="138" t="s">
        <v>105</v>
      </c>
      <c r="J81" s="138">
        <v>17.0</v>
      </c>
      <c r="K81" s="138" t="s">
        <v>804</v>
      </c>
      <c r="L81" s="138" t="s">
        <v>133</v>
      </c>
      <c r="M81" s="138" t="s">
        <v>805</v>
      </c>
      <c r="N81" s="159"/>
      <c r="O81" s="138" t="s">
        <v>806</v>
      </c>
      <c r="P81" s="138" t="s">
        <v>807</v>
      </c>
      <c r="Q81" s="138" t="s">
        <v>141</v>
      </c>
      <c r="R81" s="141">
        <v>46023.0</v>
      </c>
      <c r="S81" s="141">
        <v>46387.0</v>
      </c>
      <c r="T81" s="142" t="s">
        <v>808</v>
      </c>
      <c r="U81" s="142" t="s">
        <v>140</v>
      </c>
      <c r="V81" s="143"/>
      <c r="W81" s="143"/>
      <c r="X81" s="143"/>
      <c r="Y81" s="148"/>
    </row>
    <row r="82" ht="33.0" customHeight="1">
      <c r="A82" s="138">
        <v>81.0</v>
      </c>
      <c r="B82" s="143"/>
      <c r="C82" s="138" t="s">
        <v>22</v>
      </c>
      <c r="D82" s="138" t="s">
        <v>800</v>
      </c>
      <c r="E82" s="138" t="s">
        <v>809</v>
      </c>
      <c r="F82" s="138" t="s">
        <v>810</v>
      </c>
      <c r="G82" s="140" t="s">
        <v>811</v>
      </c>
      <c r="H82" s="138" t="s">
        <v>131</v>
      </c>
      <c r="I82" s="138" t="s">
        <v>105</v>
      </c>
      <c r="J82" s="138">
        <v>10.0</v>
      </c>
      <c r="K82" s="138" t="s">
        <v>812</v>
      </c>
      <c r="L82" s="138" t="s">
        <v>133</v>
      </c>
      <c r="M82" s="138" t="s">
        <v>813</v>
      </c>
      <c r="N82" s="138" t="s">
        <v>814</v>
      </c>
      <c r="O82" s="138" t="s">
        <v>815</v>
      </c>
      <c r="P82" s="138" t="s">
        <v>816</v>
      </c>
      <c r="Q82" s="145"/>
      <c r="R82" s="141">
        <v>46023.0</v>
      </c>
      <c r="S82" s="141">
        <v>46387.0</v>
      </c>
      <c r="T82" s="142" t="s">
        <v>817</v>
      </c>
      <c r="U82" s="142" t="s">
        <v>140</v>
      </c>
      <c r="V82" s="143"/>
      <c r="W82" s="143"/>
      <c r="X82" s="143"/>
      <c r="Y82" s="148"/>
    </row>
    <row r="83" ht="33.0" customHeight="1">
      <c r="A83" s="138">
        <v>82.0</v>
      </c>
      <c r="B83" s="143"/>
      <c r="C83" s="138" t="s">
        <v>22</v>
      </c>
      <c r="D83" s="138" t="s">
        <v>818</v>
      </c>
      <c r="E83" s="138" t="s">
        <v>819</v>
      </c>
      <c r="F83" s="138" t="s">
        <v>820</v>
      </c>
      <c r="G83" s="140" t="s">
        <v>821</v>
      </c>
      <c r="H83" s="138" t="s">
        <v>131</v>
      </c>
      <c r="I83" s="138" t="s">
        <v>105</v>
      </c>
      <c r="J83" s="138">
        <v>10.0</v>
      </c>
      <c r="K83" s="142" t="s">
        <v>822</v>
      </c>
      <c r="L83" s="138" t="s">
        <v>158</v>
      </c>
      <c r="M83" s="138" t="s">
        <v>823</v>
      </c>
      <c r="N83" s="145"/>
      <c r="O83" s="138" t="s">
        <v>824</v>
      </c>
      <c r="P83" s="142" t="s">
        <v>825</v>
      </c>
      <c r="Q83" s="142" t="s">
        <v>141</v>
      </c>
      <c r="R83" s="141">
        <v>46023.0</v>
      </c>
      <c r="S83" s="141">
        <v>46387.0</v>
      </c>
      <c r="T83" s="138" t="s">
        <v>826</v>
      </c>
      <c r="U83" s="142" t="s">
        <v>140</v>
      </c>
      <c r="V83" s="143"/>
      <c r="W83" s="149"/>
      <c r="X83" s="149"/>
      <c r="Y83" s="148"/>
    </row>
    <row r="84" ht="33.0" customHeight="1">
      <c r="A84" s="138">
        <v>83.0</v>
      </c>
      <c r="B84" s="143"/>
      <c r="C84" s="138" t="s">
        <v>22</v>
      </c>
      <c r="D84" s="138" t="s">
        <v>818</v>
      </c>
      <c r="E84" s="138" t="s">
        <v>827</v>
      </c>
      <c r="F84" s="138" t="s">
        <v>828</v>
      </c>
      <c r="G84" s="140" t="s">
        <v>829</v>
      </c>
      <c r="H84" s="138" t="s">
        <v>131</v>
      </c>
      <c r="I84" s="138" t="s">
        <v>105</v>
      </c>
      <c r="J84" s="138">
        <v>18.0</v>
      </c>
      <c r="K84" s="138" t="s">
        <v>830</v>
      </c>
      <c r="L84" s="138" t="s">
        <v>133</v>
      </c>
      <c r="M84" s="138" t="s">
        <v>831</v>
      </c>
      <c r="N84" s="145"/>
      <c r="O84" s="138" t="s">
        <v>832</v>
      </c>
      <c r="P84" s="138" t="s">
        <v>833</v>
      </c>
      <c r="Q84" s="138" t="s">
        <v>141</v>
      </c>
      <c r="R84" s="141">
        <v>46023.0</v>
      </c>
      <c r="S84" s="141">
        <v>46387.0</v>
      </c>
      <c r="T84" s="142" t="s">
        <v>834</v>
      </c>
      <c r="U84" s="142" t="s">
        <v>140</v>
      </c>
      <c r="V84" s="145"/>
      <c r="W84" s="145"/>
      <c r="X84" s="145"/>
      <c r="Y84" s="148"/>
    </row>
    <row r="85" ht="33.0" customHeight="1">
      <c r="A85" s="138">
        <v>84.0</v>
      </c>
      <c r="B85" s="143"/>
      <c r="C85" s="138" t="s">
        <v>22</v>
      </c>
      <c r="D85" s="138" t="s">
        <v>818</v>
      </c>
      <c r="E85" s="138" t="s">
        <v>835</v>
      </c>
      <c r="F85" s="138" t="s">
        <v>836</v>
      </c>
      <c r="G85" s="140" t="s">
        <v>837</v>
      </c>
      <c r="H85" s="138" t="s">
        <v>131</v>
      </c>
      <c r="I85" s="138" t="s">
        <v>105</v>
      </c>
      <c r="J85" s="138">
        <v>10.0</v>
      </c>
      <c r="K85" s="146"/>
      <c r="L85" s="138" t="s">
        <v>158</v>
      </c>
      <c r="M85" s="138" t="s">
        <v>838</v>
      </c>
      <c r="N85" s="145"/>
      <c r="O85" s="138" t="s">
        <v>839</v>
      </c>
      <c r="P85" s="138" t="s">
        <v>141</v>
      </c>
      <c r="Q85" s="138" t="s">
        <v>840</v>
      </c>
      <c r="R85" s="141">
        <v>46023.0</v>
      </c>
      <c r="S85" s="141">
        <v>46387.0</v>
      </c>
      <c r="T85" s="142" t="s">
        <v>841</v>
      </c>
      <c r="U85" s="142" t="s">
        <v>140</v>
      </c>
      <c r="V85" s="145"/>
      <c r="W85" s="145"/>
      <c r="X85" s="145"/>
      <c r="Y85" s="148"/>
    </row>
    <row r="86" ht="33.0" customHeight="1">
      <c r="A86" s="138">
        <v>85.0</v>
      </c>
      <c r="B86" s="143"/>
      <c r="C86" s="138" t="s">
        <v>22</v>
      </c>
      <c r="D86" s="138" t="s">
        <v>818</v>
      </c>
      <c r="E86" s="138" t="s">
        <v>801</v>
      </c>
      <c r="F86" s="138" t="s">
        <v>842</v>
      </c>
      <c r="G86" s="140" t="s">
        <v>843</v>
      </c>
      <c r="H86" s="138" t="s">
        <v>131</v>
      </c>
      <c r="I86" s="138" t="s">
        <v>105</v>
      </c>
      <c r="J86" s="138">
        <v>9.0</v>
      </c>
      <c r="K86" s="138" t="s">
        <v>844</v>
      </c>
      <c r="L86" s="138" t="s">
        <v>158</v>
      </c>
      <c r="M86" s="138" t="s">
        <v>845</v>
      </c>
      <c r="N86" s="145"/>
      <c r="O86" s="138" t="s">
        <v>846</v>
      </c>
      <c r="P86" s="138" t="s">
        <v>141</v>
      </c>
      <c r="Q86" s="138" t="s">
        <v>840</v>
      </c>
      <c r="R86" s="141">
        <v>46023.0</v>
      </c>
      <c r="S86" s="141">
        <v>46387.0</v>
      </c>
      <c r="T86" s="138" t="s">
        <v>847</v>
      </c>
      <c r="U86" s="142" t="s">
        <v>140</v>
      </c>
      <c r="V86" s="143"/>
      <c r="W86" s="143"/>
      <c r="X86" s="143"/>
      <c r="Y86" s="148"/>
    </row>
    <row r="87" ht="33.0" customHeight="1">
      <c r="A87" s="138">
        <v>86.0</v>
      </c>
      <c r="B87" s="143"/>
      <c r="C87" s="138" t="s">
        <v>22</v>
      </c>
      <c r="D87" s="138" t="s">
        <v>848</v>
      </c>
      <c r="E87" s="138" t="s">
        <v>849</v>
      </c>
      <c r="F87" s="138" t="s">
        <v>850</v>
      </c>
      <c r="G87" s="140" t="s">
        <v>851</v>
      </c>
      <c r="H87" s="138" t="s">
        <v>131</v>
      </c>
      <c r="I87" s="138" t="s">
        <v>105</v>
      </c>
      <c r="J87" s="138">
        <v>18.0</v>
      </c>
      <c r="K87" s="138" t="s">
        <v>852</v>
      </c>
      <c r="L87" s="138" t="s">
        <v>133</v>
      </c>
      <c r="M87" s="142" t="s">
        <v>853</v>
      </c>
      <c r="N87" s="142" t="s">
        <v>854</v>
      </c>
      <c r="O87" s="142" t="s">
        <v>855</v>
      </c>
      <c r="P87" s="138" t="s">
        <v>856</v>
      </c>
      <c r="Q87" s="138" t="s">
        <v>141</v>
      </c>
      <c r="R87" s="141">
        <v>46023.0</v>
      </c>
      <c r="S87" s="141">
        <v>46387.0</v>
      </c>
      <c r="T87" s="142" t="s">
        <v>857</v>
      </c>
      <c r="U87" s="142" t="s">
        <v>140</v>
      </c>
      <c r="V87" s="149"/>
      <c r="W87" s="149"/>
      <c r="X87" s="149"/>
      <c r="Y87" s="148"/>
    </row>
    <row r="88" ht="33.0" customHeight="1">
      <c r="A88" s="138">
        <v>87.0</v>
      </c>
      <c r="B88" s="143"/>
      <c r="C88" s="138" t="s">
        <v>22</v>
      </c>
      <c r="D88" s="138" t="s">
        <v>848</v>
      </c>
      <c r="E88" s="138" t="s">
        <v>858</v>
      </c>
      <c r="F88" s="138" t="s">
        <v>859</v>
      </c>
      <c r="G88" s="140" t="s">
        <v>860</v>
      </c>
      <c r="H88" s="138" t="s">
        <v>131</v>
      </c>
      <c r="I88" s="138" t="s">
        <v>105</v>
      </c>
      <c r="J88" s="138">
        <v>15.0</v>
      </c>
      <c r="K88" s="138" t="s">
        <v>861</v>
      </c>
      <c r="L88" s="138" t="s">
        <v>133</v>
      </c>
      <c r="M88" s="138" t="s">
        <v>862</v>
      </c>
      <c r="N88" s="158"/>
      <c r="O88" s="138" t="s">
        <v>863</v>
      </c>
      <c r="P88" s="138" t="s">
        <v>141</v>
      </c>
      <c r="Q88" s="138" t="s">
        <v>864</v>
      </c>
      <c r="R88" s="141">
        <v>46023.0</v>
      </c>
      <c r="S88" s="141">
        <v>46387.0</v>
      </c>
      <c r="T88" s="142" t="s">
        <v>865</v>
      </c>
      <c r="U88" s="142" t="s">
        <v>140</v>
      </c>
      <c r="V88" s="143"/>
      <c r="W88" s="143"/>
      <c r="X88" s="143"/>
      <c r="Y88" s="148"/>
    </row>
    <row r="89" ht="33.0" customHeight="1">
      <c r="A89" s="138">
        <v>88.0</v>
      </c>
      <c r="B89" s="143"/>
      <c r="C89" s="138" t="s">
        <v>22</v>
      </c>
      <c r="D89" s="138" t="s">
        <v>848</v>
      </c>
      <c r="E89" s="138" t="s">
        <v>866</v>
      </c>
      <c r="F89" s="138" t="s">
        <v>867</v>
      </c>
      <c r="G89" s="140" t="s">
        <v>868</v>
      </c>
      <c r="H89" s="138" t="s">
        <v>131</v>
      </c>
      <c r="I89" s="138" t="s">
        <v>105</v>
      </c>
      <c r="J89" s="138">
        <v>14.0</v>
      </c>
      <c r="K89" s="138" t="s">
        <v>869</v>
      </c>
      <c r="L89" s="138" t="s">
        <v>158</v>
      </c>
      <c r="M89" s="142" t="s">
        <v>870</v>
      </c>
      <c r="N89" s="145"/>
      <c r="O89" s="138" t="s">
        <v>871</v>
      </c>
      <c r="P89" s="138" t="s">
        <v>872</v>
      </c>
      <c r="Q89" s="138" t="s">
        <v>141</v>
      </c>
      <c r="R89" s="141">
        <v>46023.0</v>
      </c>
      <c r="S89" s="141">
        <v>46387.0</v>
      </c>
      <c r="T89" s="138" t="s">
        <v>873</v>
      </c>
      <c r="U89" s="142" t="s">
        <v>140</v>
      </c>
      <c r="V89" s="143"/>
      <c r="W89" s="143"/>
      <c r="X89" s="143"/>
      <c r="Y89" s="148"/>
    </row>
    <row r="90" ht="33.0" customHeight="1">
      <c r="A90" s="138">
        <v>89.0</v>
      </c>
      <c r="B90" s="143"/>
      <c r="C90" s="138" t="s">
        <v>22</v>
      </c>
      <c r="D90" s="138" t="s">
        <v>848</v>
      </c>
      <c r="E90" s="138" t="s">
        <v>874</v>
      </c>
      <c r="F90" s="139" t="s">
        <v>434</v>
      </c>
      <c r="G90" s="140" t="s">
        <v>875</v>
      </c>
      <c r="H90" s="138" t="s">
        <v>131</v>
      </c>
      <c r="I90" s="138" t="s">
        <v>105</v>
      </c>
      <c r="J90" s="138">
        <v>14.0</v>
      </c>
      <c r="K90" s="138" t="s">
        <v>876</v>
      </c>
      <c r="L90" s="138" t="s">
        <v>141</v>
      </c>
      <c r="M90" s="138" t="s">
        <v>877</v>
      </c>
      <c r="N90" s="158"/>
      <c r="O90" s="138" t="s">
        <v>878</v>
      </c>
      <c r="P90" s="138" t="s">
        <v>141</v>
      </c>
      <c r="Q90" s="138" t="s">
        <v>879</v>
      </c>
      <c r="R90" s="141">
        <v>46023.0</v>
      </c>
      <c r="S90" s="141">
        <v>46387.0</v>
      </c>
      <c r="T90" s="142" t="s">
        <v>880</v>
      </c>
      <c r="U90" s="142" t="s">
        <v>140</v>
      </c>
      <c r="V90" s="143"/>
      <c r="W90" s="143"/>
      <c r="X90" s="143"/>
      <c r="Y90" s="148"/>
    </row>
    <row r="91" ht="33.0" customHeight="1">
      <c r="A91" s="138">
        <v>90.0</v>
      </c>
      <c r="B91" s="143"/>
      <c r="C91" s="138" t="s">
        <v>22</v>
      </c>
      <c r="D91" s="138" t="s">
        <v>881</v>
      </c>
      <c r="E91" s="142" t="s">
        <v>882</v>
      </c>
      <c r="F91" s="138" t="s">
        <v>883</v>
      </c>
      <c r="G91" s="140" t="s">
        <v>884</v>
      </c>
      <c r="H91" s="138" t="s">
        <v>131</v>
      </c>
      <c r="I91" s="138" t="s">
        <v>105</v>
      </c>
      <c r="J91" s="138">
        <v>15.0</v>
      </c>
      <c r="K91" s="138" t="s">
        <v>844</v>
      </c>
      <c r="L91" s="138" t="s">
        <v>133</v>
      </c>
      <c r="M91" s="138" t="s">
        <v>885</v>
      </c>
      <c r="N91" s="145"/>
      <c r="O91" s="138" t="s">
        <v>886</v>
      </c>
      <c r="P91" s="138" t="s">
        <v>887</v>
      </c>
      <c r="Q91" s="138" t="s">
        <v>141</v>
      </c>
      <c r="R91" s="141">
        <v>46023.0</v>
      </c>
      <c r="S91" s="141">
        <v>46387.0</v>
      </c>
      <c r="T91" s="138" t="s">
        <v>888</v>
      </c>
      <c r="U91" s="142" t="s">
        <v>140</v>
      </c>
      <c r="V91" s="143"/>
      <c r="W91" s="143"/>
      <c r="X91" s="143"/>
      <c r="Y91" s="148"/>
    </row>
    <row r="92" ht="33.0" customHeight="1">
      <c r="A92" s="138">
        <v>91.0</v>
      </c>
      <c r="B92" s="143"/>
      <c r="C92" s="138" t="s">
        <v>22</v>
      </c>
      <c r="D92" s="138" t="s">
        <v>881</v>
      </c>
      <c r="E92" s="138" t="s">
        <v>889</v>
      </c>
      <c r="F92" s="139" t="s">
        <v>890</v>
      </c>
      <c r="G92" s="140" t="s">
        <v>891</v>
      </c>
      <c r="H92" s="138" t="s">
        <v>131</v>
      </c>
      <c r="I92" s="138" t="s">
        <v>105</v>
      </c>
      <c r="J92" s="138">
        <v>25.0</v>
      </c>
      <c r="K92" s="138" t="s">
        <v>892</v>
      </c>
      <c r="L92" s="138" t="s">
        <v>158</v>
      </c>
      <c r="M92" s="138" t="s">
        <v>893</v>
      </c>
      <c r="N92" s="145"/>
      <c r="O92" s="138" t="s">
        <v>894</v>
      </c>
      <c r="P92" s="138" t="s">
        <v>895</v>
      </c>
      <c r="Q92" s="138" t="s">
        <v>141</v>
      </c>
      <c r="R92" s="141">
        <v>46023.0</v>
      </c>
      <c r="S92" s="141">
        <v>46387.0</v>
      </c>
      <c r="T92" s="142" t="s">
        <v>896</v>
      </c>
      <c r="U92" s="142" t="s">
        <v>140</v>
      </c>
      <c r="V92" s="143"/>
      <c r="W92" s="143"/>
      <c r="X92" s="143"/>
      <c r="Y92" s="148"/>
    </row>
    <row r="93" ht="33.0" customHeight="1">
      <c r="A93" s="138">
        <v>92.0</v>
      </c>
      <c r="B93" s="143"/>
      <c r="C93" s="138" t="s">
        <v>22</v>
      </c>
      <c r="D93" s="138" t="s">
        <v>881</v>
      </c>
      <c r="E93" s="138" t="s">
        <v>897</v>
      </c>
      <c r="F93" s="138" t="s">
        <v>898</v>
      </c>
      <c r="G93" s="140" t="s">
        <v>899</v>
      </c>
      <c r="H93" s="138" t="s">
        <v>131</v>
      </c>
      <c r="I93" s="138" t="s">
        <v>105</v>
      </c>
      <c r="J93" s="138">
        <v>10.0</v>
      </c>
      <c r="K93" s="138" t="s">
        <v>900</v>
      </c>
      <c r="L93" s="138" t="s">
        <v>133</v>
      </c>
      <c r="M93" s="138" t="s">
        <v>901</v>
      </c>
      <c r="N93" s="145"/>
      <c r="O93" s="138" t="s">
        <v>902</v>
      </c>
      <c r="P93" s="138" t="s">
        <v>141</v>
      </c>
      <c r="Q93" s="138" t="s">
        <v>903</v>
      </c>
      <c r="R93" s="141">
        <v>46023.0</v>
      </c>
      <c r="S93" s="141">
        <v>46387.0</v>
      </c>
      <c r="T93" s="142" t="s">
        <v>904</v>
      </c>
      <c r="U93" s="142" t="s">
        <v>140</v>
      </c>
      <c r="V93" s="143"/>
      <c r="W93" s="143"/>
      <c r="X93" s="143"/>
      <c r="Y93" s="148"/>
    </row>
    <row r="94" ht="33.0" customHeight="1">
      <c r="A94" s="138">
        <v>93.0</v>
      </c>
      <c r="B94" s="143"/>
      <c r="C94" s="138" t="s">
        <v>22</v>
      </c>
      <c r="D94" s="138" t="s">
        <v>881</v>
      </c>
      <c r="E94" s="138" t="s">
        <v>897</v>
      </c>
      <c r="F94" s="138" t="s">
        <v>905</v>
      </c>
      <c r="G94" s="140" t="s">
        <v>906</v>
      </c>
      <c r="H94" s="138" t="s">
        <v>131</v>
      </c>
      <c r="I94" s="138" t="s">
        <v>105</v>
      </c>
      <c r="J94" s="138">
        <v>10.0</v>
      </c>
      <c r="K94" s="138" t="s">
        <v>169</v>
      </c>
      <c r="L94" s="138" t="s">
        <v>158</v>
      </c>
      <c r="M94" s="138" t="s">
        <v>907</v>
      </c>
      <c r="N94" s="149"/>
      <c r="O94" s="138" t="s">
        <v>908</v>
      </c>
      <c r="P94" s="138" t="s">
        <v>141</v>
      </c>
      <c r="Q94" s="138" t="s">
        <v>903</v>
      </c>
      <c r="R94" s="141">
        <v>46023.0</v>
      </c>
      <c r="S94" s="141">
        <v>46387.0</v>
      </c>
      <c r="T94" s="142" t="s">
        <v>909</v>
      </c>
      <c r="U94" s="142" t="s">
        <v>140</v>
      </c>
      <c r="V94" s="145"/>
      <c r="W94" s="145"/>
      <c r="X94" s="145"/>
      <c r="Y94" s="148"/>
    </row>
    <row r="95" ht="33.0" customHeight="1">
      <c r="A95" s="138">
        <v>94.0</v>
      </c>
      <c r="B95" s="143"/>
      <c r="C95" s="138" t="s">
        <v>22</v>
      </c>
      <c r="D95" s="138" t="s">
        <v>881</v>
      </c>
      <c r="E95" s="138" t="s">
        <v>910</v>
      </c>
      <c r="F95" s="138" t="s">
        <v>911</v>
      </c>
      <c r="G95" s="140" t="s">
        <v>912</v>
      </c>
      <c r="H95" s="138" t="s">
        <v>131</v>
      </c>
      <c r="I95" s="138" t="s">
        <v>105</v>
      </c>
      <c r="J95" s="138">
        <v>17.0</v>
      </c>
      <c r="K95" s="138" t="s">
        <v>844</v>
      </c>
      <c r="L95" s="138" t="s">
        <v>133</v>
      </c>
      <c r="M95" s="138" t="s">
        <v>913</v>
      </c>
      <c r="N95" s="145"/>
      <c r="O95" s="138" t="s">
        <v>914</v>
      </c>
      <c r="P95" s="138" t="s">
        <v>141</v>
      </c>
      <c r="Q95" s="138" t="s">
        <v>903</v>
      </c>
      <c r="R95" s="141">
        <v>46023.0</v>
      </c>
      <c r="S95" s="141">
        <v>46387.0</v>
      </c>
      <c r="T95" s="142" t="s">
        <v>915</v>
      </c>
      <c r="U95" s="142" t="s">
        <v>140</v>
      </c>
      <c r="V95" s="145"/>
      <c r="W95" s="145"/>
      <c r="X95" s="145"/>
      <c r="Y95" s="148"/>
    </row>
    <row r="96" ht="33.0" customHeight="1">
      <c r="A96" s="138">
        <v>95.0</v>
      </c>
      <c r="B96" s="143"/>
      <c r="C96" s="138" t="s">
        <v>22</v>
      </c>
      <c r="D96" s="138" t="s">
        <v>881</v>
      </c>
      <c r="E96" s="138" t="s">
        <v>384</v>
      </c>
      <c r="F96" s="138" t="s">
        <v>916</v>
      </c>
      <c r="G96" s="140" t="s">
        <v>917</v>
      </c>
      <c r="H96" s="138" t="s">
        <v>131</v>
      </c>
      <c r="I96" s="138" t="s">
        <v>105</v>
      </c>
      <c r="J96" s="138">
        <v>17.0</v>
      </c>
      <c r="K96" s="138" t="s">
        <v>844</v>
      </c>
      <c r="L96" s="138" t="s">
        <v>133</v>
      </c>
      <c r="M96" s="138" t="s">
        <v>918</v>
      </c>
      <c r="N96" s="145"/>
      <c r="O96" s="138" t="s">
        <v>919</v>
      </c>
      <c r="P96" s="138" t="s">
        <v>920</v>
      </c>
      <c r="Q96" s="138" t="s">
        <v>141</v>
      </c>
      <c r="R96" s="141">
        <v>46023.0</v>
      </c>
      <c r="S96" s="141">
        <v>46387.0</v>
      </c>
      <c r="T96" s="142" t="s">
        <v>921</v>
      </c>
      <c r="U96" s="142" t="s">
        <v>140</v>
      </c>
      <c r="V96" s="143"/>
      <c r="W96" s="143"/>
      <c r="X96" s="143"/>
      <c r="Y96" s="148"/>
    </row>
    <row r="97" ht="33.0" customHeight="1">
      <c r="A97" s="138">
        <v>96.0</v>
      </c>
      <c r="B97" s="143"/>
      <c r="C97" s="138" t="s">
        <v>22</v>
      </c>
      <c r="D97" s="138" t="s">
        <v>881</v>
      </c>
      <c r="E97" s="138" t="s">
        <v>784</v>
      </c>
      <c r="F97" s="138" t="s">
        <v>922</v>
      </c>
      <c r="G97" s="140" t="s">
        <v>923</v>
      </c>
      <c r="H97" s="138" t="s">
        <v>131</v>
      </c>
      <c r="I97" s="138" t="s">
        <v>105</v>
      </c>
      <c r="J97" s="138">
        <v>12.0</v>
      </c>
      <c r="K97" s="138" t="s">
        <v>869</v>
      </c>
      <c r="L97" s="138" t="s">
        <v>133</v>
      </c>
      <c r="M97" s="138" t="s">
        <v>924</v>
      </c>
      <c r="N97" s="145"/>
      <c r="O97" s="138" t="s">
        <v>925</v>
      </c>
      <c r="P97" s="138" t="s">
        <v>141</v>
      </c>
      <c r="Q97" s="138" t="s">
        <v>926</v>
      </c>
      <c r="R97" s="141">
        <v>46023.0</v>
      </c>
      <c r="S97" s="141">
        <v>46387.0</v>
      </c>
      <c r="T97" s="142" t="s">
        <v>927</v>
      </c>
      <c r="U97" s="142" t="s">
        <v>140</v>
      </c>
      <c r="V97" s="143"/>
      <c r="W97" s="143"/>
      <c r="X97" s="143"/>
      <c r="Y97" s="148"/>
    </row>
    <row r="98" ht="33.0" customHeight="1">
      <c r="A98" s="138">
        <v>97.0</v>
      </c>
      <c r="B98" s="143"/>
      <c r="C98" s="138" t="s">
        <v>22</v>
      </c>
      <c r="D98" s="138" t="s">
        <v>881</v>
      </c>
      <c r="E98" s="138" t="s">
        <v>392</v>
      </c>
      <c r="F98" s="138" t="s">
        <v>928</v>
      </c>
      <c r="G98" s="140" t="s">
        <v>929</v>
      </c>
      <c r="H98" s="138" t="s">
        <v>131</v>
      </c>
      <c r="I98" s="138" t="s">
        <v>105</v>
      </c>
      <c r="J98" s="138">
        <v>25.0</v>
      </c>
      <c r="K98" s="138" t="s">
        <v>844</v>
      </c>
      <c r="L98" s="138" t="s">
        <v>133</v>
      </c>
      <c r="M98" s="142" t="s">
        <v>930</v>
      </c>
      <c r="N98" s="158"/>
      <c r="O98" s="158"/>
      <c r="P98" s="138" t="s">
        <v>931</v>
      </c>
      <c r="Q98" s="138" t="s">
        <v>141</v>
      </c>
      <c r="R98" s="141">
        <v>46023.0</v>
      </c>
      <c r="S98" s="141">
        <v>46387.0</v>
      </c>
      <c r="T98" s="138" t="s">
        <v>932</v>
      </c>
      <c r="U98" s="142" t="s">
        <v>140</v>
      </c>
      <c r="V98" s="149"/>
      <c r="W98" s="149"/>
      <c r="X98" s="149"/>
      <c r="Y98" s="148"/>
    </row>
    <row r="99" ht="33.0" customHeight="1">
      <c r="A99" s="138">
        <v>98.0</v>
      </c>
      <c r="B99" s="143"/>
      <c r="C99" s="138" t="s">
        <v>22</v>
      </c>
      <c r="D99" s="138" t="s">
        <v>881</v>
      </c>
      <c r="E99" s="138" t="s">
        <v>933</v>
      </c>
      <c r="F99" s="138" t="s">
        <v>934</v>
      </c>
      <c r="G99" s="140" t="s">
        <v>935</v>
      </c>
      <c r="H99" s="138" t="s">
        <v>131</v>
      </c>
      <c r="I99" s="138" t="s">
        <v>105</v>
      </c>
      <c r="J99" s="138">
        <v>17.0</v>
      </c>
      <c r="K99" s="138" t="s">
        <v>936</v>
      </c>
      <c r="L99" s="138" t="s">
        <v>133</v>
      </c>
      <c r="M99" s="142" t="s">
        <v>937</v>
      </c>
      <c r="N99" s="158"/>
      <c r="O99" s="142" t="s">
        <v>938</v>
      </c>
      <c r="P99" s="138" t="s">
        <v>141</v>
      </c>
      <c r="Q99" s="138" t="s">
        <v>903</v>
      </c>
      <c r="R99" s="141">
        <v>46023.0</v>
      </c>
      <c r="S99" s="141">
        <v>46387.0</v>
      </c>
      <c r="T99" s="142" t="s">
        <v>939</v>
      </c>
      <c r="U99" s="142" t="s">
        <v>140</v>
      </c>
      <c r="V99" s="149"/>
      <c r="W99" s="149"/>
      <c r="X99" s="149"/>
      <c r="Y99" s="148"/>
    </row>
    <row r="100" ht="33.0" customHeight="1">
      <c r="A100" s="138">
        <v>99.0</v>
      </c>
      <c r="B100" s="143"/>
      <c r="C100" s="138" t="s">
        <v>22</v>
      </c>
      <c r="D100" s="138" t="s">
        <v>881</v>
      </c>
      <c r="E100" s="138" t="s">
        <v>940</v>
      </c>
      <c r="F100" s="138" t="s">
        <v>941</v>
      </c>
      <c r="G100" s="140" t="s">
        <v>942</v>
      </c>
      <c r="H100" s="138" t="s">
        <v>131</v>
      </c>
      <c r="I100" s="138" t="s">
        <v>105</v>
      </c>
      <c r="J100" s="138">
        <v>12.0</v>
      </c>
      <c r="K100" s="138" t="s">
        <v>943</v>
      </c>
      <c r="L100" s="138" t="s">
        <v>158</v>
      </c>
      <c r="M100" s="138" t="s">
        <v>944</v>
      </c>
      <c r="N100" s="159"/>
      <c r="O100" s="138" t="s">
        <v>945</v>
      </c>
      <c r="P100" s="138" t="s">
        <v>141</v>
      </c>
      <c r="Q100" s="138" t="s">
        <v>946</v>
      </c>
      <c r="R100" s="141">
        <v>46023.0</v>
      </c>
      <c r="S100" s="141">
        <v>46387.0</v>
      </c>
      <c r="T100" s="138" t="s">
        <v>947</v>
      </c>
      <c r="U100" s="142" t="s">
        <v>140</v>
      </c>
      <c r="V100" s="143"/>
      <c r="W100" s="143"/>
      <c r="X100" s="143"/>
      <c r="Y100" s="148"/>
    </row>
    <row r="101" ht="33.0" customHeight="1">
      <c r="A101" s="138">
        <v>100.0</v>
      </c>
      <c r="B101" s="143"/>
      <c r="C101" s="138" t="s">
        <v>22</v>
      </c>
      <c r="D101" s="138" t="s">
        <v>948</v>
      </c>
      <c r="E101" s="138" t="s">
        <v>949</v>
      </c>
      <c r="F101" s="138" t="s">
        <v>950</v>
      </c>
      <c r="G101" s="140" t="s">
        <v>951</v>
      </c>
      <c r="H101" s="138" t="s">
        <v>131</v>
      </c>
      <c r="I101" s="138" t="s">
        <v>105</v>
      </c>
      <c r="J101" s="138">
        <v>18.0</v>
      </c>
      <c r="K101" s="138" t="s">
        <v>844</v>
      </c>
      <c r="L101" s="138" t="s">
        <v>158</v>
      </c>
      <c r="M101" s="142" t="s">
        <v>952</v>
      </c>
      <c r="N101" s="158"/>
      <c r="O101" s="158"/>
      <c r="P101" s="138" t="s">
        <v>953</v>
      </c>
      <c r="Q101" s="138" t="s">
        <v>141</v>
      </c>
      <c r="R101" s="141">
        <v>46023.0</v>
      </c>
      <c r="S101" s="141">
        <v>46387.0</v>
      </c>
      <c r="T101" s="142" t="s">
        <v>954</v>
      </c>
      <c r="U101" s="142" t="s">
        <v>140</v>
      </c>
      <c r="V101" s="149"/>
      <c r="W101" s="149"/>
      <c r="X101" s="149"/>
      <c r="Y101" s="148"/>
    </row>
    <row r="102" ht="33.0" customHeight="1">
      <c r="A102" s="138">
        <v>101.0</v>
      </c>
      <c r="B102" s="143"/>
      <c r="C102" s="138" t="s">
        <v>22</v>
      </c>
      <c r="D102" s="138" t="s">
        <v>948</v>
      </c>
      <c r="E102" s="138" t="s">
        <v>955</v>
      </c>
      <c r="F102" s="138" t="s">
        <v>955</v>
      </c>
      <c r="G102" s="140" t="s">
        <v>956</v>
      </c>
      <c r="H102" s="138" t="s">
        <v>131</v>
      </c>
      <c r="I102" s="138" t="s">
        <v>105</v>
      </c>
      <c r="J102" s="138">
        <v>10.0</v>
      </c>
      <c r="K102" s="138" t="s">
        <v>861</v>
      </c>
      <c r="L102" s="138" t="s">
        <v>133</v>
      </c>
      <c r="M102" s="142" t="s">
        <v>957</v>
      </c>
      <c r="N102" s="159"/>
      <c r="O102" s="138" t="s">
        <v>958</v>
      </c>
      <c r="P102" s="138" t="s">
        <v>141</v>
      </c>
      <c r="Q102" s="138" t="s">
        <v>959</v>
      </c>
      <c r="R102" s="141">
        <v>46023.0</v>
      </c>
      <c r="S102" s="141">
        <v>46387.0</v>
      </c>
      <c r="T102" s="138" t="s">
        <v>960</v>
      </c>
      <c r="U102" s="142" t="s">
        <v>140</v>
      </c>
      <c r="V102" s="143"/>
      <c r="W102" s="143"/>
      <c r="X102" s="143"/>
      <c r="Y102" s="148"/>
    </row>
    <row r="103" ht="33.0" customHeight="1">
      <c r="A103" s="138">
        <v>102.0</v>
      </c>
      <c r="B103" s="143"/>
      <c r="C103" s="138" t="s">
        <v>22</v>
      </c>
      <c r="D103" s="138" t="s">
        <v>948</v>
      </c>
      <c r="E103" s="138" t="s">
        <v>961</v>
      </c>
      <c r="F103" s="138" t="s">
        <v>962</v>
      </c>
      <c r="G103" s="140" t="s">
        <v>963</v>
      </c>
      <c r="H103" s="138" t="s">
        <v>131</v>
      </c>
      <c r="I103" s="138" t="s">
        <v>105</v>
      </c>
      <c r="J103" s="138">
        <v>20.0</v>
      </c>
      <c r="K103" s="138" t="s">
        <v>964</v>
      </c>
      <c r="L103" s="138" t="s">
        <v>158</v>
      </c>
      <c r="M103" s="138" t="s">
        <v>965</v>
      </c>
      <c r="N103" s="145"/>
      <c r="O103" s="138" t="s">
        <v>966</v>
      </c>
      <c r="P103" s="138" t="s">
        <v>967</v>
      </c>
      <c r="Q103" s="138" t="s">
        <v>141</v>
      </c>
      <c r="R103" s="141">
        <v>46023.0</v>
      </c>
      <c r="S103" s="141">
        <v>46387.0</v>
      </c>
      <c r="T103" s="142" t="s">
        <v>968</v>
      </c>
      <c r="U103" s="142" t="s">
        <v>140</v>
      </c>
      <c r="V103" s="143"/>
      <c r="W103" s="143"/>
      <c r="X103" s="143"/>
      <c r="Y103" s="144"/>
    </row>
    <row r="104" ht="33.0" customHeight="1">
      <c r="A104" s="138">
        <v>103.0</v>
      </c>
      <c r="B104" s="143"/>
      <c r="C104" s="138" t="s">
        <v>22</v>
      </c>
      <c r="D104" s="138" t="s">
        <v>948</v>
      </c>
      <c r="E104" s="142" t="s">
        <v>969</v>
      </c>
      <c r="F104" s="138" t="s">
        <v>970</v>
      </c>
      <c r="G104" s="140" t="s">
        <v>971</v>
      </c>
      <c r="H104" s="138" t="s">
        <v>131</v>
      </c>
      <c r="I104" s="138" t="s">
        <v>105</v>
      </c>
      <c r="J104" s="138">
        <v>15.0</v>
      </c>
      <c r="K104" s="138" t="s">
        <v>972</v>
      </c>
      <c r="L104" s="138" t="s">
        <v>158</v>
      </c>
      <c r="M104" s="138" t="s">
        <v>973</v>
      </c>
      <c r="N104" s="145"/>
      <c r="O104" s="138" t="s">
        <v>974</v>
      </c>
      <c r="P104" s="138" t="s">
        <v>141</v>
      </c>
      <c r="Q104" s="138" t="s">
        <v>959</v>
      </c>
      <c r="R104" s="141">
        <v>46023.0</v>
      </c>
      <c r="S104" s="141">
        <v>46387.0</v>
      </c>
      <c r="T104" s="142" t="s">
        <v>975</v>
      </c>
      <c r="U104" s="142" t="s">
        <v>140</v>
      </c>
      <c r="V104" s="143"/>
      <c r="W104" s="143"/>
      <c r="X104" s="143"/>
      <c r="Y104" s="144"/>
    </row>
    <row r="105" ht="33.0" customHeight="1">
      <c r="A105" s="138">
        <v>104.0</v>
      </c>
      <c r="B105" s="143"/>
      <c r="C105" s="138" t="s">
        <v>22</v>
      </c>
      <c r="D105" s="138" t="s">
        <v>948</v>
      </c>
      <c r="E105" s="138" t="s">
        <v>976</v>
      </c>
      <c r="F105" s="138" t="s">
        <v>434</v>
      </c>
      <c r="G105" s="140" t="s">
        <v>977</v>
      </c>
      <c r="H105" s="138" t="s">
        <v>131</v>
      </c>
      <c r="I105" s="138" t="s">
        <v>105</v>
      </c>
      <c r="J105" s="138">
        <v>10.0</v>
      </c>
      <c r="K105" s="138" t="s">
        <v>169</v>
      </c>
      <c r="L105" s="138" t="s">
        <v>158</v>
      </c>
      <c r="M105" s="142" t="s">
        <v>978</v>
      </c>
      <c r="N105" s="158"/>
      <c r="O105" s="142" t="s">
        <v>979</v>
      </c>
      <c r="P105" s="138" t="s">
        <v>141</v>
      </c>
      <c r="Q105" s="138" t="s">
        <v>959</v>
      </c>
      <c r="R105" s="141">
        <v>46023.0</v>
      </c>
      <c r="S105" s="141">
        <v>46387.0</v>
      </c>
      <c r="T105" s="142" t="s">
        <v>980</v>
      </c>
      <c r="U105" s="142" t="s">
        <v>140</v>
      </c>
      <c r="V105" s="149"/>
      <c r="W105" s="149"/>
      <c r="X105" s="149"/>
      <c r="Y105" s="144"/>
    </row>
    <row r="106" ht="33.0" customHeight="1">
      <c r="A106" s="138">
        <v>105.0</v>
      </c>
      <c r="B106" s="143"/>
      <c r="C106" s="138" t="s">
        <v>22</v>
      </c>
      <c r="D106" s="138" t="s">
        <v>948</v>
      </c>
      <c r="E106" s="138" t="s">
        <v>981</v>
      </c>
      <c r="F106" s="138" t="s">
        <v>434</v>
      </c>
      <c r="G106" s="140" t="s">
        <v>982</v>
      </c>
      <c r="H106" s="138" t="s">
        <v>131</v>
      </c>
      <c r="I106" s="138" t="s">
        <v>105</v>
      </c>
      <c r="J106" s="138">
        <v>10.0</v>
      </c>
      <c r="K106" s="138" t="s">
        <v>169</v>
      </c>
      <c r="L106" s="138" t="s">
        <v>158</v>
      </c>
      <c r="M106" s="142" t="s">
        <v>983</v>
      </c>
      <c r="N106" s="158"/>
      <c r="O106" s="142" t="s">
        <v>984</v>
      </c>
      <c r="P106" s="138" t="s">
        <v>141</v>
      </c>
      <c r="Q106" s="138" t="s">
        <v>985</v>
      </c>
      <c r="R106" s="141">
        <v>46023.0</v>
      </c>
      <c r="S106" s="141">
        <v>46387.0</v>
      </c>
      <c r="T106" s="142" t="s">
        <v>986</v>
      </c>
      <c r="U106" s="142" t="s">
        <v>140</v>
      </c>
      <c r="V106" s="149"/>
      <c r="W106" s="149"/>
      <c r="X106" s="149"/>
      <c r="Y106" s="148"/>
    </row>
    <row r="107" ht="33.0" customHeight="1">
      <c r="A107" s="138">
        <v>106.0</v>
      </c>
      <c r="B107" s="142">
        <v>3863.0</v>
      </c>
      <c r="C107" s="142" t="s">
        <v>24</v>
      </c>
      <c r="D107" s="142" t="s">
        <v>987</v>
      </c>
      <c r="E107" s="142" t="s">
        <v>988</v>
      </c>
      <c r="F107" s="142" t="s">
        <v>989</v>
      </c>
      <c r="G107" s="153" t="s">
        <v>990</v>
      </c>
      <c r="H107" s="138" t="s">
        <v>131</v>
      </c>
      <c r="I107" s="142" t="s">
        <v>105</v>
      </c>
      <c r="J107" s="142">
        <v>12.0</v>
      </c>
      <c r="K107" s="142" t="s">
        <v>428</v>
      </c>
      <c r="L107" s="142" t="s">
        <v>141</v>
      </c>
      <c r="M107" s="142" t="s">
        <v>991</v>
      </c>
      <c r="N107" s="142">
        <v>9.973476006E9</v>
      </c>
      <c r="O107" s="142" t="s">
        <v>992</v>
      </c>
      <c r="P107" s="142" t="s">
        <v>993</v>
      </c>
      <c r="Q107" s="142" t="s">
        <v>994</v>
      </c>
      <c r="R107" s="160">
        <v>46023.0</v>
      </c>
      <c r="S107" s="160">
        <v>46387.0</v>
      </c>
      <c r="T107" s="142" t="s">
        <v>995</v>
      </c>
      <c r="U107" s="142" t="s">
        <v>140</v>
      </c>
      <c r="V107" s="143"/>
      <c r="W107" s="149"/>
      <c r="X107" s="149"/>
      <c r="Y107" s="148"/>
    </row>
    <row r="108" ht="33.0" customHeight="1">
      <c r="A108" s="138">
        <v>107.0</v>
      </c>
      <c r="B108" s="142">
        <v>697.0</v>
      </c>
      <c r="C108" s="142" t="s">
        <v>24</v>
      </c>
      <c r="D108" s="142" t="s">
        <v>987</v>
      </c>
      <c r="E108" s="142" t="s">
        <v>996</v>
      </c>
      <c r="F108" s="142" t="s">
        <v>997</v>
      </c>
      <c r="G108" s="153" t="s">
        <v>998</v>
      </c>
      <c r="H108" s="138" t="s">
        <v>131</v>
      </c>
      <c r="I108" s="142" t="s">
        <v>105</v>
      </c>
      <c r="J108" s="142">
        <v>25.0</v>
      </c>
      <c r="K108" s="142" t="s">
        <v>999</v>
      </c>
      <c r="L108" s="142" t="s">
        <v>158</v>
      </c>
      <c r="M108" s="142" t="s">
        <v>1000</v>
      </c>
      <c r="N108" s="161" t="s">
        <v>1001</v>
      </c>
      <c r="O108" s="142" t="s">
        <v>1002</v>
      </c>
      <c r="P108" s="142" t="s">
        <v>141</v>
      </c>
      <c r="Q108" s="142" t="s">
        <v>1003</v>
      </c>
      <c r="R108" s="160">
        <v>46023.0</v>
      </c>
      <c r="S108" s="160">
        <v>46387.0</v>
      </c>
      <c r="T108" s="142" t="s">
        <v>1004</v>
      </c>
      <c r="U108" s="142" t="s">
        <v>140</v>
      </c>
      <c r="V108" s="143"/>
      <c r="W108" s="149"/>
      <c r="X108" s="142"/>
      <c r="Y108" s="148"/>
    </row>
    <row r="109" ht="33.0" customHeight="1">
      <c r="A109" s="138">
        <v>108.0</v>
      </c>
      <c r="B109" s="142">
        <v>2159.0</v>
      </c>
      <c r="C109" s="142" t="s">
        <v>24</v>
      </c>
      <c r="D109" s="142" t="s">
        <v>987</v>
      </c>
      <c r="E109" s="142" t="s">
        <v>1005</v>
      </c>
      <c r="F109" s="142" t="s">
        <v>1006</v>
      </c>
      <c r="G109" s="153" t="s">
        <v>1007</v>
      </c>
      <c r="H109" s="138" t="s">
        <v>131</v>
      </c>
      <c r="I109" s="142" t="s">
        <v>105</v>
      </c>
      <c r="J109" s="142">
        <v>18.0</v>
      </c>
      <c r="K109" s="142" t="s">
        <v>428</v>
      </c>
      <c r="L109" s="142" t="s">
        <v>141</v>
      </c>
      <c r="M109" s="142" t="s">
        <v>1008</v>
      </c>
      <c r="N109" s="161" t="s">
        <v>1009</v>
      </c>
      <c r="O109" s="142" t="s">
        <v>1010</v>
      </c>
      <c r="P109" s="142" t="s">
        <v>141</v>
      </c>
      <c r="Q109" s="142" t="s">
        <v>994</v>
      </c>
      <c r="R109" s="160">
        <v>46023.0</v>
      </c>
      <c r="S109" s="160">
        <v>46387.0</v>
      </c>
      <c r="T109" s="142" t="s">
        <v>1011</v>
      </c>
      <c r="U109" s="142" t="s">
        <v>140</v>
      </c>
      <c r="V109" s="143"/>
      <c r="W109" s="149"/>
      <c r="X109" s="142"/>
      <c r="Y109" s="148"/>
    </row>
    <row r="110" ht="33.0" customHeight="1">
      <c r="A110" s="138">
        <v>109.0</v>
      </c>
      <c r="B110" s="142">
        <v>5198.0</v>
      </c>
      <c r="C110" s="142" t="s">
        <v>24</v>
      </c>
      <c r="D110" s="142" t="s">
        <v>987</v>
      </c>
      <c r="E110" s="142" t="s">
        <v>1012</v>
      </c>
      <c r="F110" s="142" t="s">
        <v>1013</v>
      </c>
      <c r="G110" s="153" t="s">
        <v>1014</v>
      </c>
      <c r="H110" s="138" t="s">
        <v>131</v>
      </c>
      <c r="I110" s="142" t="s">
        <v>105</v>
      </c>
      <c r="J110" s="142">
        <v>25.0</v>
      </c>
      <c r="K110" s="142" t="s">
        <v>1015</v>
      </c>
      <c r="L110" s="142" t="s">
        <v>141</v>
      </c>
      <c r="M110" s="142" t="s">
        <v>1016</v>
      </c>
      <c r="N110" s="142">
        <v>9.100802925E9</v>
      </c>
      <c r="O110" s="142" t="s">
        <v>1017</v>
      </c>
      <c r="P110" s="142" t="s">
        <v>1018</v>
      </c>
      <c r="Q110" s="142" t="s">
        <v>141</v>
      </c>
      <c r="R110" s="160">
        <v>46023.0</v>
      </c>
      <c r="S110" s="160">
        <v>46387.0</v>
      </c>
      <c r="T110" s="142" t="s">
        <v>1019</v>
      </c>
      <c r="U110" s="142" t="s">
        <v>140</v>
      </c>
      <c r="V110" s="138" t="s">
        <v>1020</v>
      </c>
      <c r="W110" s="149"/>
      <c r="X110" s="142"/>
      <c r="Y110" s="148"/>
    </row>
    <row r="111" ht="33.0" customHeight="1">
      <c r="A111" s="138">
        <v>110.0</v>
      </c>
      <c r="B111" s="142">
        <v>3783.0</v>
      </c>
      <c r="C111" s="142" t="s">
        <v>24</v>
      </c>
      <c r="D111" s="142" t="s">
        <v>1021</v>
      </c>
      <c r="E111" s="142" t="s">
        <v>1022</v>
      </c>
      <c r="F111" s="142" t="s">
        <v>1023</v>
      </c>
      <c r="G111" s="153" t="s">
        <v>1024</v>
      </c>
      <c r="H111" s="138" t="s">
        <v>131</v>
      </c>
      <c r="I111" s="142" t="s">
        <v>105</v>
      </c>
      <c r="J111" s="142">
        <v>11.0</v>
      </c>
      <c r="K111" s="142" t="s">
        <v>1025</v>
      </c>
      <c r="L111" s="142" t="s">
        <v>158</v>
      </c>
      <c r="M111" s="142" t="s">
        <v>1026</v>
      </c>
      <c r="N111" s="142">
        <v>9.680200111E9</v>
      </c>
      <c r="O111" s="142" t="s">
        <v>1027</v>
      </c>
      <c r="P111" s="142" t="s">
        <v>1028</v>
      </c>
      <c r="Q111" s="162"/>
      <c r="R111" s="160">
        <v>46023.0</v>
      </c>
      <c r="S111" s="160">
        <v>46387.0</v>
      </c>
      <c r="T111" s="142" t="s">
        <v>1029</v>
      </c>
      <c r="U111" s="142" t="s">
        <v>140</v>
      </c>
      <c r="V111" s="143"/>
      <c r="W111" s="149"/>
      <c r="X111" s="142"/>
      <c r="Y111" s="148"/>
    </row>
    <row r="112" ht="33.0" customHeight="1">
      <c r="A112" s="138">
        <v>111.0</v>
      </c>
      <c r="B112" s="142">
        <v>54100.0</v>
      </c>
      <c r="C112" s="142" t="s">
        <v>24</v>
      </c>
      <c r="D112" s="142" t="s">
        <v>1021</v>
      </c>
      <c r="E112" s="142" t="s">
        <v>1030</v>
      </c>
      <c r="F112" s="142" t="s">
        <v>1031</v>
      </c>
      <c r="G112" s="153" t="s">
        <v>1032</v>
      </c>
      <c r="H112" s="138" t="s">
        <v>131</v>
      </c>
      <c r="I112" s="142" t="s">
        <v>105</v>
      </c>
      <c r="J112" s="142">
        <v>10.0</v>
      </c>
      <c r="K112" s="142" t="s">
        <v>428</v>
      </c>
      <c r="L112" s="142" t="s">
        <v>141</v>
      </c>
      <c r="M112" s="142" t="s">
        <v>1033</v>
      </c>
      <c r="N112" s="161" t="s">
        <v>1034</v>
      </c>
      <c r="O112" s="142" t="s">
        <v>1035</v>
      </c>
      <c r="P112" s="142" t="s">
        <v>993</v>
      </c>
      <c r="Q112" s="142" t="s">
        <v>1036</v>
      </c>
      <c r="R112" s="160">
        <v>46023.0</v>
      </c>
      <c r="S112" s="160">
        <v>46387.0</v>
      </c>
      <c r="T112" s="142" t="s">
        <v>1037</v>
      </c>
      <c r="U112" s="142" t="s">
        <v>140</v>
      </c>
      <c r="V112" s="143"/>
      <c r="W112" s="149"/>
      <c r="X112" s="142"/>
      <c r="Y112" s="148"/>
    </row>
    <row r="113" ht="33.0" customHeight="1">
      <c r="A113" s="138">
        <v>112.0</v>
      </c>
      <c r="B113" s="142">
        <v>1663.0</v>
      </c>
      <c r="C113" s="142" t="s">
        <v>24</v>
      </c>
      <c r="D113" s="142" t="s">
        <v>1038</v>
      </c>
      <c r="E113" s="142" t="s">
        <v>1039</v>
      </c>
      <c r="F113" s="142" t="s">
        <v>1040</v>
      </c>
      <c r="G113" s="153" t="s">
        <v>1041</v>
      </c>
      <c r="H113" s="138" t="s">
        <v>131</v>
      </c>
      <c r="I113" s="142" t="s">
        <v>105</v>
      </c>
      <c r="J113" s="142">
        <v>10.0</v>
      </c>
      <c r="K113" s="142" t="s">
        <v>428</v>
      </c>
      <c r="L113" s="142" t="s">
        <v>141</v>
      </c>
      <c r="M113" s="142" t="s">
        <v>1042</v>
      </c>
      <c r="N113" s="142" t="s">
        <v>1043</v>
      </c>
      <c r="O113" s="142" t="s">
        <v>1044</v>
      </c>
      <c r="P113" s="142" t="s">
        <v>141</v>
      </c>
      <c r="Q113" s="142" t="s">
        <v>1045</v>
      </c>
      <c r="R113" s="160">
        <v>46023.0</v>
      </c>
      <c r="S113" s="160">
        <v>46387.0</v>
      </c>
      <c r="T113" s="142" t="s">
        <v>1046</v>
      </c>
      <c r="U113" s="142" t="s">
        <v>140</v>
      </c>
      <c r="V113" s="143"/>
      <c r="W113" s="149"/>
      <c r="X113" s="142"/>
      <c r="Y113" s="148"/>
    </row>
    <row r="114" ht="33.0" customHeight="1">
      <c r="A114" s="138">
        <v>113.0</v>
      </c>
      <c r="B114" s="142">
        <v>308.0</v>
      </c>
      <c r="C114" s="142" t="s">
        <v>24</v>
      </c>
      <c r="D114" s="142" t="s">
        <v>1038</v>
      </c>
      <c r="E114" s="142" t="s">
        <v>1047</v>
      </c>
      <c r="F114" s="142" t="s">
        <v>1048</v>
      </c>
      <c r="G114" s="153" t="s">
        <v>1049</v>
      </c>
      <c r="H114" s="138" t="s">
        <v>131</v>
      </c>
      <c r="I114" s="142" t="s">
        <v>105</v>
      </c>
      <c r="J114" s="142">
        <v>9.0</v>
      </c>
      <c r="K114" s="142" t="s">
        <v>861</v>
      </c>
      <c r="L114" s="142" t="s">
        <v>158</v>
      </c>
      <c r="M114" s="142" t="s">
        <v>1050</v>
      </c>
      <c r="N114" s="142">
        <v>9.070530179E9</v>
      </c>
      <c r="O114" s="142" t="s">
        <v>1051</v>
      </c>
      <c r="P114" s="138" t="s">
        <v>1052</v>
      </c>
      <c r="Q114" s="142" t="s">
        <v>141</v>
      </c>
      <c r="R114" s="160">
        <v>46023.0</v>
      </c>
      <c r="S114" s="160">
        <v>46387.0</v>
      </c>
      <c r="T114" s="142" t="s">
        <v>1053</v>
      </c>
      <c r="U114" s="142" t="s">
        <v>140</v>
      </c>
      <c r="V114" s="143"/>
      <c r="W114" s="149"/>
      <c r="X114" s="142"/>
      <c r="Y114" s="148"/>
    </row>
    <row r="115" ht="33.0" customHeight="1">
      <c r="A115" s="138">
        <v>114.0</v>
      </c>
      <c r="B115" s="149"/>
      <c r="C115" s="142" t="s">
        <v>24</v>
      </c>
      <c r="D115" s="142" t="s">
        <v>1038</v>
      </c>
      <c r="E115" s="142" t="s">
        <v>1054</v>
      </c>
      <c r="F115" s="142" t="s">
        <v>1055</v>
      </c>
      <c r="G115" s="153" t="s">
        <v>1056</v>
      </c>
      <c r="H115" s="138" t="s">
        <v>131</v>
      </c>
      <c r="I115" s="142" t="s">
        <v>105</v>
      </c>
      <c r="J115" s="142">
        <v>15.0</v>
      </c>
      <c r="K115" s="142" t="s">
        <v>428</v>
      </c>
      <c r="L115" s="142" t="s">
        <v>141</v>
      </c>
      <c r="M115" s="142" t="s">
        <v>1057</v>
      </c>
      <c r="N115" s="142">
        <v>9.120178201E9</v>
      </c>
      <c r="O115" s="142" t="s">
        <v>1058</v>
      </c>
      <c r="P115" s="142" t="s">
        <v>141</v>
      </c>
      <c r="Q115" s="142" t="s">
        <v>1045</v>
      </c>
      <c r="R115" s="160">
        <v>46077.0</v>
      </c>
      <c r="S115" s="160">
        <v>46387.0</v>
      </c>
      <c r="T115" s="142" t="s">
        <v>1059</v>
      </c>
      <c r="U115" s="142" t="s">
        <v>348</v>
      </c>
      <c r="V115" s="143"/>
      <c r="W115" s="149"/>
      <c r="X115" s="149"/>
      <c r="Y115" s="148"/>
    </row>
    <row r="116" ht="33.0" customHeight="1">
      <c r="A116" s="138">
        <v>115.0</v>
      </c>
      <c r="B116" s="142">
        <v>32446.0</v>
      </c>
      <c r="C116" s="142" t="s">
        <v>24</v>
      </c>
      <c r="D116" s="142" t="s">
        <v>1038</v>
      </c>
      <c r="E116" s="142" t="s">
        <v>1060</v>
      </c>
      <c r="F116" s="142" t="s">
        <v>1061</v>
      </c>
      <c r="G116" s="153" t="s">
        <v>1062</v>
      </c>
      <c r="H116" s="138" t="s">
        <v>131</v>
      </c>
      <c r="I116" s="142" t="s">
        <v>105</v>
      </c>
      <c r="J116" s="142">
        <v>10.0</v>
      </c>
      <c r="K116" s="142" t="s">
        <v>1063</v>
      </c>
      <c r="L116" s="142" t="s">
        <v>141</v>
      </c>
      <c r="M116" s="142" t="s">
        <v>1064</v>
      </c>
      <c r="N116" s="161" t="s">
        <v>1065</v>
      </c>
      <c r="O116" s="142" t="s">
        <v>1066</v>
      </c>
      <c r="P116" s="142" t="s">
        <v>1067</v>
      </c>
      <c r="Q116" s="142" t="s">
        <v>141</v>
      </c>
      <c r="R116" s="160">
        <v>46023.0</v>
      </c>
      <c r="S116" s="160">
        <v>46387.0</v>
      </c>
      <c r="T116" s="142" t="s">
        <v>1068</v>
      </c>
      <c r="U116" s="142" t="s">
        <v>140</v>
      </c>
      <c r="V116" s="143"/>
      <c r="W116" s="149"/>
      <c r="X116" s="142"/>
      <c r="Y116" s="144"/>
    </row>
    <row r="117" ht="33.0" customHeight="1">
      <c r="A117" s="138">
        <v>116.0</v>
      </c>
      <c r="B117" s="142">
        <v>3346.0</v>
      </c>
      <c r="C117" s="142" t="s">
        <v>24</v>
      </c>
      <c r="D117" s="142" t="s">
        <v>1038</v>
      </c>
      <c r="E117" s="142" t="s">
        <v>1069</v>
      </c>
      <c r="F117" s="142" t="s">
        <v>1070</v>
      </c>
      <c r="G117" s="153" t="s">
        <v>1071</v>
      </c>
      <c r="H117" s="138" t="s">
        <v>131</v>
      </c>
      <c r="I117" s="142" t="s">
        <v>105</v>
      </c>
      <c r="J117" s="142">
        <v>10.0</v>
      </c>
      <c r="K117" s="142" t="s">
        <v>169</v>
      </c>
      <c r="L117" s="142" t="s">
        <v>158</v>
      </c>
      <c r="M117" s="142" t="s">
        <v>1072</v>
      </c>
      <c r="N117" s="142">
        <v>9.214842411E9</v>
      </c>
      <c r="O117" s="142" t="s">
        <v>1073</v>
      </c>
      <c r="P117" s="158"/>
      <c r="Q117" s="142" t="s">
        <v>1045</v>
      </c>
      <c r="R117" s="160">
        <v>46023.0</v>
      </c>
      <c r="S117" s="160">
        <v>46387.0</v>
      </c>
      <c r="T117" s="142" t="s">
        <v>1074</v>
      </c>
      <c r="U117" s="142" t="s">
        <v>140</v>
      </c>
      <c r="V117" s="143"/>
      <c r="W117" s="149"/>
      <c r="X117" s="142"/>
      <c r="Y117" s="144"/>
    </row>
    <row r="118" ht="33.0" customHeight="1">
      <c r="A118" s="138">
        <v>117.0</v>
      </c>
      <c r="B118" s="142">
        <v>24471.0</v>
      </c>
      <c r="C118" s="142" t="s">
        <v>24</v>
      </c>
      <c r="D118" s="142" t="s">
        <v>1038</v>
      </c>
      <c r="E118" s="142" t="s">
        <v>1075</v>
      </c>
      <c r="F118" s="142" t="s">
        <v>1076</v>
      </c>
      <c r="G118" s="153" t="s">
        <v>1077</v>
      </c>
      <c r="H118" s="138" t="s">
        <v>131</v>
      </c>
      <c r="I118" s="142" t="s">
        <v>587</v>
      </c>
      <c r="J118" s="142">
        <v>9.0</v>
      </c>
      <c r="K118" s="142" t="s">
        <v>1078</v>
      </c>
      <c r="L118" s="142" t="s">
        <v>141</v>
      </c>
      <c r="M118" s="142" t="s">
        <v>1079</v>
      </c>
      <c r="N118" s="142">
        <v>9.630153084E9</v>
      </c>
      <c r="O118" s="142" t="s">
        <v>1080</v>
      </c>
      <c r="P118" s="142" t="s">
        <v>1081</v>
      </c>
      <c r="Q118" s="142" t="s">
        <v>141</v>
      </c>
      <c r="R118" s="160">
        <v>46023.0</v>
      </c>
      <c r="S118" s="160">
        <v>46387.0</v>
      </c>
      <c r="T118" s="142" t="s">
        <v>1082</v>
      </c>
      <c r="U118" s="142" t="s">
        <v>140</v>
      </c>
      <c r="V118" s="143"/>
      <c r="W118" s="149"/>
      <c r="X118" s="142"/>
      <c r="Y118" s="144"/>
    </row>
    <row r="119" ht="33.0" customHeight="1">
      <c r="A119" s="138">
        <v>118.0</v>
      </c>
      <c r="B119" s="142">
        <v>4213.0</v>
      </c>
      <c r="C119" s="142" t="s">
        <v>24</v>
      </c>
      <c r="D119" s="142" t="s">
        <v>1038</v>
      </c>
      <c r="E119" s="142" t="s">
        <v>1083</v>
      </c>
      <c r="F119" s="142" t="s">
        <v>1084</v>
      </c>
      <c r="G119" s="153" t="s">
        <v>1085</v>
      </c>
      <c r="H119" s="138" t="s">
        <v>131</v>
      </c>
      <c r="I119" s="142" t="s">
        <v>105</v>
      </c>
      <c r="J119" s="142">
        <v>25.0</v>
      </c>
      <c r="K119" s="142" t="s">
        <v>1086</v>
      </c>
      <c r="L119" s="142" t="s">
        <v>158</v>
      </c>
      <c r="M119" s="142" t="s">
        <v>1087</v>
      </c>
      <c r="N119" s="142">
        <v>9.761159755E9</v>
      </c>
      <c r="O119" s="142" t="s">
        <v>1088</v>
      </c>
      <c r="P119" s="142" t="s">
        <v>141</v>
      </c>
      <c r="Q119" s="142" t="s">
        <v>1089</v>
      </c>
      <c r="R119" s="160">
        <v>46023.0</v>
      </c>
      <c r="S119" s="160">
        <v>46387.0</v>
      </c>
      <c r="T119" s="142" t="s">
        <v>1090</v>
      </c>
      <c r="U119" s="142" t="s">
        <v>140</v>
      </c>
      <c r="V119" s="143"/>
      <c r="W119" s="149"/>
      <c r="X119" s="142"/>
      <c r="Y119" s="144"/>
    </row>
    <row r="120" ht="33.0" customHeight="1">
      <c r="A120" s="138">
        <v>119.0</v>
      </c>
      <c r="B120" s="142">
        <v>30126.0</v>
      </c>
      <c r="C120" s="142" t="s">
        <v>24</v>
      </c>
      <c r="D120" s="142" t="s">
        <v>1038</v>
      </c>
      <c r="E120" s="142" t="s">
        <v>1091</v>
      </c>
      <c r="F120" s="142" t="s">
        <v>1092</v>
      </c>
      <c r="G120" s="153" t="s">
        <v>1093</v>
      </c>
      <c r="H120" s="138" t="s">
        <v>131</v>
      </c>
      <c r="I120" s="142" t="s">
        <v>105</v>
      </c>
      <c r="J120" s="142">
        <v>15.0</v>
      </c>
      <c r="K120" s="142" t="s">
        <v>1094</v>
      </c>
      <c r="L120" s="142" t="s">
        <v>141</v>
      </c>
      <c r="M120" s="142" t="s">
        <v>1095</v>
      </c>
      <c r="N120" s="161" t="s">
        <v>1096</v>
      </c>
      <c r="O120" s="142" t="s">
        <v>1097</v>
      </c>
      <c r="P120" s="142" t="s">
        <v>1098</v>
      </c>
      <c r="Q120" s="142" t="s">
        <v>141</v>
      </c>
      <c r="R120" s="160">
        <v>46023.0</v>
      </c>
      <c r="S120" s="160">
        <v>46387.0</v>
      </c>
      <c r="T120" s="142" t="s">
        <v>1099</v>
      </c>
      <c r="U120" s="142" t="s">
        <v>140</v>
      </c>
      <c r="V120" s="143"/>
      <c r="W120" s="149"/>
      <c r="X120" s="142"/>
      <c r="Y120" s="148"/>
    </row>
    <row r="121" ht="33.0" customHeight="1">
      <c r="A121" s="138">
        <v>120.0</v>
      </c>
      <c r="B121" s="142">
        <v>246.0</v>
      </c>
      <c r="C121" s="142" t="s">
        <v>24</v>
      </c>
      <c r="D121" s="142" t="s">
        <v>1038</v>
      </c>
      <c r="E121" s="142" t="s">
        <v>981</v>
      </c>
      <c r="F121" s="142" t="s">
        <v>1100</v>
      </c>
      <c r="G121" s="153" t="s">
        <v>1101</v>
      </c>
      <c r="H121" s="138" t="s">
        <v>131</v>
      </c>
      <c r="I121" s="142" t="s">
        <v>105</v>
      </c>
      <c r="J121" s="142">
        <v>15.0</v>
      </c>
      <c r="K121" s="142" t="s">
        <v>1102</v>
      </c>
      <c r="L121" s="142" t="s">
        <v>158</v>
      </c>
      <c r="M121" s="142" t="s">
        <v>1103</v>
      </c>
      <c r="N121" s="161" t="s">
        <v>1104</v>
      </c>
      <c r="O121" s="142" t="s">
        <v>1105</v>
      </c>
      <c r="P121" s="142" t="s">
        <v>1106</v>
      </c>
      <c r="Q121" s="142" t="s">
        <v>141</v>
      </c>
      <c r="R121" s="160">
        <v>46023.0</v>
      </c>
      <c r="S121" s="160">
        <v>46387.0</v>
      </c>
      <c r="T121" s="142" t="s">
        <v>1107</v>
      </c>
      <c r="U121" s="142" t="s">
        <v>140</v>
      </c>
      <c r="V121" s="143"/>
      <c r="W121" s="142" t="s">
        <v>1108</v>
      </c>
      <c r="X121" s="142"/>
      <c r="Y121" s="148"/>
    </row>
    <row r="122" ht="33.0" customHeight="1">
      <c r="A122" s="138">
        <v>121.0</v>
      </c>
      <c r="B122" s="142">
        <v>2462.0</v>
      </c>
      <c r="C122" s="142" t="s">
        <v>24</v>
      </c>
      <c r="D122" s="142" t="s">
        <v>1038</v>
      </c>
      <c r="E122" s="142" t="s">
        <v>1109</v>
      </c>
      <c r="F122" s="142" t="s">
        <v>1110</v>
      </c>
      <c r="G122" s="153" t="s">
        <v>1111</v>
      </c>
      <c r="H122" s="138" t="s">
        <v>131</v>
      </c>
      <c r="I122" s="142" t="s">
        <v>105</v>
      </c>
      <c r="J122" s="142">
        <v>25.0</v>
      </c>
      <c r="K122" s="142" t="s">
        <v>1112</v>
      </c>
      <c r="L122" s="142" t="s">
        <v>141</v>
      </c>
      <c r="M122" s="142" t="s">
        <v>1113</v>
      </c>
      <c r="N122" s="161" t="s">
        <v>1114</v>
      </c>
      <c r="O122" s="142" t="s">
        <v>1115</v>
      </c>
      <c r="P122" s="142" t="s">
        <v>1116</v>
      </c>
      <c r="Q122" s="142" t="s">
        <v>141</v>
      </c>
      <c r="R122" s="160">
        <v>46023.0</v>
      </c>
      <c r="S122" s="160">
        <v>46387.0</v>
      </c>
      <c r="T122" s="142" t="s">
        <v>1117</v>
      </c>
      <c r="U122" s="142" t="s">
        <v>140</v>
      </c>
      <c r="V122" s="143"/>
      <c r="W122" s="149"/>
      <c r="X122" s="142"/>
      <c r="Y122" s="148"/>
    </row>
    <row r="123" ht="33.0" customHeight="1">
      <c r="A123" s="138">
        <v>122.0</v>
      </c>
      <c r="B123" s="142">
        <v>60.0</v>
      </c>
      <c r="C123" s="142" t="s">
        <v>24</v>
      </c>
      <c r="D123" s="142" t="s">
        <v>1038</v>
      </c>
      <c r="E123" s="142" t="s">
        <v>1118</v>
      </c>
      <c r="F123" s="142" t="s">
        <v>1119</v>
      </c>
      <c r="G123" s="153" t="s">
        <v>1120</v>
      </c>
      <c r="H123" s="138" t="s">
        <v>131</v>
      </c>
      <c r="I123" s="142" t="s">
        <v>105</v>
      </c>
      <c r="J123" s="142">
        <v>10.0</v>
      </c>
      <c r="K123" s="142" t="s">
        <v>428</v>
      </c>
      <c r="L123" s="142" t="s">
        <v>141</v>
      </c>
      <c r="M123" s="142" t="s">
        <v>1121</v>
      </c>
      <c r="N123" s="161" t="s">
        <v>1122</v>
      </c>
      <c r="O123" s="142" t="s">
        <v>1123</v>
      </c>
      <c r="P123" s="142" t="s">
        <v>428</v>
      </c>
      <c r="Q123" s="142" t="s">
        <v>1124</v>
      </c>
      <c r="R123" s="160">
        <v>46023.0</v>
      </c>
      <c r="S123" s="160">
        <v>46387.0</v>
      </c>
      <c r="T123" s="142" t="s">
        <v>1125</v>
      </c>
      <c r="U123" s="142" t="s">
        <v>140</v>
      </c>
      <c r="V123" s="143"/>
      <c r="W123" s="149"/>
      <c r="X123" s="142"/>
      <c r="Y123" s="143"/>
    </row>
    <row r="124" ht="33.0" customHeight="1">
      <c r="A124" s="138">
        <v>123.0</v>
      </c>
      <c r="B124" s="142">
        <v>24002.0</v>
      </c>
      <c r="C124" s="142" t="s">
        <v>24</v>
      </c>
      <c r="D124" s="142" t="s">
        <v>1038</v>
      </c>
      <c r="E124" s="142" t="s">
        <v>1126</v>
      </c>
      <c r="F124" s="142" t="s">
        <v>1127</v>
      </c>
      <c r="G124" s="153" t="s">
        <v>1128</v>
      </c>
      <c r="H124" s="138" t="s">
        <v>131</v>
      </c>
      <c r="I124" s="142" t="s">
        <v>105</v>
      </c>
      <c r="J124" s="142">
        <v>10.0</v>
      </c>
      <c r="K124" s="142" t="s">
        <v>1129</v>
      </c>
      <c r="L124" s="142" t="s">
        <v>158</v>
      </c>
      <c r="M124" s="142" t="s">
        <v>1130</v>
      </c>
      <c r="N124" s="161" t="s">
        <v>1131</v>
      </c>
      <c r="O124" s="142" t="s">
        <v>1132</v>
      </c>
      <c r="P124" s="142" t="s">
        <v>1133</v>
      </c>
      <c r="Q124" s="142" t="s">
        <v>141</v>
      </c>
      <c r="R124" s="160">
        <v>46023.0</v>
      </c>
      <c r="S124" s="160">
        <v>46387.0</v>
      </c>
      <c r="T124" s="142" t="s">
        <v>1134</v>
      </c>
      <c r="U124" s="142" t="s">
        <v>140</v>
      </c>
      <c r="V124" s="143"/>
      <c r="W124" s="149"/>
      <c r="X124" s="142"/>
      <c r="Y124" s="148"/>
    </row>
    <row r="125" ht="33.0" customHeight="1">
      <c r="A125" s="138">
        <v>124.0</v>
      </c>
      <c r="B125" s="142">
        <v>2014.0</v>
      </c>
      <c r="C125" s="142" t="s">
        <v>24</v>
      </c>
      <c r="D125" s="142" t="s">
        <v>1038</v>
      </c>
      <c r="E125" s="142" t="s">
        <v>1135</v>
      </c>
      <c r="F125" s="142" t="s">
        <v>1136</v>
      </c>
      <c r="G125" s="153" t="s">
        <v>1137</v>
      </c>
      <c r="H125" s="138" t="s">
        <v>131</v>
      </c>
      <c r="I125" s="142" t="s">
        <v>105</v>
      </c>
      <c r="J125" s="142">
        <v>9.0</v>
      </c>
      <c r="K125" s="142" t="s">
        <v>200</v>
      </c>
      <c r="L125" s="142" t="s">
        <v>141</v>
      </c>
      <c r="M125" s="142" t="s">
        <v>1138</v>
      </c>
      <c r="N125" s="161" t="s">
        <v>1139</v>
      </c>
      <c r="O125" s="142" t="s">
        <v>1140</v>
      </c>
      <c r="P125" s="142" t="s">
        <v>141</v>
      </c>
      <c r="Q125" s="142" t="s">
        <v>1045</v>
      </c>
      <c r="R125" s="160">
        <v>46023.0</v>
      </c>
      <c r="S125" s="160">
        <v>46387.0</v>
      </c>
      <c r="T125" s="142" t="s">
        <v>1141</v>
      </c>
      <c r="U125" s="142" t="s">
        <v>140</v>
      </c>
      <c r="V125" s="143"/>
      <c r="W125" s="149"/>
      <c r="X125" s="142"/>
      <c r="Y125" s="148"/>
    </row>
    <row r="126" ht="33.0" customHeight="1">
      <c r="A126" s="138">
        <v>125.0</v>
      </c>
      <c r="B126" s="138">
        <v>2060.0</v>
      </c>
      <c r="C126" s="138" t="s">
        <v>24</v>
      </c>
      <c r="D126" s="138" t="s">
        <v>1038</v>
      </c>
      <c r="E126" s="138" t="s">
        <v>1135</v>
      </c>
      <c r="F126" s="138" t="s">
        <v>1142</v>
      </c>
      <c r="G126" s="153" t="s">
        <v>1143</v>
      </c>
      <c r="H126" s="138" t="s">
        <v>131</v>
      </c>
      <c r="I126" s="138" t="s">
        <v>105</v>
      </c>
      <c r="J126" s="138">
        <v>10.0</v>
      </c>
      <c r="K126" s="138" t="s">
        <v>1144</v>
      </c>
      <c r="L126" s="138" t="s">
        <v>158</v>
      </c>
      <c r="M126" s="138" t="s">
        <v>1145</v>
      </c>
      <c r="N126" s="161" t="s">
        <v>1146</v>
      </c>
      <c r="O126" s="138" t="s">
        <v>1147</v>
      </c>
      <c r="P126" s="138" t="s">
        <v>1148</v>
      </c>
      <c r="Q126" s="138" t="s">
        <v>141</v>
      </c>
      <c r="R126" s="141">
        <v>46023.0</v>
      </c>
      <c r="S126" s="141">
        <v>46387.0</v>
      </c>
      <c r="T126" s="138" t="s">
        <v>1149</v>
      </c>
      <c r="U126" s="142" t="s">
        <v>140</v>
      </c>
      <c r="V126" s="143"/>
      <c r="W126" s="143"/>
      <c r="X126" s="138"/>
      <c r="Y126" s="148"/>
    </row>
    <row r="127" ht="33.0" customHeight="1">
      <c r="A127" s="138">
        <v>126.0</v>
      </c>
      <c r="B127" s="142">
        <v>3862.0</v>
      </c>
      <c r="C127" s="142" t="s">
        <v>24</v>
      </c>
      <c r="D127" s="142" t="s">
        <v>1150</v>
      </c>
      <c r="E127" s="142" t="s">
        <v>1151</v>
      </c>
      <c r="F127" s="142" t="s">
        <v>1152</v>
      </c>
      <c r="G127" s="153" t="s">
        <v>1153</v>
      </c>
      <c r="H127" s="138" t="s">
        <v>131</v>
      </c>
      <c r="I127" s="142" t="s">
        <v>105</v>
      </c>
      <c r="J127" s="142">
        <v>15.0</v>
      </c>
      <c r="K127" s="142" t="s">
        <v>1154</v>
      </c>
      <c r="L127" s="142" t="s">
        <v>158</v>
      </c>
      <c r="M127" s="142" t="s">
        <v>1155</v>
      </c>
      <c r="N127" s="142">
        <v>9.503931003E9</v>
      </c>
      <c r="O127" s="142" t="s">
        <v>1156</v>
      </c>
      <c r="P127" s="142" t="s">
        <v>141</v>
      </c>
      <c r="Q127" s="142" t="s">
        <v>1157</v>
      </c>
      <c r="R127" s="160">
        <v>46023.0</v>
      </c>
      <c r="S127" s="160">
        <v>46387.0</v>
      </c>
      <c r="T127" s="142" t="s">
        <v>1158</v>
      </c>
      <c r="U127" s="142" t="s">
        <v>140</v>
      </c>
      <c r="V127" s="143"/>
      <c r="W127" s="149"/>
      <c r="X127" s="142"/>
      <c r="Y127" s="148"/>
    </row>
    <row r="128" ht="33.0" customHeight="1">
      <c r="A128" s="138">
        <v>127.0</v>
      </c>
      <c r="B128" s="142">
        <v>4966.0</v>
      </c>
      <c r="C128" s="142" t="s">
        <v>24</v>
      </c>
      <c r="D128" s="142" t="s">
        <v>1150</v>
      </c>
      <c r="E128" s="142" t="s">
        <v>1159</v>
      </c>
      <c r="F128" s="142" t="s">
        <v>1160</v>
      </c>
      <c r="G128" s="153" t="s">
        <v>1161</v>
      </c>
      <c r="H128" s="138" t="s">
        <v>131</v>
      </c>
      <c r="I128" s="142" t="s">
        <v>105</v>
      </c>
      <c r="J128" s="142">
        <v>10.0</v>
      </c>
      <c r="K128" s="142" t="s">
        <v>861</v>
      </c>
      <c r="L128" s="142" t="s">
        <v>158</v>
      </c>
      <c r="M128" s="142" t="s">
        <v>1162</v>
      </c>
      <c r="N128" s="161" t="s">
        <v>1163</v>
      </c>
      <c r="O128" s="142" t="s">
        <v>1164</v>
      </c>
      <c r="P128" s="142" t="s">
        <v>141</v>
      </c>
      <c r="Q128" s="142" t="s">
        <v>1157</v>
      </c>
      <c r="R128" s="160">
        <v>46023.0</v>
      </c>
      <c r="S128" s="160">
        <v>46387.0</v>
      </c>
      <c r="T128" s="142" t="s">
        <v>1165</v>
      </c>
      <c r="U128" s="142" t="s">
        <v>140</v>
      </c>
      <c r="V128" s="143"/>
      <c r="W128" s="149"/>
      <c r="X128" s="142"/>
      <c r="Y128" s="148"/>
    </row>
    <row r="129" ht="33.0" customHeight="1">
      <c r="A129" s="138">
        <v>128.0</v>
      </c>
      <c r="B129" s="142">
        <v>4575.0</v>
      </c>
      <c r="C129" s="142" t="s">
        <v>24</v>
      </c>
      <c r="D129" s="142" t="s">
        <v>1150</v>
      </c>
      <c r="E129" s="142" t="s">
        <v>1166</v>
      </c>
      <c r="F129" s="142" t="s">
        <v>1167</v>
      </c>
      <c r="G129" s="153" t="s">
        <v>1168</v>
      </c>
      <c r="H129" s="138" t="s">
        <v>131</v>
      </c>
      <c r="I129" s="142" t="s">
        <v>105</v>
      </c>
      <c r="J129" s="142">
        <v>15.0</v>
      </c>
      <c r="K129" s="142" t="s">
        <v>1169</v>
      </c>
      <c r="L129" s="142" t="s">
        <v>158</v>
      </c>
      <c r="M129" s="142" t="s">
        <v>1170</v>
      </c>
      <c r="N129" s="142">
        <v>9.672470696E9</v>
      </c>
      <c r="O129" s="142" t="s">
        <v>1171</v>
      </c>
      <c r="P129" s="142" t="s">
        <v>141</v>
      </c>
      <c r="Q129" s="142" t="s">
        <v>1172</v>
      </c>
      <c r="R129" s="160">
        <v>46023.0</v>
      </c>
      <c r="S129" s="160">
        <v>46387.0</v>
      </c>
      <c r="T129" s="142" t="s">
        <v>1173</v>
      </c>
      <c r="U129" s="142" t="s">
        <v>140</v>
      </c>
      <c r="V129" s="143"/>
      <c r="W129" s="149"/>
      <c r="X129" s="142"/>
      <c r="Y129" s="148"/>
    </row>
    <row r="130" ht="33.0" customHeight="1">
      <c r="A130" s="138">
        <v>129.0</v>
      </c>
      <c r="B130" s="138">
        <v>5162.0</v>
      </c>
      <c r="C130" s="138" t="s">
        <v>24</v>
      </c>
      <c r="D130" s="138" t="s">
        <v>1174</v>
      </c>
      <c r="E130" s="138" t="s">
        <v>1175</v>
      </c>
      <c r="F130" s="138" t="s">
        <v>1176</v>
      </c>
      <c r="G130" s="140" t="s">
        <v>1177</v>
      </c>
      <c r="H130" s="138" t="s">
        <v>131</v>
      </c>
      <c r="I130" s="138" t="s">
        <v>105</v>
      </c>
      <c r="J130" s="138">
        <v>14.0</v>
      </c>
      <c r="K130" s="138" t="s">
        <v>1178</v>
      </c>
      <c r="L130" s="138" t="s">
        <v>141</v>
      </c>
      <c r="M130" s="138" t="s">
        <v>1179</v>
      </c>
      <c r="N130" s="138">
        <v>9.319910381E9</v>
      </c>
      <c r="O130" s="138" t="s">
        <v>1180</v>
      </c>
      <c r="P130" s="138" t="s">
        <v>141</v>
      </c>
      <c r="Q130" s="138" t="s">
        <v>1181</v>
      </c>
      <c r="R130" s="141">
        <v>46023.0</v>
      </c>
      <c r="S130" s="141">
        <v>46387.0</v>
      </c>
      <c r="T130" s="142" t="s">
        <v>1182</v>
      </c>
      <c r="U130" s="142" t="s">
        <v>140</v>
      </c>
      <c r="V130" s="143"/>
      <c r="W130" s="143"/>
      <c r="X130" s="138"/>
      <c r="Y130" s="148"/>
    </row>
    <row r="131" ht="33.0" customHeight="1">
      <c r="A131" s="138">
        <v>130.0</v>
      </c>
      <c r="B131" s="142">
        <v>3026.0</v>
      </c>
      <c r="C131" s="142" t="s">
        <v>24</v>
      </c>
      <c r="D131" s="142" t="s">
        <v>1174</v>
      </c>
      <c r="E131" s="142" t="s">
        <v>1183</v>
      </c>
      <c r="F131" s="142" t="s">
        <v>1184</v>
      </c>
      <c r="G131" s="153" t="s">
        <v>1185</v>
      </c>
      <c r="H131" s="138" t="s">
        <v>131</v>
      </c>
      <c r="I131" s="142" t="s">
        <v>105</v>
      </c>
      <c r="J131" s="142">
        <v>10.0</v>
      </c>
      <c r="K131" s="142" t="s">
        <v>169</v>
      </c>
      <c r="L131" s="142" t="s">
        <v>158</v>
      </c>
      <c r="M131" s="142" t="s">
        <v>1186</v>
      </c>
      <c r="N131" s="161" t="s">
        <v>1187</v>
      </c>
      <c r="O131" s="142" t="s">
        <v>1188</v>
      </c>
      <c r="P131" s="142" t="s">
        <v>141</v>
      </c>
      <c r="Q131" s="142" t="s">
        <v>1181</v>
      </c>
      <c r="R131" s="160">
        <v>46023.0</v>
      </c>
      <c r="S131" s="160">
        <v>46387.0</v>
      </c>
      <c r="T131" s="142" t="s">
        <v>1189</v>
      </c>
      <c r="U131" s="142" t="s">
        <v>140</v>
      </c>
      <c r="V131" s="143"/>
      <c r="W131" s="149"/>
      <c r="X131" s="142"/>
      <c r="Y131" s="144"/>
    </row>
    <row r="132" ht="33.0" customHeight="1">
      <c r="A132" s="138">
        <v>131.0</v>
      </c>
      <c r="B132" s="142">
        <v>239.0</v>
      </c>
      <c r="C132" s="142" t="s">
        <v>24</v>
      </c>
      <c r="D132" s="142" t="s">
        <v>1174</v>
      </c>
      <c r="E132" s="142" t="s">
        <v>1190</v>
      </c>
      <c r="F132" s="142" t="s">
        <v>1191</v>
      </c>
      <c r="G132" s="153" t="s">
        <v>1192</v>
      </c>
      <c r="H132" s="138" t="s">
        <v>131</v>
      </c>
      <c r="I132" s="142" t="s">
        <v>105</v>
      </c>
      <c r="J132" s="142">
        <v>10.0</v>
      </c>
      <c r="K132" s="142" t="s">
        <v>1193</v>
      </c>
      <c r="L132" s="142" t="s">
        <v>158</v>
      </c>
      <c r="M132" s="142" t="s">
        <v>1194</v>
      </c>
      <c r="N132" s="142">
        <v>9.171750435E9</v>
      </c>
      <c r="O132" s="142" t="s">
        <v>1195</v>
      </c>
      <c r="P132" s="142" t="s">
        <v>141</v>
      </c>
      <c r="Q132" s="142" t="s">
        <v>1181</v>
      </c>
      <c r="R132" s="160">
        <v>46023.0</v>
      </c>
      <c r="S132" s="160">
        <v>46387.0</v>
      </c>
      <c r="T132" s="142" t="s">
        <v>1196</v>
      </c>
      <c r="U132" s="142" t="s">
        <v>140</v>
      </c>
      <c r="V132" s="143"/>
      <c r="W132" s="149"/>
      <c r="X132" s="142"/>
      <c r="Y132" s="144"/>
    </row>
    <row r="133" ht="33.0" customHeight="1">
      <c r="A133" s="138">
        <v>132.0</v>
      </c>
      <c r="B133" s="142">
        <v>2129.0</v>
      </c>
      <c r="C133" s="142" t="s">
        <v>24</v>
      </c>
      <c r="D133" s="142" t="s">
        <v>1174</v>
      </c>
      <c r="E133" s="142" t="s">
        <v>1197</v>
      </c>
      <c r="F133" s="142" t="s">
        <v>1198</v>
      </c>
      <c r="G133" s="153" t="s">
        <v>1199</v>
      </c>
      <c r="H133" s="138" t="s">
        <v>131</v>
      </c>
      <c r="I133" s="142" t="s">
        <v>105</v>
      </c>
      <c r="J133" s="142">
        <v>25.0</v>
      </c>
      <c r="K133" s="142" t="s">
        <v>1200</v>
      </c>
      <c r="L133" s="142" t="s">
        <v>158</v>
      </c>
      <c r="M133" s="142" t="s">
        <v>1201</v>
      </c>
      <c r="N133" s="142" t="s">
        <v>1202</v>
      </c>
      <c r="O133" s="142" t="s">
        <v>1203</v>
      </c>
      <c r="P133" s="142" t="s">
        <v>141</v>
      </c>
      <c r="Q133" s="142" t="s">
        <v>1181</v>
      </c>
      <c r="R133" s="160">
        <v>46023.0</v>
      </c>
      <c r="S133" s="160">
        <v>46387.0</v>
      </c>
      <c r="T133" s="142" t="s">
        <v>1204</v>
      </c>
      <c r="U133" s="142" t="s">
        <v>140</v>
      </c>
      <c r="V133" s="143"/>
      <c r="W133" s="149"/>
      <c r="X133" s="142"/>
      <c r="Y133" s="144"/>
    </row>
    <row r="134" ht="33.0" customHeight="1">
      <c r="A134" s="138">
        <v>133.0</v>
      </c>
      <c r="B134" s="142">
        <v>3408.0</v>
      </c>
      <c r="C134" s="142" t="s">
        <v>24</v>
      </c>
      <c r="D134" s="142" t="s">
        <v>1174</v>
      </c>
      <c r="E134" s="142" t="s">
        <v>1205</v>
      </c>
      <c r="F134" s="142" t="s">
        <v>1206</v>
      </c>
      <c r="G134" s="153" t="s">
        <v>1207</v>
      </c>
      <c r="H134" s="138" t="s">
        <v>131</v>
      </c>
      <c r="I134" s="142" t="s">
        <v>105</v>
      </c>
      <c r="J134" s="142">
        <v>10.0</v>
      </c>
      <c r="K134" s="142" t="s">
        <v>1208</v>
      </c>
      <c r="L134" s="142" t="s">
        <v>158</v>
      </c>
      <c r="M134" s="142" t="s">
        <v>1209</v>
      </c>
      <c r="N134" s="142">
        <v>9.08529193E9</v>
      </c>
      <c r="O134" s="142" t="s">
        <v>1210</v>
      </c>
      <c r="P134" s="142" t="s">
        <v>1211</v>
      </c>
      <c r="Q134" s="142" t="s">
        <v>141</v>
      </c>
      <c r="R134" s="160">
        <v>46023.0</v>
      </c>
      <c r="S134" s="160">
        <v>46387.0</v>
      </c>
      <c r="T134" s="142" t="s">
        <v>1212</v>
      </c>
      <c r="U134" s="142" t="s">
        <v>140</v>
      </c>
      <c r="V134" s="143"/>
      <c r="W134" s="149"/>
      <c r="X134" s="142"/>
      <c r="Y134" s="148"/>
    </row>
    <row r="135" ht="33.0" customHeight="1">
      <c r="A135" s="138">
        <v>134.0</v>
      </c>
      <c r="B135" s="142">
        <v>1994.0</v>
      </c>
      <c r="C135" s="142" t="s">
        <v>24</v>
      </c>
      <c r="D135" s="142" t="s">
        <v>1174</v>
      </c>
      <c r="E135" s="142" t="s">
        <v>1213</v>
      </c>
      <c r="F135" s="142" t="s">
        <v>1214</v>
      </c>
      <c r="G135" s="153" t="s">
        <v>1215</v>
      </c>
      <c r="H135" s="138" t="s">
        <v>131</v>
      </c>
      <c r="I135" s="142" t="s">
        <v>105</v>
      </c>
      <c r="J135" s="142">
        <v>15.0</v>
      </c>
      <c r="K135" s="142" t="s">
        <v>274</v>
      </c>
      <c r="L135" s="142" t="s">
        <v>141</v>
      </c>
      <c r="M135" s="142" t="s">
        <v>1216</v>
      </c>
      <c r="N135" s="142">
        <v>9.202873987E9</v>
      </c>
      <c r="O135" s="142" t="s">
        <v>1217</v>
      </c>
      <c r="P135" s="142" t="s">
        <v>141</v>
      </c>
      <c r="Q135" s="142" t="s">
        <v>1181</v>
      </c>
      <c r="R135" s="160">
        <v>46023.0</v>
      </c>
      <c r="S135" s="160">
        <v>46387.0</v>
      </c>
      <c r="T135" s="142" t="s">
        <v>1218</v>
      </c>
      <c r="U135" s="142" t="s">
        <v>140</v>
      </c>
      <c r="V135" s="143"/>
      <c r="W135" s="149"/>
      <c r="X135" s="142"/>
      <c r="Y135" s="144"/>
    </row>
    <row r="136" ht="33.0" customHeight="1">
      <c r="A136" s="138">
        <v>135.0</v>
      </c>
      <c r="B136" s="142">
        <v>4122.0</v>
      </c>
      <c r="C136" s="142" t="s">
        <v>24</v>
      </c>
      <c r="D136" s="142" t="s">
        <v>1174</v>
      </c>
      <c r="E136" s="142" t="s">
        <v>1219</v>
      </c>
      <c r="F136" s="142" t="s">
        <v>1220</v>
      </c>
      <c r="G136" s="153" t="s">
        <v>1221</v>
      </c>
      <c r="H136" s="138" t="s">
        <v>131</v>
      </c>
      <c r="I136" s="142" t="s">
        <v>105</v>
      </c>
      <c r="J136" s="142">
        <v>25.0</v>
      </c>
      <c r="K136" s="142" t="s">
        <v>1222</v>
      </c>
      <c r="L136" s="142" t="s">
        <v>158</v>
      </c>
      <c r="M136" s="142" t="s">
        <v>1223</v>
      </c>
      <c r="N136" s="142">
        <v>9.669841778E9</v>
      </c>
      <c r="O136" s="142" t="s">
        <v>1224</v>
      </c>
      <c r="P136" s="142" t="s">
        <v>1225</v>
      </c>
      <c r="Q136" s="142" t="s">
        <v>141</v>
      </c>
      <c r="R136" s="160">
        <v>46023.0</v>
      </c>
      <c r="S136" s="160">
        <v>46387.0</v>
      </c>
      <c r="T136" s="142" t="s">
        <v>1226</v>
      </c>
      <c r="U136" s="142" t="s">
        <v>140</v>
      </c>
      <c r="V136" s="143"/>
      <c r="W136" s="149"/>
      <c r="X136" s="142"/>
      <c r="Y136" s="148"/>
    </row>
    <row r="137" ht="33.0" customHeight="1">
      <c r="A137" s="138">
        <v>136.0</v>
      </c>
      <c r="B137" s="142">
        <v>2163.0</v>
      </c>
      <c r="C137" s="142" t="s">
        <v>24</v>
      </c>
      <c r="D137" s="142" t="s">
        <v>1227</v>
      </c>
      <c r="E137" s="142" t="s">
        <v>1228</v>
      </c>
      <c r="F137" s="142" t="s">
        <v>1229</v>
      </c>
      <c r="G137" s="153" t="s">
        <v>1230</v>
      </c>
      <c r="H137" s="138" t="s">
        <v>131</v>
      </c>
      <c r="I137" s="142" t="s">
        <v>105</v>
      </c>
      <c r="J137" s="142">
        <v>10.0</v>
      </c>
      <c r="K137" s="142" t="s">
        <v>1231</v>
      </c>
      <c r="L137" s="142" t="s">
        <v>158</v>
      </c>
      <c r="M137" s="142" t="s">
        <v>1232</v>
      </c>
      <c r="N137" s="161" t="s">
        <v>1233</v>
      </c>
      <c r="O137" s="142" t="s">
        <v>1234</v>
      </c>
      <c r="P137" s="142" t="s">
        <v>993</v>
      </c>
      <c r="Q137" s="142" t="s">
        <v>1235</v>
      </c>
      <c r="R137" s="160">
        <v>46023.0</v>
      </c>
      <c r="S137" s="160">
        <v>46387.0</v>
      </c>
      <c r="T137" s="142" t="s">
        <v>1236</v>
      </c>
      <c r="U137" s="142" t="s">
        <v>140</v>
      </c>
      <c r="V137" s="143"/>
      <c r="W137" s="149"/>
      <c r="X137" s="142"/>
      <c r="Y137" s="148"/>
    </row>
    <row r="138" ht="33.0" customHeight="1">
      <c r="A138" s="138">
        <v>137.0</v>
      </c>
      <c r="B138" s="142">
        <v>2025.0</v>
      </c>
      <c r="C138" s="142" t="s">
        <v>24</v>
      </c>
      <c r="D138" s="142" t="s">
        <v>1227</v>
      </c>
      <c r="E138" s="142" t="s">
        <v>84</v>
      </c>
      <c r="F138" s="142" t="s">
        <v>1237</v>
      </c>
      <c r="G138" s="153" t="s">
        <v>1238</v>
      </c>
      <c r="H138" s="138" t="s">
        <v>131</v>
      </c>
      <c r="I138" s="142" t="s">
        <v>105</v>
      </c>
      <c r="J138" s="142">
        <v>15.0</v>
      </c>
      <c r="K138" s="142" t="s">
        <v>200</v>
      </c>
      <c r="L138" s="142" t="s">
        <v>141</v>
      </c>
      <c r="M138" s="142" t="s">
        <v>1239</v>
      </c>
      <c r="N138" s="142">
        <v>9.424486118E9</v>
      </c>
      <c r="O138" s="142" t="s">
        <v>1240</v>
      </c>
      <c r="P138" s="142" t="s">
        <v>141</v>
      </c>
      <c r="Q138" s="142" t="s">
        <v>1235</v>
      </c>
      <c r="R138" s="160">
        <v>46023.0</v>
      </c>
      <c r="S138" s="160">
        <v>46387.0</v>
      </c>
      <c r="T138" s="142" t="s">
        <v>1241</v>
      </c>
      <c r="U138" s="142" t="s">
        <v>140</v>
      </c>
      <c r="V138" s="143"/>
      <c r="W138" s="149"/>
      <c r="X138" s="142"/>
      <c r="Y138" s="144"/>
    </row>
    <row r="139" ht="33.0" customHeight="1">
      <c r="A139" s="138">
        <v>138.0</v>
      </c>
      <c r="B139" s="142">
        <v>3100.0</v>
      </c>
      <c r="C139" s="142" t="s">
        <v>24</v>
      </c>
      <c r="D139" s="142" t="s">
        <v>1227</v>
      </c>
      <c r="E139" s="142" t="s">
        <v>1242</v>
      </c>
      <c r="F139" s="142" t="s">
        <v>1243</v>
      </c>
      <c r="G139" s="153" t="s">
        <v>1244</v>
      </c>
      <c r="H139" s="138" t="s">
        <v>131</v>
      </c>
      <c r="I139" s="142" t="s">
        <v>105</v>
      </c>
      <c r="J139" s="142">
        <v>15.0</v>
      </c>
      <c r="K139" s="142" t="s">
        <v>1245</v>
      </c>
      <c r="L139" s="142" t="s">
        <v>158</v>
      </c>
      <c r="M139" s="142" t="s">
        <v>1246</v>
      </c>
      <c r="N139" s="142">
        <v>9.399045812E9</v>
      </c>
      <c r="O139" s="142" t="s">
        <v>1247</v>
      </c>
      <c r="P139" s="142" t="s">
        <v>141</v>
      </c>
      <c r="Q139" s="142" t="s">
        <v>1235</v>
      </c>
      <c r="R139" s="160">
        <v>46023.0</v>
      </c>
      <c r="S139" s="160">
        <v>46387.0</v>
      </c>
      <c r="T139" s="142" t="s">
        <v>1248</v>
      </c>
      <c r="U139" s="142" t="s">
        <v>140</v>
      </c>
      <c r="V139" s="143"/>
      <c r="W139" s="149"/>
      <c r="X139" s="142"/>
      <c r="Y139" s="144"/>
    </row>
    <row r="140" ht="33.0" customHeight="1">
      <c r="A140" s="138">
        <v>139.0</v>
      </c>
      <c r="B140" s="142">
        <v>3547.0</v>
      </c>
      <c r="C140" s="142" t="s">
        <v>24</v>
      </c>
      <c r="D140" s="142" t="s">
        <v>1227</v>
      </c>
      <c r="E140" s="142" t="s">
        <v>1249</v>
      </c>
      <c r="F140" s="142" t="s">
        <v>1250</v>
      </c>
      <c r="G140" s="153" t="s">
        <v>1251</v>
      </c>
      <c r="H140" s="138" t="s">
        <v>131</v>
      </c>
      <c r="I140" s="142" t="s">
        <v>105</v>
      </c>
      <c r="J140" s="142">
        <v>10.0</v>
      </c>
      <c r="K140" s="142" t="s">
        <v>274</v>
      </c>
      <c r="L140" s="142" t="s">
        <v>141</v>
      </c>
      <c r="M140" s="142" t="s">
        <v>1252</v>
      </c>
      <c r="N140" s="142">
        <v>9.205119855E9</v>
      </c>
      <c r="O140" s="142" t="s">
        <v>1253</v>
      </c>
      <c r="P140" s="142" t="s">
        <v>141</v>
      </c>
      <c r="Q140" s="142" t="s">
        <v>1235</v>
      </c>
      <c r="R140" s="160">
        <v>46023.0</v>
      </c>
      <c r="S140" s="160">
        <v>46387.0</v>
      </c>
      <c r="T140" s="142" t="s">
        <v>1254</v>
      </c>
      <c r="U140" s="142" t="s">
        <v>140</v>
      </c>
      <c r="V140" s="143"/>
      <c r="W140" s="149"/>
      <c r="X140" s="142"/>
      <c r="Y140" s="148"/>
    </row>
    <row r="141" ht="33.0" customHeight="1">
      <c r="A141" s="138">
        <v>140.0</v>
      </c>
      <c r="B141" s="138">
        <v>2960.0</v>
      </c>
      <c r="C141" s="138" t="s">
        <v>26</v>
      </c>
      <c r="D141" s="138" t="s">
        <v>1255</v>
      </c>
      <c r="E141" s="138" t="s">
        <v>1256</v>
      </c>
      <c r="F141" s="138" t="s">
        <v>434</v>
      </c>
      <c r="G141" s="153" t="s">
        <v>1257</v>
      </c>
      <c r="H141" s="138" t="s">
        <v>131</v>
      </c>
      <c r="I141" s="138" t="s">
        <v>105</v>
      </c>
      <c r="J141" s="138">
        <v>25.0</v>
      </c>
      <c r="K141" s="138" t="s">
        <v>274</v>
      </c>
      <c r="L141" s="138" t="s">
        <v>133</v>
      </c>
      <c r="M141" s="138" t="s">
        <v>1258</v>
      </c>
      <c r="N141" s="139" t="s">
        <v>1259</v>
      </c>
      <c r="O141" s="138" t="s">
        <v>1260</v>
      </c>
      <c r="P141" s="138" t="s">
        <v>1261</v>
      </c>
      <c r="Q141" s="138" t="s">
        <v>141</v>
      </c>
      <c r="R141" s="141">
        <v>46035.0</v>
      </c>
      <c r="S141" s="141">
        <v>46387.0</v>
      </c>
      <c r="T141" s="138" t="s">
        <v>1262</v>
      </c>
      <c r="U141" s="142" t="s">
        <v>140</v>
      </c>
      <c r="V141" s="143"/>
      <c r="W141" s="143"/>
      <c r="X141" s="143"/>
      <c r="Y141" s="144"/>
    </row>
    <row r="142" ht="33.0" customHeight="1">
      <c r="A142" s="138">
        <v>141.0</v>
      </c>
      <c r="B142" s="138">
        <v>7500.0</v>
      </c>
      <c r="C142" s="138" t="s">
        <v>26</v>
      </c>
      <c r="D142" s="138" t="s">
        <v>1255</v>
      </c>
      <c r="E142" s="138" t="s">
        <v>1263</v>
      </c>
      <c r="F142" s="138" t="s">
        <v>434</v>
      </c>
      <c r="G142" s="140" t="s">
        <v>1264</v>
      </c>
      <c r="H142" s="138" t="s">
        <v>131</v>
      </c>
      <c r="I142" s="138" t="s">
        <v>105</v>
      </c>
      <c r="J142" s="138">
        <v>15.0</v>
      </c>
      <c r="K142" s="138" t="s">
        <v>274</v>
      </c>
      <c r="L142" s="138" t="s">
        <v>158</v>
      </c>
      <c r="M142" s="138" t="s">
        <v>1265</v>
      </c>
      <c r="N142" s="139" t="s">
        <v>1266</v>
      </c>
      <c r="O142" s="138" t="s">
        <v>1267</v>
      </c>
      <c r="P142" s="138" t="s">
        <v>1268</v>
      </c>
      <c r="Q142" s="138" t="s">
        <v>1269</v>
      </c>
      <c r="R142" s="141">
        <v>46106.0</v>
      </c>
      <c r="S142" s="141">
        <v>46387.0</v>
      </c>
      <c r="T142" s="138" t="s">
        <v>1270</v>
      </c>
      <c r="U142" s="142" t="s">
        <v>140</v>
      </c>
      <c r="V142" s="138" t="s">
        <v>141</v>
      </c>
      <c r="W142" s="143"/>
      <c r="X142" s="143"/>
      <c r="Y142" s="148"/>
    </row>
    <row r="143" ht="33.0" customHeight="1">
      <c r="A143" s="138">
        <v>142.0</v>
      </c>
      <c r="B143" s="138">
        <v>573.0</v>
      </c>
      <c r="C143" s="138" t="s">
        <v>26</v>
      </c>
      <c r="D143" s="138" t="s">
        <v>1255</v>
      </c>
      <c r="E143" s="138" t="s">
        <v>1271</v>
      </c>
      <c r="F143" s="138" t="s">
        <v>1272</v>
      </c>
      <c r="G143" s="153" t="s">
        <v>1273</v>
      </c>
      <c r="H143" s="138" t="s">
        <v>131</v>
      </c>
      <c r="I143" s="138" t="s">
        <v>105</v>
      </c>
      <c r="J143" s="138">
        <v>44.0</v>
      </c>
      <c r="K143" s="138" t="s">
        <v>1274</v>
      </c>
      <c r="L143" s="138" t="s">
        <v>133</v>
      </c>
      <c r="M143" s="138" t="s">
        <v>1275</v>
      </c>
      <c r="N143" s="139" t="s">
        <v>1276</v>
      </c>
      <c r="O143" s="138" t="s">
        <v>1277</v>
      </c>
      <c r="P143" s="138" t="s">
        <v>1278</v>
      </c>
      <c r="Q143" s="138" t="s">
        <v>141</v>
      </c>
      <c r="R143" s="141">
        <v>46023.0</v>
      </c>
      <c r="S143" s="141">
        <v>46387.0</v>
      </c>
      <c r="T143" s="138" t="s">
        <v>1279</v>
      </c>
      <c r="U143" s="142" t="s">
        <v>140</v>
      </c>
      <c r="V143" s="143"/>
      <c r="W143" s="143"/>
      <c r="X143" s="143"/>
      <c r="Y143" s="148"/>
    </row>
    <row r="144" ht="33.0" customHeight="1">
      <c r="A144" s="138">
        <v>143.0</v>
      </c>
      <c r="B144" s="138">
        <v>3929.0</v>
      </c>
      <c r="C144" s="138" t="s">
        <v>26</v>
      </c>
      <c r="D144" s="138" t="s">
        <v>1255</v>
      </c>
      <c r="E144" s="138" t="s">
        <v>1280</v>
      </c>
      <c r="F144" s="138" t="s">
        <v>1281</v>
      </c>
      <c r="G144" s="153" t="s">
        <v>1282</v>
      </c>
      <c r="H144" s="138" t="s">
        <v>131</v>
      </c>
      <c r="I144" s="138" t="s">
        <v>105</v>
      </c>
      <c r="J144" s="138">
        <v>10.0</v>
      </c>
      <c r="K144" s="138" t="s">
        <v>274</v>
      </c>
      <c r="L144" s="138" t="s">
        <v>158</v>
      </c>
      <c r="M144" s="138" t="s">
        <v>1283</v>
      </c>
      <c r="N144" s="138" t="s">
        <v>1284</v>
      </c>
      <c r="O144" s="138" t="s">
        <v>1285</v>
      </c>
      <c r="P144" s="138" t="s">
        <v>1268</v>
      </c>
      <c r="Q144" s="142" t="s">
        <v>1286</v>
      </c>
      <c r="R144" s="141">
        <v>46023.0</v>
      </c>
      <c r="S144" s="141">
        <v>46387.0</v>
      </c>
      <c r="T144" s="138" t="s">
        <v>1287</v>
      </c>
      <c r="U144" s="142" t="s">
        <v>140</v>
      </c>
      <c r="V144" s="143"/>
      <c r="W144" s="143"/>
      <c r="X144" s="143"/>
      <c r="Y144" s="148"/>
    </row>
    <row r="145" ht="33.0" customHeight="1">
      <c r="A145" s="138">
        <v>144.0</v>
      </c>
      <c r="B145" s="138">
        <v>3.0</v>
      </c>
      <c r="C145" s="138" t="s">
        <v>26</v>
      </c>
      <c r="D145" s="138" t="s">
        <v>1255</v>
      </c>
      <c r="E145" s="138" t="s">
        <v>1288</v>
      </c>
      <c r="F145" s="138" t="s">
        <v>1289</v>
      </c>
      <c r="G145" s="153" t="s">
        <v>1290</v>
      </c>
      <c r="H145" s="138" t="s">
        <v>131</v>
      </c>
      <c r="I145" s="138" t="s">
        <v>105</v>
      </c>
      <c r="J145" s="138">
        <v>10.0</v>
      </c>
      <c r="K145" s="138" t="s">
        <v>274</v>
      </c>
      <c r="L145" s="138" t="s">
        <v>158</v>
      </c>
      <c r="M145" s="138" t="s">
        <v>1291</v>
      </c>
      <c r="N145" s="139" t="s">
        <v>1292</v>
      </c>
      <c r="O145" s="138" t="s">
        <v>1293</v>
      </c>
      <c r="P145" s="138" t="s">
        <v>1268</v>
      </c>
      <c r="Q145" s="138" t="s">
        <v>1286</v>
      </c>
      <c r="R145" s="141">
        <v>46023.0</v>
      </c>
      <c r="S145" s="141">
        <v>46387.0</v>
      </c>
      <c r="T145" s="138" t="s">
        <v>1294</v>
      </c>
      <c r="U145" s="142" t="s">
        <v>140</v>
      </c>
      <c r="V145" s="143"/>
      <c r="W145" s="143"/>
      <c r="X145" s="143"/>
      <c r="Y145" s="148"/>
    </row>
    <row r="146" ht="33.0" customHeight="1">
      <c r="A146" s="138">
        <v>145.0</v>
      </c>
      <c r="B146" s="138">
        <v>640.0</v>
      </c>
      <c r="C146" s="138" t="s">
        <v>26</v>
      </c>
      <c r="D146" s="138" t="s">
        <v>1255</v>
      </c>
      <c r="E146" s="138" t="s">
        <v>1295</v>
      </c>
      <c r="F146" s="138" t="s">
        <v>1296</v>
      </c>
      <c r="G146" s="153" t="s">
        <v>1297</v>
      </c>
      <c r="H146" s="138" t="s">
        <v>131</v>
      </c>
      <c r="I146" s="138" t="s">
        <v>105</v>
      </c>
      <c r="J146" s="138">
        <v>10.0</v>
      </c>
      <c r="K146" s="138" t="s">
        <v>1298</v>
      </c>
      <c r="L146" s="138" t="s">
        <v>158</v>
      </c>
      <c r="M146" s="138" t="s">
        <v>1299</v>
      </c>
      <c r="N146" s="138" t="s">
        <v>1300</v>
      </c>
      <c r="O146" s="138" t="s">
        <v>1301</v>
      </c>
      <c r="P146" s="138" t="s">
        <v>211</v>
      </c>
      <c r="Q146" s="138" t="s">
        <v>1269</v>
      </c>
      <c r="R146" s="141">
        <v>46023.0</v>
      </c>
      <c r="S146" s="141">
        <v>46387.0</v>
      </c>
      <c r="T146" s="138" t="s">
        <v>1302</v>
      </c>
      <c r="U146" s="142" t="s">
        <v>140</v>
      </c>
      <c r="V146" s="143"/>
      <c r="W146" s="143"/>
      <c r="X146" s="143"/>
      <c r="Y146" s="148"/>
    </row>
    <row r="147" ht="33.0" customHeight="1">
      <c r="A147" s="138">
        <v>146.0</v>
      </c>
      <c r="B147" s="138">
        <v>5572.0</v>
      </c>
      <c r="C147" s="138" t="s">
        <v>26</v>
      </c>
      <c r="D147" s="138" t="s">
        <v>1303</v>
      </c>
      <c r="E147" s="138" t="s">
        <v>1304</v>
      </c>
      <c r="F147" s="138" t="s">
        <v>1305</v>
      </c>
      <c r="G147" s="153" t="s">
        <v>1306</v>
      </c>
      <c r="H147" s="138" t="s">
        <v>131</v>
      </c>
      <c r="I147" s="138" t="s">
        <v>105</v>
      </c>
      <c r="J147" s="138">
        <v>10.0</v>
      </c>
      <c r="K147" s="138" t="s">
        <v>1307</v>
      </c>
      <c r="L147" s="138" t="s">
        <v>133</v>
      </c>
      <c r="M147" s="138" t="s">
        <v>1308</v>
      </c>
      <c r="N147" s="138" t="s">
        <v>1309</v>
      </c>
      <c r="O147" s="138" t="s">
        <v>1310</v>
      </c>
      <c r="P147" s="138" t="s">
        <v>1278</v>
      </c>
      <c r="Q147" s="138" t="s">
        <v>141</v>
      </c>
      <c r="R147" s="141">
        <v>46023.0</v>
      </c>
      <c r="S147" s="141">
        <v>46387.0</v>
      </c>
      <c r="T147" s="138" t="s">
        <v>1311</v>
      </c>
      <c r="U147" s="142" t="s">
        <v>140</v>
      </c>
      <c r="V147" s="143"/>
      <c r="W147" s="143"/>
      <c r="X147" s="143"/>
      <c r="Y147" s="148"/>
    </row>
    <row r="148" ht="33.0" customHeight="1">
      <c r="A148" s="138">
        <v>147.0</v>
      </c>
      <c r="B148" s="138">
        <v>3758.0</v>
      </c>
      <c r="C148" s="138" t="s">
        <v>26</v>
      </c>
      <c r="D148" s="138" t="s">
        <v>1303</v>
      </c>
      <c r="E148" s="138" t="s">
        <v>1312</v>
      </c>
      <c r="F148" s="138" t="s">
        <v>1313</v>
      </c>
      <c r="G148" s="153" t="s">
        <v>1314</v>
      </c>
      <c r="H148" s="138" t="s">
        <v>131</v>
      </c>
      <c r="I148" s="138" t="s">
        <v>105</v>
      </c>
      <c r="J148" s="138">
        <v>15.0</v>
      </c>
      <c r="K148" s="138" t="s">
        <v>1307</v>
      </c>
      <c r="L148" s="138" t="s">
        <v>133</v>
      </c>
      <c r="M148" s="138" t="s">
        <v>1315</v>
      </c>
      <c r="N148" s="138" t="s">
        <v>1316</v>
      </c>
      <c r="O148" s="138" t="s">
        <v>1317</v>
      </c>
      <c r="P148" s="138" t="s">
        <v>1268</v>
      </c>
      <c r="Q148" s="138" t="s">
        <v>1318</v>
      </c>
      <c r="R148" s="141">
        <v>46023.0</v>
      </c>
      <c r="S148" s="141">
        <v>46387.0</v>
      </c>
      <c r="T148" s="138" t="s">
        <v>1319</v>
      </c>
      <c r="U148" s="142" t="s">
        <v>140</v>
      </c>
      <c r="V148" s="143"/>
      <c r="W148" s="143"/>
      <c r="X148" s="143"/>
      <c r="Y148" s="148"/>
    </row>
    <row r="149" ht="33.0" customHeight="1">
      <c r="A149" s="138">
        <v>148.0</v>
      </c>
      <c r="B149" s="138">
        <v>6879.0</v>
      </c>
      <c r="C149" s="138" t="s">
        <v>26</v>
      </c>
      <c r="D149" s="138" t="s">
        <v>1303</v>
      </c>
      <c r="E149" s="138" t="s">
        <v>1320</v>
      </c>
      <c r="F149" s="138" t="s">
        <v>1321</v>
      </c>
      <c r="G149" s="153" t="s">
        <v>1322</v>
      </c>
      <c r="H149" s="138" t="s">
        <v>131</v>
      </c>
      <c r="I149" s="138" t="s">
        <v>105</v>
      </c>
      <c r="J149" s="138">
        <v>25.0</v>
      </c>
      <c r="K149" s="138" t="s">
        <v>274</v>
      </c>
      <c r="L149" s="138" t="s">
        <v>133</v>
      </c>
      <c r="M149" s="138" t="s">
        <v>1323</v>
      </c>
      <c r="N149" s="139" t="s">
        <v>1324</v>
      </c>
      <c r="O149" s="138" t="s">
        <v>1325</v>
      </c>
      <c r="P149" s="138" t="s">
        <v>1268</v>
      </c>
      <c r="Q149" s="138" t="s">
        <v>1326</v>
      </c>
      <c r="R149" s="141">
        <v>46023.0</v>
      </c>
      <c r="S149" s="141">
        <v>46387.0</v>
      </c>
      <c r="T149" s="138" t="s">
        <v>1327</v>
      </c>
      <c r="U149" s="142" t="s">
        <v>140</v>
      </c>
      <c r="V149" s="143"/>
      <c r="W149" s="143"/>
      <c r="X149" s="143"/>
      <c r="Y149" s="148"/>
    </row>
    <row r="150" ht="33.0" customHeight="1">
      <c r="A150" s="138">
        <v>149.0</v>
      </c>
      <c r="B150" s="138">
        <v>2904.0</v>
      </c>
      <c r="C150" s="138" t="s">
        <v>26</v>
      </c>
      <c r="D150" s="138" t="s">
        <v>1303</v>
      </c>
      <c r="E150" s="138" t="s">
        <v>1328</v>
      </c>
      <c r="F150" s="138" t="s">
        <v>1329</v>
      </c>
      <c r="G150" s="153" t="s">
        <v>1330</v>
      </c>
      <c r="H150" s="138" t="s">
        <v>131</v>
      </c>
      <c r="I150" s="138" t="s">
        <v>105</v>
      </c>
      <c r="J150" s="138">
        <v>10.0</v>
      </c>
      <c r="K150" s="138" t="s">
        <v>1307</v>
      </c>
      <c r="L150" s="138" t="s">
        <v>133</v>
      </c>
      <c r="M150" s="138" t="s">
        <v>1331</v>
      </c>
      <c r="N150" s="138" t="s">
        <v>1332</v>
      </c>
      <c r="O150" s="138" t="s">
        <v>1333</v>
      </c>
      <c r="P150" s="138" t="s">
        <v>1278</v>
      </c>
      <c r="Q150" s="138" t="s">
        <v>1334</v>
      </c>
      <c r="R150" s="141">
        <v>46023.0</v>
      </c>
      <c r="S150" s="141">
        <v>46387.0</v>
      </c>
      <c r="T150" s="138" t="s">
        <v>1335</v>
      </c>
      <c r="U150" s="142" t="s">
        <v>140</v>
      </c>
      <c r="V150" s="143"/>
      <c r="W150" s="143"/>
      <c r="X150" s="143"/>
      <c r="Y150" s="148"/>
    </row>
    <row r="151" ht="33.0" customHeight="1">
      <c r="A151" s="138">
        <v>150.0</v>
      </c>
      <c r="B151" s="138">
        <v>2788.0</v>
      </c>
      <c r="C151" s="138" t="s">
        <v>26</v>
      </c>
      <c r="D151" s="138" t="s">
        <v>1303</v>
      </c>
      <c r="E151" s="138" t="s">
        <v>1336</v>
      </c>
      <c r="F151" s="138" t="s">
        <v>1337</v>
      </c>
      <c r="G151" s="153" t="s">
        <v>1338</v>
      </c>
      <c r="H151" s="138" t="s">
        <v>131</v>
      </c>
      <c r="I151" s="138" t="s">
        <v>105</v>
      </c>
      <c r="J151" s="138">
        <v>25.0</v>
      </c>
      <c r="K151" s="138" t="s">
        <v>1307</v>
      </c>
      <c r="L151" s="138" t="s">
        <v>133</v>
      </c>
      <c r="M151" s="138" t="s">
        <v>1339</v>
      </c>
      <c r="N151" s="138" t="s">
        <v>1340</v>
      </c>
      <c r="O151" s="138" t="s">
        <v>1341</v>
      </c>
      <c r="P151" s="138" t="s">
        <v>1268</v>
      </c>
      <c r="Q151" s="138" t="s">
        <v>1342</v>
      </c>
      <c r="R151" s="141">
        <v>46023.0</v>
      </c>
      <c r="S151" s="141">
        <v>46387.0</v>
      </c>
      <c r="T151" s="138" t="s">
        <v>1343</v>
      </c>
      <c r="U151" s="142" t="s">
        <v>140</v>
      </c>
      <c r="V151" s="143"/>
      <c r="W151" s="143"/>
      <c r="X151" s="143"/>
      <c r="Y151" s="148"/>
    </row>
    <row r="152" ht="33.0" customHeight="1">
      <c r="A152" s="138">
        <v>151.0</v>
      </c>
      <c r="B152" s="138">
        <v>3045.0</v>
      </c>
      <c r="C152" s="138" t="s">
        <v>26</v>
      </c>
      <c r="D152" s="138" t="s">
        <v>1303</v>
      </c>
      <c r="E152" s="138" t="s">
        <v>1344</v>
      </c>
      <c r="F152" s="138" t="s">
        <v>1345</v>
      </c>
      <c r="G152" s="153" t="s">
        <v>1346</v>
      </c>
      <c r="H152" s="138" t="s">
        <v>131</v>
      </c>
      <c r="I152" s="138" t="s">
        <v>105</v>
      </c>
      <c r="J152" s="138">
        <v>10.0</v>
      </c>
      <c r="K152" s="138" t="s">
        <v>274</v>
      </c>
      <c r="L152" s="138" t="s">
        <v>158</v>
      </c>
      <c r="M152" s="138" t="s">
        <v>1347</v>
      </c>
      <c r="N152" s="138" t="s">
        <v>1348</v>
      </c>
      <c r="O152" s="138" t="s">
        <v>1349</v>
      </c>
      <c r="P152" s="138" t="s">
        <v>1268</v>
      </c>
      <c r="Q152" s="138" t="s">
        <v>1318</v>
      </c>
      <c r="R152" s="141">
        <v>46023.0</v>
      </c>
      <c r="S152" s="141">
        <v>46387.0</v>
      </c>
      <c r="T152" s="138" t="s">
        <v>1350</v>
      </c>
      <c r="U152" s="142" t="s">
        <v>140</v>
      </c>
      <c r="V152" s="143"/>
      <c r="W152" s="143"/>
      <c r="X152" s="143"/>
      <c r="Y152" s="148"/>
    </row>
    <row r="153" ht="33.0" customHeight="1">
      <c r="A153" s="138">
        <v>152.0</v>
      </c>
      <c r="B153" s="138">
        <v>4968.0</v>
      </c>
      <c r="C153" s="138" t="s">
        <v>26</v>
      </c>
      <c r="D153" s="138" t="s">
        <v>1351</v>
      </c>
      <c r="E153" s="138" t="s">
        <v>1352</v>
      </c>
      <c r="F153" s="138" t="s">
        <v>1353</v>
      </c>
      <c r="G153" s="153" t="s">
        <v>1354</v>
      </c>
      <c r="H153" s="138" t="s">
        <v>131</v>
      </c>
      <c r="I153" s="138" t="s">
        <v>353</v>
      </c>
      <c r="J153" s="138">
        <v>25.0</v>
      </c>
      <c r="K153" s="138" t="s">
        <v>1355</v>
      </c>
      <c r="L153" s="138" t="s">
        <v>133</v>
      </c>
      <c r="M153" s="138" t="s">
        <v>1356</v>
      </c>
      <c r="N153" s="138" t="s">
        <v>1357</v>
      </c>
      <c r="O153" s="138" t="s">
        <v>1358</v>
      </c>
      <c r="P153" s="138" t="s">
        <v>1278</v>
      </c>
      <c r="Q153" s="138" t="s">
        <v>141</v>
      </c>
      <c r="R153" s="141">
        <v>46023.0</v>
      </c>
      <c r="S153" s="141">
        <v>46387.0</v>
      </c>
      <c r="T153" s="138" t="s">
        <v>1359</v>
      </c>
      <c r="U153" s="142" t="s">
        <v>140</v>
      </c>
      <c r="V153" s="143"/>
      <c r="W153" s="143"/>
      <c r="X153" s="143"/>
      <c r="Y153" s="144"/>
    </row>
    <row r="154" ht="33.0" customHeight="1">
      <c r="A154" s="138">
        <v>153.0</v>
      </c>
      <c r="B154" s="138">
        <v>791.0</v>
      </c>
      <c r="C154" s="138" t="s">
        <v>26</v>
      </c>
      <c r="D154" s="138" t="s">
        <v>1351</v>
      </c>
      <c r="E154" s="138" t="s">
        <v>1360</v>
      </c>
      <c r="F154" s="138" t="s">
        <v>1361</v>
      </c>
      <c r="G154" s="153" t="s">
        <v>1362</v>
      </c>
      <c r="H154" s="138" t="s">
        <v>131</v>
      </c>
      <c r="I154" s="138" t="s">
        <v>105</v>
      </c>
      <c r="J154" s="138">
        <v>25.0</v>
      </c>
      <c r="K154" s="138" t="s">
        <v>1363</v>
      </c>
      <c r="L154" s="138" t="s">
        <v>133</v>
      </c>
      <c r="M154" s="138" t="s">
        <v>1364</v>
      </c>
      <c r="N154" s="138" t="s">
        <v>1365</v>
      </c>
      <c r="O154" s="138" t="s">
        <v>1366</v>
      </c>
      <c r="P154" s="138" t="s">
        <v>1268</v>
      </c>
      <c r="Q154" s="138" t="s">
        <v>1367</v>
      </c>
      <c r="R154" s="141">
        <v>46023.0</v>
      </c>
      <c r="S154" s="141">
        <v>46387.0</v>
      </c>
      <c r="T154" s="138" t="s">
        <v>1368</v>
      </c>
      <c r="U154" s="142" t="s">
        <v>140</v>
      </c>
      <c r="V154" s="143"/>
      <c r="W154" s="143"/>
      <c r="X154" s="143"/>
      <c r="Y154" s="148"/>
    </row>
    <row r="155" ht="33.0" customHeight="1">
      <c r="A155" s="138">
        <v>154.0</v>
      </c>
      <c r="B155" s="138">
        <v>562.0</v>
      </c>
      <c r="C155" s="138" t="s">
        <v>26</v>
      </c>
      <c r="D155" s="138" t="s">
        <v>1369</v>
      </c>
      <c r="E155" s="138" t="s">
        <v>1370</v>
      </c>
      <c r="F155" s="138" t="s">
        <v>1371</v>
      </c>
      <c r="G155" s="153" t="s">
        <v>1372</v>
      </c>
      <c r="H155" s="138" t="s">
        <v>131</v>
      </c>
      <c r="I155" s="138" t="s">
        <v>105</v>
      </c>
      <c r="J155" s="138">
        <v>10.0</v>
      </c>
      <c r="K155" s="138" t="s">
        <v>274</v>
      </c>
      <c r="L155" s="138" t="s">
        <v>158</v>
      </c>
      <c r="M155" s="138" t="s">
        <v>1373</v>
      </c>
      <c r="N155" s="138" t="s">
        <v>1374</v>
      </c>
      <c r="O155" s="138" t="s">
        <v>1375</v>
      </c>
      <c r="P155" s="138" t="s">
        <v>211</v>
      </c>
      <c r="Q155" s="138" t="s">
        <v>1376</v>
      </c>
      <c r="R155" s="141">
        <v>46023.0</v>
      </c>
      <c r="S155" s="141">
        <v>46387.0</v>
      </c>
      <c r="T155" s="138" t="s">
        <v>1377</v>
      </c>
      <c r="U155" s="142" t="s">
        <v>140</v>
      </c>
      <c r="V155" s="143"/>
      <c r="W155" s="143"/>
      <c r="X155" s="143"/>
      <c r="Y155" s="148"/>
    </row>
    <row r="156" ht="33.0" customHeight="1">
      <c r="A156" s="138">
        <v>155.0</v>
      </c>
      <c r="B156" s="138">
        <v>38518.0</v>
      </c>
      <c r="C156" s="142" t="s">
        <v>26</v>
      </c>
      <c r="D156" s="138" t="s">
        <v>1378</v>
      </c>
      <c r="E156" s="138" t="s">
        <v>1379</v>
      </c>
      <c r="F156" s="142" t="s">
        <v>1380</v>
      </c>
      <c r="G156" s="153" t="s">
        <v>1381</v>
      </c>
      <c r="H156" s="138" t="s">
        <v>131</v>
      </c>
      <c r="I156" s="138" t="s">
        <v>76</v>
      </c>
      <c r="J156" s="142">
        <v>10.0</v>
      </c>
      <c r="K156" s="138" t="s">
        <v>428</v>
      </c>
      <c r="L156" s="138" t="s">
        <v>158</v>
      </c>
      <c r="M156" s="142" t="s">
        <v>1382</v>
      </c>
      <c r="N156" s="138" t="s">
        <v>1383</v>
      </c>
      <c r="O156" s="138" t="s">
        <v>1384</v>
      </c>
      <c r="P156" s="142" t="s">
        <v>1278</v>
      </c>
      <c r="Q156" s="138" t="s">
        <v>141</v>
      </c>
      <c r="R156" s="160">
        <v>46023.0</v>
      </c>
      <c r="S156" s="141">
        <v>46387.0</v>
      </c>
      <c r="T156" s="138" t="s">
        <v>1385</v>
      </c>
      <c r="U156" s="142" t="s">
        <v>140</v>
      </c>
      <c r="V156" s="143"/>
      <c r="W156" s="149"/>
      <c r="X156" s="149"/>
      <c r="Y156" s="148"/>
    </row>
    <row r="157" ht="33.0" customHeight="1">
      <c r="A157" s="138">
        <v>156.0</v>
      </c>
      <c r="B157" s="138">
        <v>6048.0</v>
      </c>
      <c r="C157" s="138" t="s">
        <v>26</v>
      </c>
      <c r="D157" s="138" t="s">
        <v>1378</v>
      </c>
      <c r="E157" s="138" t="s">
        <v>1386</v>
      </c>
      <c r="F157" s="138" t="s">
        <v>1387</v>
      </c>
      <c r="G157" s="153" t="s">
        <v>1388</v>
      </c>
      <c r="H157" s="138" t="s">
        <v>131</v>
      </c>
      <c r="I157" s="138" t="s">
        <v>189</v>
      </c>
      <c r="J157" s="138">
        <v>15.0</v>
      </c>
      <c r="K157" s="138" t="s">
        <v>1389</v>
      </c>
      <c r="L157" s="138" t="s">
        <v>158</v>
      </c>
      <c r="M157" s="138" t="s">
        <v>1390</v>
      </c>
      <c r="N157" s="138" t="s">
        <v>1391</v>
      </c>
      <c r="O157" s="138" t="s">
        <v>1392</v>
      </c>
      <c r="P157" s="138" t="s">
        <v>211</v>
      </c>
      <c r="Q157" s="138" t="s">
        <v>1393</v>
      </c>
      <c r="R157" s="141">
        <v>46078.0</v>
      </c>
      <c r="S157" s="141">
        <v>46387.0</v>
      </c>
      <c r="T157" s="138" t="s">
        <v>1394</v>
      </c>
      <c r="U157" s="142" t="s">
        <v>140</v>
      </c>
      <c r="V157" s="143"/>
      <c r="W157" s="138" t="s">
        <v>1395</v>
      </c>
      <c r="X157" s="143"/>
      <c r="Y157" s="148"/>
    </row>
    <row r="158" ht="33.0" customHeight="1">
      <c r="A158" s="138">
        <v>157.0</v>
      </c>
      <c r="B158" s="138">
        <v>23734.0</v>
      </c>
      <c r="C158" s="138" t="s">
        <v>26</v>
      </c>
      <c r="D158" s="138" t="s">
        <v>1378</v>
      </c>
      <c r="E158" s="138" t="s">
        <v>1396</v>
      </c>
      <c r="F158" s="138" t="s">
        <v>1397</v>
      </c>
      <c r="G158" s="153" t="s">
        <v>1398</v>
      </c>
      <c r="H158" s="138" t="s">
        <v>131</v>
      </c>
      <c r="I158" s="138" t="s">
        <v>105</v>
      </c>
      <c r="J158" s="138">
        <v>25.0</v>
      </c>
      <c r="K158" s="138" t="s">
        <v>1399</v>
      </c>
      <c r="L158" s="138" t="s">
        <v>133</v>
      </c>
      <c r="M158" s="138" t="s">
        <v>1400</v>
      </c>
      <c r="N158" s="138" t="s">
        <v>1401</v>
      </c>
      <c r="O158" s="138" t="s">
        <v>1402</v>
      </c>
      <c r="P158" s="138" t="s">
        <v>1278</v>
      </c>
      <c r="Q158" s="138" t="s">
        <v>141</v>
      </c>
      <c r="R158" s="141">
        <v>46023.0</v>
      </c>
      <c r="S158" s="141">
        <v>46387.0</v>
      </c>
      <c r="T158" s="138" t="s">
        <v>1403</v>
      </c>
      <c r="U158" s="142" t="s">
        <v>140</v>
      </c>
      <c r="V158" s="143"/>
      <c r="W158" s="143"/>
      <c r="X158" s="143"/>
      <c r="Y158" s="148"/>
    </row>
    <row r="159" ht="33.0" customHeight="1">
      <c r="A159" s="138">
        <v>158.0</v>
      </c>
      <c r="B159" s="143"/>
      <c r="C159" s="142" t="s">
        <v>28</v>
      </c>
      <c r="D159" s="138" t="s">
        <v>1404</v>
      </c>
      <c r="E159" s="138" t="s">
        <v>1405</v>
      </c>
      <c r="F159" s="142" t="s">
        <v>1406</v>
      </c>
      <c r="G159" s="153" t="s">
        <v>1407</v>
      </c>
      <c r="H159" s="138" t="s">
        <v>131</v>
      </c>
      <c r="I159" s="138" t="s">
        <v>105</v>
      </c>
      <c r="J159" s="142">
        <v>9.0</v>
      </c>
      <c r="K159" s="138" t="s">
        <v>1408</v>
      </c>
      <c r="L159" s="138" t="s">
        <v>158</v>
      </c>
      <c r="M159" s="142" t="s">
        <v>1409</v>
      </c>
      <c r="N159" s="142">
        <v>9.294874687E9</v>
      </c>
      <c r="O159" s="142" t="s">
        <v>1410</v>
      </c>
      <c r="P159" s="142" t="s">
        <v>1411</v>
      </c>
      <c r="Q159" s="163"/>
      <c r="R159" s="160">
        <v>46023.0</v>
      </c>
      <c r="S159" s="141">
        <v>46387.0</v>
      </c>
      <c r="T159" s="138" t="s">
        <v>1412</v>
      </c>
      <c r="U159" s="142" t="s">
        <v>140</v>
      </c>
      <c r="V159" s="143"/>
      <c r="W159" s="149"/>
      <c r="X159" s="149"/>
      <c r="Y159" s="148"/>
    </row>
    <row r="160" ht="33.0" customHeight="1">
      <c r="A160" s="138">
        <v>159.0</v>
      </c>
      <c r="B160" s="143"/>
      <c r="C160" s="138" t="s">
        <v>28</v>
      </c>
      <c r="D160" s="138" t="s">
        <v>1404</v>
      </c>
      <c r="E160" s="138" t="s">
        <v>1413</v>
      </c>
      <c r="F160" s="142" t="s">
        <v>1414</v>
      </c>
      <c r="G160" s="153" t="s">
        <v>1415</v>
      </c>
      <c r="H160" s="138" t="s">
        <v>131</v>
      </c>
      <c r="I160" s="138" t="s">
        <v>105</v>
      </c>
      <c r="J160" s="142">
        <v>12.0</v>
      </c>
      <c r="K160" s="138" t="s">
        <v>1416</v>
      </c>
      <c r="L160" s="138" t="s">
        <v>158</v>
      </c>
      <c r="M160" s="142" t="s">
        <v>1417</v>
      </c>
      <c r="N160" s="138" t="s">
        <v>1418</v>
      </c>
      <c r="O160" s="138" t="s">
        <v>1419</v>
      </c>
      <c r="P160" s="142" t="s">
        <v>1420</v>
      </c>
      <c r="Q160" s="145"/>
      <c r="R160" s="160">
        <v>46023.0</v>
      </c>
      <c r="S160" s="141">
        <v>46387.0</v>
      </c>
      <c r="T160" s="138" t="s">
        <v>1421</v>
      </c>
      <c r="U160" s="142" t="s">
        <v>140</v>
      </c>
      <c r="V160" s="143"/>
      <c r="W160" s="143"/>
      <c r="X160" s="143"/>
      <c r="Y160" s="148"/>
    </row>
    <row r="161" ht="33.0" customHeight="1">
      <c r="A161" s="138">
        <v>160.0</v>
      </c>
      <c r="B161" s="143"/>
      <c r="C161" s="138" t="s">
        <v>28</v>
      </c>
      <c r="D161" s="138" t="s">
        <v>1404</v>
      </c>
      <c r="E161" s="138" t="s">
        <v>1422</v>
      </c>
      <c r="F161" s="142" t="s">
        <v>1423</v>
      </c>
      <c r="G161" s="153" t="s">
        <v>1424</v>
      </c>
      <c r="H161" s="138" t="s">
        <v>131</v>
      </c>
      <c r="I161" s="138" t="s">
        <v>105</v>
      </c>
      <c r="J161" s="142">
        <v>10.0</v>
      </c>
      <c r="K161" s="138" t="s">
        <v>1425</v>
      </c>
      <c r="L161" s="138" t="s">
        <v>133</v>
      </c>
      <c r="M161" s="142" t="s">
        <v>1426</v>
      </c>
      <c r="N161" s="138">
        <v>9.155413569E9</v>
      </c>
      <c r="O161" s="138" t="s">
        <v>1427</v>
      </c>
      <c r="P161" s="142" t="s">
        <v>1428</v>
      </c>
      <c r="Q161" s="145"/>
      <c r="R161" s="141">
        <v>46023.0</v>
      </c>
      <c r="S161" s="141">
        <v>46387.0</v>
      </c>
      <c r="T161" s="138" t="s">
        <v>1429</v>
      </c>
      <c r="U161" s="142" t="s">
        <v>140</v>
      </c>
      <c r="V161" s="143"/>
      <c r="W161" s="143"/>
      <c r="X161" s="143"/>
      <c r="Y161" s="148"/>
    </row>
    <row r="162" ht="33.0" customHeight="1">
      <c r="A162" s="138">
        <v>161.0</v>
      </c>
      <c r="B162" s="143"/>
      <c r="C162" s="142" t="s">
        <v>28</v>
      </c>
      <c r="D162" s="138" t="s">
        <v>1404</v>
      </c>
      <c r="E162" s="138" t="s">
        <v>1430</v>
      </c>
      <c r="F162" s="142" t="s">
        <v>1431</v>
      </c>
      <c r="G162" s="153" t="s">
        <v>1432</v>
      </c>
      <c r="H162" s="138" t="s">
        <v>131</v>
      </c>
      <c r="I162" s="138" t="s">
        <v>105</v>
      </c>
      <c r="J162" s="142">
        <v>15.0</v>
      </c>
      <c r="K162" s="138" t="s">
        <v>274</v>
      </c>
      <c r="L162" s="138" t="s">
        <v>158</v>
      </c>
      <c r="M162" s="142" t="s">
        <v>1433</v>
      </c>
      <c r="N162" s="138" t="s">
        <v>1434</v>
      </c>
      <c r="O162" s="138" t="s">
        <v>1435</v>
      </c>
      <c r="P162" s="158"/>
      <c r="Q162" s="138" t="s">
        <v>1436</v>
      </c>
      <c r="R162" s="160">
        <v>46023.0</v>
      </c>
      <c r="S162" s="141">
        <v>46387.0</v>
      </c>
      <c r="T162" s="138" t="s">
        <v>1437</v>
      </c>
      <c r="U162" s="142" t="s">
        <v>140</v>
      </c>
      <c r="V162" s="143"/>
      <c r="W162" s="149"/>
      <c r="X162" s="149"/>
      <c r="Y162" s="148"/>
    </row>
    <row r="163" ht="33.0" customHeight="1">
      <c r="A163" s="138">
        <v>162.0</v>
      </c>
      <c r="B163" s="143"/>
      <c r="C163" s="138" t="s">
        <v>28</v>
      </c>
      <c r="D163" s="138" t="s">
        <v>1404</v>
      </c>
      <c r="E163" s="138" t="s">
        <v>1438</v>
      </c>
      <c r="F163" s="142" t="s">
        <v>1439</v>
      </c>
      <c r="G163" s="153" t="s">
        <v>1440</v>
      </c>
      <c r="H163" s="138" t="s">
        <v>131</v>
      </c>
      <c r="I163" s="138" t="s">
        <v>105</v>
      </c>
      <c r="J163" s="142">
        <v>10.0</v>
      </c>
      <c r="K163" s="146"/>
      <c r="L163" s="138" t="s">
        <v>158</v>
      </c>
      <c r="M163" s="142" t="s">
        <v>1441</v>
      </c>
      <c r="N163" s="138">
        <v>9.064542508E9</v>
      </c>
      <c r="O163" s="164" t="s">
        <v>1442</v>
      </c>
      <c r="P163" s="165"/>
      <c r="Q163" s="138" t="s">
        <v>1443</v>
      </c>
      <c r="R163" s="160">
        <v>46023.0</v>
      </c>
      <c r="S163" s="141">
        <v>46387.0</v>
      </c>
      <c r="T163" s="138" t="s">
        <v>1444</v>
      </c>
      <c r="U163" s="142" t="s">
        <v>140</v>
      </c>
      <c r="V163" s="143"/>
      <c r="W163" s="143"/>
      <c r="X163" s="143"/>
      <c r="Y163" s="148"/>
    </row>
    <row r="164" ht="33.0" customHeight="1">
      <c r="A164" s="138">
        <v>163.0</v>
      </c>
      <c r="B164" s="143"/>
      <c r="C164" s="138" t="s">
        <v>28</v>
      </c>
      <c r="D164" s="138" t="s">
        <v>1404</v>
      </c>
      <c r="E164" s="138" t="s">
        <v>1445</v>
      </c>
      <c r="F164" s="142" t="s">
        <v>1446</v>
      </c>
      <c r="G164" s="153" t="s">
        <v>1447</v>
      </c>
      <c r="H164" s="138" t="s">
        <v>131</v>
      </c>
      <c r="I164" s="138" t="s">
        <v>105</v>
      </c>
      <c r="J164" s="142">
        <v>25.0</v>
      </c>
      <c r="K164" s="138" t="s">
        <v>274</v>
      </c>
      <c r="L164" s="138" t="s">
        <v>133</v>
      </c>
      <c r="M164" s="142" t="s">
        <v>1448</v>
      </c>
      <c r="N164" s="138" t="s">
        <v>1449</v>
      </c>
      <c r="O164" s="138" t="s">
        <v>1450</v>
      </c>
      <c r="P164" s="142" t="s">
        <v>1451</v>
      </c>
      <c r="Q164" s="145"/>
      <c r="R164" s="160">
        <v>46023.0</v>
      </c>
      <c r="S164" s="141">
        <v>46387.0</v>
      </c>
      <c r="T164" s="138" t="s">
        <v>1452</v>
      </c>
      <c r="U164" s="142" t="s">
        <v>140</v>
      </c>
      <c r="V164" s="143"/>
      <c r="W164" s="143"/>
      <c r="X164" s="143"/>
      <c r="Y164" s="148"/>
    </row>
    <row r="165" ht="33.0" customHeight="1">
      <c r="A165" s="138">
        <v>164.0</v>
      </c>
      <c r="B165" s="143"/>
      <c r="C165" s="138" t="s">
        <v>28</v>
      </c>
      <c r="D165" s="138" t="s">
        <v>1404</v>
      </c>
      <c r="E165" s="138" t="s">
        <v>1453</v>
      </c>
      <c r="F165" s="142" t="s">
        <v>1454</v>
      </c>
      <c r="G165" s="153" t="s">
        <v>1455</v>
      </c>
      <c r="H165" s="138" t="s">
        <v>131</v>
      </c>
      <c r="I165" s="138" t="s">
        <v>105</v>
      </c>
      <c r="J165" s="142">
        <v>15.0</v>
      </c>
      <c r="K165" s="146"/>
      <c r="L165" s="138" t="s">
        <v>158</v>
      </c>
      <c r="M165" s="142" t="s">
        <v>1456</v>
      </c>
      <c r="N165" s="138" t="s">
        <v>1457</v>
      </c>
      <c r="O165" s="138" t="s">
        <v>1458</v>
      </c>
      <c r="P165" s="165"/>
      <c r="Q165" s="138" t="s">
        <v>1459</v>
      </c>
      <c r="R165" s="160">
        <v>46023.0</v>
      </c>
      <c r="S165" s="141">
        <v>46387.0</v>
      </c>
      <c r="T165" s="138" t="s">
        <v>1460</v>
      </c>
      <c r="U165" s="142" t="s">
        <v>140</v>
      </c>
      <c r="V165" s="143"/>
      <c r="W165" s="143"/>
      <c r="X165" s="143"/>
      <c r="Y165" s="148"/>
    </row>
    <row r="166" ht="33.0" customHeight="1">
      <c r="A166" s="138">
        <v>165.0</v>
      </c>
      <c r="B166" s="143"/>
      <c r="C166" s="142" t="s">
        <v>28</v>
      </c>
      <c r="D166" s="138" t="s">
        <v>1404</v>
      </c>
      <c r="E166" s="138" t="s">
        <v>1461</v>
      </c>
      <c r="F166" s="142" t="s">
        <v>1462</v>
      </c>
      <c r="G166" s="153" t="s">
        <v>1463</v>
      </c>
      <c r="H166" s="138" t="s">
        <v>131</v>
      </c>
      <c r="I166" s="138" t="s">
        <v>105</v>
      </c>
      <c r="J166" s="142">
        <v>10.0</v>
      </c>
      <c r="K166" s="138" t="s">
        <v>274</v>
      </c>
      <c r="L166" s="138" t="s">
        <v>158</v>
      </c>
      <c r="M166" s="142" t="s">
        <v>1464</v>
      </c>
      <c r="N166" s="138">
        <v>9.468856262E9</v>
      </c>
      <c r="O166" s="138" t="s">
        <v>1465</v>
      </c>
      <c r="P166" s="165"/>
      <c r="Q166" s="138" t="s">
        <v>1436</v>
      </c>
      <c r="R166" s="160">
        <v>46023.0</v>
      </c>
      <c r="S166" s="141">
        <v>46387.0</v>
      </c>
      <c r="T166" s="138" t="s">
        <v>1466</v>
      </c>
      <c r="U166" s="142" t="s">
        <v>140</v>
      </c>
      <c r="V166" s="143"/>
      <c r="W166" s="149"/>
      <c r="X166" s="149"/>
      <c r="Y166" s="148"/>
    </row>
    <row r="167" ht="33.0" customHeight="1">
      <c r="A167" s="138">
        <v>166.0</v>
      </c>
      <c r="B167" s="143"/>
      <c r="C167" s="138" t="s">
        <v>28</v>
      </c>
      <c r="D167" s="138" t="s">
        <v>1404</v>
      </c>
      <c r="E167" s="138" t="s">
        <v>1467</v>
      </c>
      <c r="F167" s="142" t="s">
        <v>1468</v>
      </c>
      <c r="G167" s="153" t="s">
        <v>1469</v>
      </c>
      <c r="H167" s="138" t="s">
        <v>131</v>
      </c>
      <c r="I167" s="138" t="s">
        <v>105</v>
      </c>
      <c r="J167" s="142">
        <v>10.0</v>
      </c>
      <c r="K167" s="138" t="s">
        <v>274</v>
      </c>
      <c r="L167" s="138" t="s">
        <v>158</v>
      </c>
      <c r="M167" s="142" t="s">
        <v>1470</v>
      </c>
      <c r="N167" s="142" t="s">
        <v>1471</v>
      </c>
      <c r="O167" s="164" t="s">
        <v>1472</v>
      </c>
      <c r="P167" s="142" t="s">
        <v>1473</v>
      </c>
      <c r="Q167" s="158"/>
      <c r="R167" s="141">
        <v>46023.0</v>
      </c>
      <c r="S167" s="141">
        <v>46387.0</v>
      </c>
      <c r="T167" s="142" t="s">
        <v>1474</v>
      </c>
      <c r="U167" s="142" t="s">
        <v>140</v>
      </c>
      <c r="V167" s="143"/>
      <c r="W167" s="143"/>
      <c r="X167" s="143"/>
      <c r="Y167" s="148"/>
    </row>
    <row r="168" ht="33.0" customHeight="1">
      <c r="A168" s="138">
        <v>167.0</v>
      </c>
      <c r="B168" s="143"/>
      <c r="C168" s="138" t="s">
        <v>28</v>
      </c>
      <c r="D168" s="138" t="s">
        <v>1404</v>
      </c>
      <c r="E168" s="138" t="s">
        <v>1475</v>
      </c>
      <c r="F168" s="142" t="s">
        <v>1476</v>
      </c>
      <c r="G168" s="153" t="s">
        <v>1477</v>
      </c>
      <c r="H168" s="138" t="s">
        <v>131</v>
      </c>
      <c r="I168" s="138" t="s">
        <v>105</v>
      </c>
      <c r="J168" s="142">
        <v>15.0</v>
      </c>
      <c r="K168" s="138" t="s">
        <v>1478</v>
      </c>
      <c r="L168" s="138" t="s">
        <v>133</v>
      </c>
      <c r="M168" s="142" t="s">
        <v>1479</v>
      </c>
      <c r="N168" s="142" t="s">
        <v>1480</v>
      </c>
      <c r="O168" s="142" t="s">
        <v>1481</v>
      </c>
      <c r="P168" s="158"/>
      <c r="Q168" s="142" t="s">
        <v>1482</v>
      </c>
      <c r="R168" s="141">
        <v>46023.0</v>
      </c>
      <c r="S168" s="141">
        <v>46387.0</v>
      </c>
      <c r="T168" s="142" t="s">
        <v>1483</v>
      </c>
      <c r="U168" s="142" t="s">
        <v>140</v>
      </c>
      <c r="V168" s="143"/>
      <c r="W168" s="143"/>
      <c r="X168" s="143"/>
      <c r="Y168" s="148"/>
    </row>
    <row r="169" ht="33.0" customHeight="1">
      <c r="A169" s="138">
        <v>168.0</v>
      </c>
      <c r="B169" s="143"/>
      <c r="C169" s="142" t="s">
        <v>28</v>
      </c>
      <c r="D169" s="138" t="s">
        <v>1484</v>
      </c>
      <c r="E169" s="138" t="s">
        <v>1485</v>
      </c>
      <c r="F169" s="142" t="s">
        <v>1486</v>
      </c>
      <c r="G169" s="153" t="s">
        <v>1487</v>
      </c>
      <c r="H169" s="138" t="s">
        <v>131</v>
      </c>
      <c r="I169" s="138" t="s">
        <v>247</v>
      </c>
      <c r="J169" s="142">
        <v>10.0</v>
      </c>
      <c r="K169" s="138" t="s">
        <v>1488</v>
      </c>
      <c r="L169" s="138" t="s">
        <v>133</v>
      </c>
      <c r="M169" s="142" t="s">
        <v>1489</v>
      </c>
      <c r="N169" s="138" t="s">
        <v>1490</v>
      </c>
      <c r="O169" s="138" t="s">
        <v>1491</v>
      </c>
      <c r="P169" s="142" t="s">
        <v>1492</v>
      </c>
      <c r="Q169" s="145"/>
      <c r="R169" s="160">
        <v>46023.0</v>
      </c>
      <c r="S169" s="141">
        <v>46387.0</v>
      </c>
      <c r="T169" s="138" t="s">
        <v>1493</v>
      </c>
      <c r="U169" s="142" t="s">
        <v>140</v>
      </c>
      <c r="V169" s="143"/>
      <c r="W169" s="149"/>
      <c r="X169" s="149"/>
      <c r="Y169" s="148"/>
    </row>
    <row r="170" ht="33.0" customHeight="1">
      <c r="A170" s="138">
        <v>169.0</v>
      </c>
      <c r="B170" s="143"/>
      <c r="C170" s="138" t="s">
        <v>28</v>
      </c>
      <c r="D170" s="138" t="s">
        <v>1484</v>
      </c>
      <c r="E170" s="138" t="s">
        <v>1485</v>
      </c>
      <c r="F170" s="142" t="s">
        <v>1494</v>
      </c>
      <c r="G170" s="153" t="s">
        <v>1495</v>
      </c>
      <c r="H170" s="138" t="s">
        <v>131</v>
      </c>
      <c r="I170" s="138" t="s">
        <v>105</v>
      </c>
      <c r="J170" s="142">
        <v>25.0</v>
      </c>
      <c r="K170" s="138" t="s">
        <v>1425</v>
      </c>
      <c r="L170" s="138" t="s">
        <v>133</v>
      </c>
      <c r="M170" s="142" t="s">
        <v>1496</v>
      </c>
      <c r="N170" s="142" t="s">
        <v>1497</v>
      </c>
      <c r="O170" s="150" t="s">
        <v>1498</v>
      </c>
      <c r="P170" s="142" t="s">
        <v>1499</v>
      </c>
      <c r="Q170" s="166"/>
      <c r="R170" s="160">
        <v>46023.0</v>
      </c>
      <c r="S170" s="141">
        <v>46387.0</v>
      </c>
      <c r="T170" s="138" t="s">
        <v>1500</v>
      </c>
      <c r="U170" s="142" t="s">
        <v>140</v>
      </c>
      <c r="V170" s="143"/>
      <c r="W170" s="143"/>
      <c r="X170" s="143"/>
      <c r="Y170" s="148"/>
    </row>
    <row r="171" ht="33.0" customHeight="1">
      <c r="A171" s="138">
        <v>170.0</v>
      </c>
      <c r="B171" s="143"/>
      <c r="C171" s="142" t="s">
        <v>28</v>
      </c>
      <c r="D171" s="138" t="s">
        <v>1484</v>
      </c>
      <c r="E171" s="138" t="s">
        <v>1501</v>
      </c>
      <c r="F171" s="142" t="s">
        <v>1502</v>
      </c>
      <c r="G171" s="153" t="s">
        <v>1503</v>
      </c>
      <c r="H171" s="138" t="s">
        <v>131</v>
      </c>
      <c r="I171" s="138" t="s">
        <v>105</v>
      </c>
      <c r="J171" s="142">
        <v>10.0</v>
      </c>
      <c r="K171" s="146"/>
      <c r="L171" s="138" t="s">
        <v>158</v>
      </c>
      <c r="M171" s="142" t="s">
        <v>1504</v>
      </c>
      <c r="N171" s="138" t="s">
        <v>1505</v>
      </c>
      <c r="O171" s="150" t="s">
        <v>1506</v>
      </c>
      <c r="P171" s="158"/>
      <c r="Q171" s="138" t="s">
        <v>1507</v>
      </c>
      <c r="R171" s="160">
        <v>46049.0</v>
      </c>
      <c r="S171" s="141">
        <v>46387.0</v>
      </c>
      <c r="T171" s="138" t="s">
        <v>1508</v>
      </c>
      <c r="U171" s="142" t="s">
        <v>140</v>
      </c>
      <c r="V171" s="143"/>
      <c r="W171" s="149"/>
      <c r="X171" s="149"/>
      <c r="Y171" s="148"/>
    </row>
    <row r="172" ht="33.0" customHeight="1">
      <c r="A172" s="138">
        <v>171.0</v>
      </c>
      <c r="B172" s="143"/>
      <c r="C172" s="142" t="s">
        <v>28</v>
      </c>
      <c r="D172" s="138" t="s">
        <v>1484</v>
      </c>
      <c r="E172" s="138" t="s">
        <v>1509</v>
      </c>
      <c r="F172" s="142" t="s">
        <v>1510</v>
      </c>
      <c r="G172" s="153" t="s">
        <v>1511</v>
      </c>
      <c r="H172" s="138" t="s">
        <v>131</v>
      </c>
      <c r="I172" s="138" t="s">
        <v>105</v>
      </c>
      <c r="J172" s="142">
        <v>25.0</v>
      </c>
      <c r="K172" s="138" t="s">
        <v>1512</v>
      </c>
      <c r="L172" s="138" t="s">
        <v>133</v>
      </c>
      <c r="M172" s="142" t="s">
        <v>1513</v>
      </c>
      <c r="N172" s="138" t="s">
        <v>1514</v>
      </c>
      <c r="O172" s="138" t="s">
        <v>1515</v>
      </c>
      <c r="P172" s="142" t="s">
        <v>1516</v>
      </c>
      <c r="Q172" s="158"/>
      <c r="R172" s="160">
        <v>46023.0</v>
      </c>
      <c r="S172" s="141">
        <v>46387.0</v>
      </c>
      <c r="T172" s="138" t="s">
        <v>1517</v>
      </c>
      <c r="U172" s="142" t="s">
        <v>140</v>
      </c>
      <c r="V172" s="143"/>
      <c r="W172" s="149"/>
      <c r="X172" s="149"/>
      <c r="Y172" s="148"/>
    </row>
    <row r="173" ht="33.0" customHeight="1">
      <c r="A173" s="138">
        <v>172.0</v>
      </c>
      <c r="B173" s="143"/>
      <c r="C173" s="142" t="s">
        <v>28</v>
      </c>
      <c r="D173" s="138" t="s">
        <v>1484</v>
      </c>
      <c r="E173" s="138" t="s">
        <v>1518</v>
      </c>
      <c r="F173" s="142" t="s">
        <v>1519</v>
      </c>
      <c r="G173" s="153" t="s">
        <v>1520</v>
      </c>
      <c r="H173" s="138" t="s">
        <v>131</v>
      </c>
      <c r="I173" s="138" t="s">
        <v>105</v>
      </c>
      <c r="J173" s="142">
        <v>25.0</v>
      </c>
      <c r="K173" s="138" t="s">
        <v>1512</v>
      </c>
      <c r="L173" s="138" t="s">
        <v>133</v>
      </c>
      <c r="M173" s="142" t="s">
        <v>1521</v>
      </c>
      <c r="N173" s="138" t="s">
        <v>1522</v>
      </c>
      <c r="O173" s="138" t="s">
        <v>1523</v>
      </c>
      <c r="P173" s="138" t="s">
        <v>1524</v>
      </c>
      <c r="Q173" s="158"/>
      <c r="R173" s="160">
        <v>46023.0</v>
      </c>
      <c r="S173" s="141">
        <v>46387.0</v>
      </c>
      <c r="T173" s="138" t="s">
        <v>1525</v>
      </c>
      <c r="U173" s="142" t="s">
        <v>140</v>
      </c>
      <c r="V173" s="143"/>
      <c r="W173" s="149"/>
      <c r="X173" s="149"/>
      <c r="Y173" s="148"/>
    </row>
    <row r="174" ht="33.0" customHeight="1">
      <c r="A174" s="138">
        <v>173.0</v>
      </c>
      <c r="B174" s="143"/>
      <c r="C174" s="142" t="s">
        <v>28</v>
      </c>
      <c r="D174" s="138" t="s">
        <v>1484</v>
      </c>
      <c r="E174" s="138" t="s">
        <v>1518</v>
      </c>
      <c r="F174" s="142" t="s">
        <v>1526</v>
      </c>
      <c r="G174" s="153" t="s">
        <v>1527</v>
      </c>
      <c r="H174" s="138" t="s">
        <v>131</v>
      </c>
      <c r="I174" s="138" t="s">
        <v>105</v>
      </c>
      <c r="J174" s="142">
        <v>8.0</v>
      </c>
      <c r="K174" s="138" t="s">
        <v>274</v>
      </c>
      <c r="L174" s="138" t="s">
        <v>158</v>
      </c>
      <c r="M174" s="142" t="s">
        <v>1528</v>
      </c>
      <c r="N174" s="138" t="s">
        <v>1529</v>
      </c>
      <c r="O174" s="138" t="s">
        <v>1530</v>
      </c>
      <c r="P174" s="145"/>
      <c r="Q174" s="142" t="s">
        <v>1531</v>
      </c>
      <c r="R174" s="160">
        <v>46023.0</v>
      </c>
      <c r="S174" s="141">
        <v>46387.0</v>
      </c>
      <c r="T174" s="138" t="s">
        <v>1532</v>
      </c>
      <c r="U174" s="142" t="s">
        <v>140</v>
      </c>
      <c r="V174" s="143"/>
      <c r="W174" s="149"/>
      <c r="X174" s="149"/>
      <c r="Y174" s="144"/>
    </row>
    <row r="175" ht="33.0" customHeight="1">
      <c r="A175" s="138">
        <v>174.0</v>
      </c>
      <c r="B175" s="143"/>
      <c r="C175" s="142" t="s">
        <v>28</v>
      </c>
      <c r="D175" s="138" t="s">
        <v>1484</v>
      </c>
      <c r="E175" s="138" t="s">
        <v>1533</v>
      </c>
      <c r="F175" s="142" t="s">
        <v>1534</v>
      </c>
      <c r="G175" s="153" t="s">
        <v>1535</v>
      </c>
      <c r="H175" s="138" t="s">
        <v>131</v>
      </c>
      <c r="I175" s="138" t="s">
        <v>105</v>
      </c>
      <c r="J175" s="142">
        <v>10.0</v>
      </c>
      <c r="K175" s="138" t="s">
        <v>1425</v>
      </c>
      <c r="L175" s="138" t="s">
        <v>133</v>
      </c>
      <c r="M175" s="142" t="s">
        <v>1536</v>
      </c>
      <c r="N175" s="138" t="s">
        <v>1537</v>
      </c>
      <c r="O175" s="142" t="s">
        <v>1538</v>
      </c>
      <c r="P175" s="138" t="s">
        <v>1539</v>
      </c>
      <c r="Q175" s="158"/>
      <c r="R175" s="160">
        <v>46023.0</v>
      </c>
      <c r="S175" s="141">
        <v>46387.0</v>
      </c>
      <c r="T175" s="138" t="s">
        <v>1540</v>
      </c>
      <c r="U175" s="142" t="s">
        <v>140</v>
      </c>
      <c r="V175" s="143"/>
      <c r="W175" s="143"/>
      <c r="X175" s="143"/>
      <c r="Y175" s="148"/>
    </row>
    <row r="176" ht="33.0" customHeight="1">
      <c r="A176" s="138">
        <v>175.0</v>
      </c>
      <c r="B176" s="143"/>
      <c r="C176" s="138" t="s">
        <v>28</v>
      </c>
      <c r="D176" s="138" t="s">
        <v>1484</v>
      </c>
      <c r="E176" s="138" t="s">
        <v>1533</v>
      </c>
      <c r="F176" s="142" t="s">
        <v>1541</v>
      </c>
      <c r="G176" s="153" t="s">
        <v>1542</v>
      </c>
      <c r="H176" s="138" t="s">
        <v>131</v>
      </c>
      <c r="I176" s="138" t="s">
        <v>353</v>
      </c>
      <c r="J176" s="142">
        <v>10.0</v>
      </c>
      <c r="K176" s="138" t="s">
        <v>1543</v>
      </c>
      <c r="L176" s="146"/>
      <c r="M176" s="142" t="s">
        <v>1544</v>
      </c>
      <c r="N176" s="138" t="s">
        <v>1545</v>
      </c>
      <c r="O176" s="138" t="s">
        <v>1546</v>
      </c>
      <c r="P176" s="165"/>
      <c r="Q176" s="142" t="s">
        <v>1268</v>
      </c>
      <c r="R176" s="160">
        <v>46023.0</v>
      </c>
      <c r="S176" s="141">
        <v>46387.0</v>
      </c>
      <c r="T176" s="138" t="s">
        <v>1547</v>
      </c>
      <c r="U176" s="142" t="s">
        <v>140</v>
      </c>
      <c r="V176" s="143"/>
      <c r="W176" s="143"/>
      <c r="X176" s="143"/>
      <c r="Y176" s="148"/>
    </row>
    <row r="177" ht="33.0" customHeight="1">
      <c r="A177" s="138">
        <v>176.0</v>
      </c>
      <c r="B177" s="143"/>
      <c r="C177" s="142" t="s">
        <v>28</v>
      </c>
      <c r="D177" s="138" t="s">
        <v>1484</v>
      </c>
      <c r="E177" s="138" t="s">
        <v>1548</v>
      </c>
      <c r="F177" s="142" t="s">
        <v>1549</v>
      </c>
      <c r="G177" s="153" t="s">
        <v>1550</v>
      </c>
      <c r="H177" s="138" t="s">
        <v>131</v>
      </c>
      <c r="I177" s="138" t="s">
        <v>105</v>
      </c>
      <c r="J177" s="142">
        <v>10.0</v>
      </c>
      <c r="K177" s="138" t="s">
        <v>274</v>
      </c>
      <c r="L177" s="138" t="s">
        <v>133</v>
      </c>
      <c r="M177" s="142" t="s">
        <v>1551</v>
      </c>
      <c r="N177" s="138" t="s">
        <v>1552</v>
      </c>
      <c r="O177" s="138" t="s">
        <v>1553</v>
      </c>
      <c r="P177" s="138" t="s">
        <v>1554</v>
      </c>
      <c r="Q177" s="158"/>
      <c r="R177" s="160">
        <v>46023.0</v>
      </c>
      <c r="S177" s="141">
        <v>46387.0</v>
      </c>
      <c r="T177" s="138" t="s">
        <v>1555</v>
      </c>
      <c r="U177" s="142" t="s">
        <v>140</v>
      </c>
      <c r="V177" s="143"/>
      <c r="W177" s="149"/>
      <c r="X177" s="149"/>
      <c r="Y177" s="148"/>
    </row>
    <row r="178" ht="33.0" customHeight="1">
      <c r="A178" s="138">
        <v>177.0</v>
      </c>
      <c r="B178" s="143"/>
      <c r="C178" s="142" t="s">
        <v>28</v>
      </c>
      <c r="D178" s="138" t="s">
        <v>1484</v>
      </c>
      <c r="E178" s="138" t="s">
        <v>1556</v>
      </c>
      <c r="F178" s="142" t="s">
        <v>1557</v>
      </c>
      <c r="G178" s="153" t="s">
        <v>1558</v>
      </c>
      <c r="H178" s="138" t="s">
        <v>131</v>
      </c>
      <c r="I178" s="138" t="s">
        <v>353</v>
      </c>
      <c r="J178" s="142">
        <v>25.0</v>
      </c>
      <c r="K178" s="138" t="s">
        <v>1425</v>
      </c>
      <c r="L178" s="138" t="s">
        <v>158</v>
      </c>
      <c r="M178" s="142" t="s">
        <v>1559</v>
      </c>
      <c r="N178" s="138" t="s">
        <v>1560</v>
      </c>
      <c r="O178" s="138" t="s">
        <v>1561</v>
      </c>
      <c r="P178" s="142" t="s">
        <v>1562</v>
      </c>
      <c r="Q178" s="145"/>
      <c r="R178" s="160">
        <v>46023.0</v>
      </c>
      <c r="S178" s="141">
        <v>46387.0</v>
      </c>
      <c r="T178" s="138" t="s">
        <v>1563</v>
      </c>
      <c r="U178" s="142" t="s">
        <v>140</v>
      </c>
      <c r="V178" s="143"/>
      <c r="W178" s="149"/>
      <c r="X178" s="149"/>
      <c r="Y178" s="143"/>
    </row>
    <row r="179" ht="33.0" customHeight="1">
      <c r="A179" s="138">
        <v>178.0</v>
      </c>
      <c r="B179" s="143"/>
      <c r="C179" s="138" t="s">
        <v>28</v>
      </c>
      <c r="D179" s="138" t="s">
        <v>1484</v>
      </c>
      <c r="E179" s="138" t="s">
        <v>1556</v>
      </c>
      <c r="F179" s="142" t="s">
        <v>1564</v>
      </c>
      <c r="G179" s="153" t="s">
        <v>1565</v>
      </c>
      <c r="H179" s="138" t="s">
        <v>131</v>
      </c>
      <c r="I179" s="138" t="s">
        <v>105</v>
      </c>
      <c r="J179" s="142">
        <v>10.0</v>
      </c>
      <c r="K179" s="138" t="s">
        <v>1425</v>
      </c>
      <c r="L179" s="138" t="s">
        <v>133</v>
      </c>
      <c r="M179" s="142" t="s">
        <v>1566</v>
      </c>
      <c r="N179" s="138" t="s">
        <v>1567</v>
      </c>
      <c r="O179" s="150" t="s">
        <v>1568</v>
      </c>
      <c r="P179" s="142" t="s">
        <v>1569</v>
      </c>
      <c r="Q179" s="165"/>
      <c r="R179" s="141">
        <v>46023.0</v>
      </c>
      <c r="S179" s="141">
        <v>46387.0</v>
      </c>
      <c r="T179" s="138" t="s">
        <v>1570</v>
      </c>
      <c r="U179" s="142" t="s">
        <v>140</v>
      </c>
      <c r="V179" s="143"/>
      <c r="W179" s="143"/>
      <c r="X179" s="143"/>
      <c r="Y179" s="143"/>
    </row>
    <row r="180" ht="33.0" customHeight="1">
      <c r="A180" s="138">
        <v>179.0</v>
      </c>
      <c r="B180" s="143"/>
      <c r="C180" s="138" t="s">
        <v>28</v>
      </c>
      <c r="D180" s="138" t="s">
        <v>1484</v>
      </c>
      <c r="E180" s="138" t="s">
        <v>1571</v>
      </c>
      <c r="F180" s="142" t="s">
        <v>1572</v>
      </c>
      <c r="G180" s="153" t="s">
        <v>1573</v>
      </c>
      <c r="H180" s="138" t="s">
        <v>131</v>
      </c>
      <c r="I180" s="138" t="s">
        <v>105</v>
      </c>
      <c r="J180" s="142">
        <v>25.0</v>
      </c>
      <c r="K180" s="138" t="s">
        <v>274</v>
      </c>
      <c r="L180" s="138" t="s">
        <v>158</v>
      </c>
      <c r="M180" s="142" t="s">
        <v>1574</v>
      </c>
      <c r="N180" s="138" t="s">
        <v>1575</v>
      </c>
      <c r="O180" s="138" t="s">
        <v>1576</v>
      </c>
      <c r="P180" s="142" t="s">
        <v>1577</v>
      </c>
      <c r="Q180" s="145"/>
      <c r="R180" s="141">
        <v>46023.0</v>
      </c>
      <c r="S180" s="141">
        <v>46387.0</v>
      </c>
      <c r="T180" s="138" t="s">
        <v>1578</v>
      </c>
      <c r="U180" s="142" t="s">
        <v>140</v>
      </c>
      <c r="V180" s="143"/>
      <c r="W180" s="143"/>
      <c r="X180" s="143"/>
      <c r="Y180" s="143"/>
    </row>
    <row r="181" ht="33.0" customHeight="1">
      <c r="A181" s="138">
        <v>180.0</v>
      </c>
      <c r="B181" s="143"/>
      <c r="C181" s="138" t="s">
        <v>28</v>
      </c>
      <c r="D181" s="138" t="s">
        <v>1484</v>
      </c>
      <c r="E181" s="138" t="s">
        <v>1579</v>
      </c>
      <c r="F181" s="142" t="s">
        <v>1580</v>
      </c>
      <c r="G181" s="153" t="s">
        <v>1581</v>
      </c>
      <c r="H181" s="138" t="s">
        <v>131</v>
      </c>
      <c r="I181" s="138" t="s">
        <v>105</v>
      </c>
      <c r="J181" s="142">
        <v>40.0</v>
      </c>
      <c r="K181" s="138" t="s">
        <v>274</v>
      </c>
      <c r="L181" s="138" t="s">
        <v>133</v>
      </c>
      <c r="M181" s="142" t="s">
        <v>1582</v>
      </c>
      <c r="N181" s="138" t="s">
        <v>1583</v>
      </c>
      <c r="O181" s="138" t="s">
        <v>1584</v>
      </c>
      <c r="P181" s="142" t="s">
        <v>1585</v>
      </c>
      <c r="Q181" s="145"/>
      <c r="R181" s="160">
        <v>46023.0</v>
      </c>
      <c r="S181" s="141">
        <v>46387.0</v>
      </c>
      <c r="T181" s="138" t="s">
        <v>1586</v>
      </c>
      <c r="U181" s="142" t="s">
        <v>140</v>
      </c>
      <c r="V181" s="143"/>
      <c r="W181" s="143"/>
      <c r="X181" s="143"/>
      <c r="Y181" s="143"/>
    </row>
    <row r="182" ht="33.0" customHeight="1">
      <c r="A182" s="138">
        <v>181.0</v>
      </c>
      <c r="B182" s="143"/>
      <c r="C182" s="138" t="s">
        <v>28</v>
      </c>
      <c r="D182" s="138" t="s">
        <v>1484</v>
      </c>
      <c r="E182" s="138" t="s">
        <v>1060</v>
      </c>
      <c r="F182" s="142" t="s">
        <v>1587</v>
      </c>
      <c r="G182" s="153" t="s">
        <v>1588</v>
      </c>
      <c r="H182" s="138" t="s">
        <v>131</v>
      </c>
      <c r="I182" s="138" t="s">
        <v>105</v>
      </c>
      <c r="J182" s="142">
        <v>15.0</v>
      </c>
      <c r="K182" s="138" t="s">
        <v>1425</v>
      </c>
      <c r="L182" s="138" t="s">
        <v>158</v>
      </c>
      <c r="M182" s="142" t="s">
        <v>1589</v>
      </c>
      <c r="N182" s="138" t="s">
        <v>1590</v>
      </c>
      <c r="O182" s="164" t="s">
        <v>1591</v>
      </c>
      <c r="P182" s="142" t="s">
        <v>1592</v>
      </c>
      <c r="Q182" s="145"/>
      <c r="R182" s="141">
        <v>46023.0</v>
      </c>
      <c r="S182" s="141">
        <v>46387.0</v>
      </c>
      <c r="T182" s="138" t="s">
        <v>1593</v>
      </c>
      <c r="U182" s="142" t="s">
        <v>140</v>
      </c>
      <c r="V182" s="143"/>
      <c r="W182" s="143"/>
      <c r="X182" s="143"/>
      <c r="Y182" s="148"/>
    </row>
    <row r="183" ht="33.0" customHeight="1">
      <c r="A183" s="138">
        <v>182.0</v>
      </c>
      <c r="B183" s="143"/>
      <c r="C183" s="138" t="s">
        <v>28</v>
      </c>
      <c r="D183" s="138" t="s">
        <v>1484</v>
      </c>
      <c r="E183" s="138" t="s">
        <v>1594</v>
      </c>
      <c r="F183" s="142" t="s">
        <v>1595</v>
      </c>
      <c r="G183" s="153" t="s">
        <v>1596</v>
      </c>
      <c r="H183" s="138" t="s">
        <v>131</v>
      </c>
      <c r="I183" s="138" t="s">
        <v>105</v>
      </c>
      <c r="J183" s="142">
        <v>10.0</v>
      </c>
      <c r="K183" s="138" t="s">
        <v>1512</v>
      </c>
      <c r="L183" s="138" t="s">
        <v>133</v>
      </c>
      <c r="M183" s="142" t="s">
        <v>1597</v>
      </c>
      <c r="N183" s="138" t="s">
        <v>1598</v>
      </c>
      <c r="O183" s="164" t="s">
        <v>1599</v>
      </c>
      <c r="P183" s="138" t="s">
        <v>1600</v>
      </c>
      <c r="Q183" s="165"/>
      <c r="R183" s="141">
        <v>46023.0</v>
      </c>
      <c r="S183" s="141">
        <v>46387.0</v>
      </c>
      <c r="T183" s="138" t="s">
        <v>1601</v>
      </c>
      <c r="U183" s="142" t="s">
        <v>140</v>
      </c>
      <c r="V183" s="143"/>
      <c r="W183" s="143"/>
      <c r="X183" s="143"/>
      <c r="Y183" s="148"/>
    </row>
    <row r="184" ht="33.0" customHeight="1">
      <c r="A184" s="138">
        <v>183.0</v>
      </c>
      <c r="B184" s="143"/>
      <c r="C184" s="142" t="s">
        <v>28</v>
      </c>
      <c r="D184" s="138" t="s">
        <v>1484</v>
      </c>
      <c r="E184" s="138" t="s">
        <v>1602</v>
      </c>
      <c r="F184" s="142" t="s">
        <v>1603</v>
      </c>
      <c r="G184" s="153" t="s">
        <v>1604</v>
      </c>
      <c r="H184" s="138" t="s">
        <v>131</v>
      </c>
      <c r="I184" s="138" t="s">
        <v>105</v>
      </c>
      <c r="J184" s="142">
        <v>10.0</v>
      </c>
      <c r="K184" s="138" t="s">
        <v>274</v>
      </c>
      <c r="L184" s="138" t="s">
        <v>158</v>
      </c>
      <c r="M184" s="142" t="s">
        <v>1605</v>
      </c>
      <c r="N184" s="142" t="s">
        <v>1606</v>
      </c>
      <c r="O184" s="138" t="s">
        <v>1607</v>
      </c>
      <c r="P184" s="138" t="s">
        <v>1608</v>
      </c>
      <c r="Q184" s="158"/>
      <c r="R184" s="160">
        <v>46023.0</v>
      </c>
      <c r="S184" s="141">
        <v>46387.0</v>
      </c>
      <c r="T184" s="138" t="s">
        <v>1609</v>
      </c>
      <c r="U184" s="142" t="s">
        <v>140</v>
      </c>
      <c r="V184" s="143"/>
      <c r="W184" s="149"/>
      <c r="X184" s="149"/>
      <c r="Y184" s="148"/>
    </row>
    <row r="185" ht="33.0" customHeight="1">
      <c r="A185" s="138">
        <v>184.0</v>
      </c>
      <c r="B185" s="143"/>
      <c r="C185" s="138" t="s">
        <v>28</v>
      </c>
      <c r="D185" s="138" t="s">
        <v>1484</v>
      </c>
      <c r="E185" s="138" t="s">
        <v>1610</v>
      </c>
      <c r="F185" s="142" t="s">
        <v>1611</v>
      </c>
      <c r="G185" s="153" t="s">
        <v>1612</v>
      </c>
      <c r="H185" s="138" t="s">
        <v>131</v>
      </c>
      <c r="I185" s="138" t="s">
        <v>105</v>
      </c>
      <c r="J185" s="142">
        <v>25.0</v>
      </c>
      <c r="K185" s="138" t="s">
        <v>1425</v>
      </c>
      <c r="L185" s="138" t="s">
        <v>158</v>
      </c>
      <c r="M185" s="142" t="s">
        <v>1613</v>
      </c>
      <c r="N185" s="167" t="s">
        <v>1614</v>
      </c>
      <c r="O185" s="138" t="s">
        <v>1615</v>
      </c>
      <c r="P185" s="142" t="s">
        <v>1616</v>
      </c>
      <c r="Q185" s="145"/>
      <c r="R185" s="160">
        <v>46023.0</v>
      </c>
      <c r="S185" s="141">
        <v>46387.0</v>
      </c>
      <c r="T185" s="138" t="s">
        <v>1617</v>
      </c>
      <c r="U185" s="142" t="s">
        <v>140</v>
      </c>
      <c r="V185" s="143"/>
      <c r="W185" s="143"/>
      <c r="X185" s="143"/>
      <c r="Y185" s="148"/>
    </row>
    <row r="186" ht="33.0" customHeight="1">
      <c r="A186" s="138">
        <v>185.0</v>
      </c>
      <c r="B186" s="143"/>
      <c r="C186" s="138" t="s">
        <v>28</v>
      </c>
      <c r="D186" s="138" t="s">
        <v>1484</v>
      </c>
      <c r="E186" s="138" t="s">
        <v>1618</v>
      </c>
      <c r="F186" s="142" t="s">
        <v>1619</v>
      </c>
      <c r="G186" s="153" t="s">
        <v>1620</v>
      </c>
      <c r="H186" s="138" t="s">
        <v>131</v>
      </c>
      <c r="I186" s="138" t="s">
        <v>105</v>
      </c>
      <c r="J186" s="142">
        <v>25.0</v>
      </c>
      <c r="K186" s="138" t="s">
        <v>274</v>
      </c>
      <c r="L186" s="138" t="s">
        <v>133</v>
      </c>
      <c r="M186" s="142" t="s">
        <v>1621</v>
      </c>
      <c r="N186" s="138" t="s">
        <v>1622</v>
      </c>
      <c r="O186" s="142" t="s">
        <v>1623</v>
      </c>
      <c r="P186" s="142" t="s">
        <v>1624</v>
      </c>
      <c r="Q186" s="145"/>
      <c r="R186" s="160">
        <v>46023.0</v>
      </c>
      <c r="S186" s="141">
        <v>46387.0</v>
      </c>
      <c r="T186" s="138" t="s">
        <v>1625</v>
      </c>
      <c r="U186" s="142" t="s">
        <v>140</v>
      </c>
      <c r="V186" s="143"/>
      <c r="W186" s="143"/>
      <c r="X186" s="143"/>
      <c r="Y186" s="148"/>
    </row>
    <row r="187" ht="33.0" customHeight="1">
      <c r="A187" s="138">
        <v>186.0</v>
      </c>
      <c r="B187" s="143"/>
      <c r="C187" s="138" t="s">
        <v>30</v>
      </c>
      <c r="D187" s="138" t="s">
        <v>1626</v>
      </c>
      <c r="E187" s="138" t="s">
        <v>1627</v>
      </c>
      <c r="F187" s="142" t="s">
        <v>1628</v>
      </c>
      <c r="G187" s="153" t="s">
        <v>1629</v>
      </c>
      <c r="H187" s="138" t="s">
        <v>131</v>
      </c>
      <c r="I187" s="138" t="s">
        <v>105</v>
      </c>
      <c r="J187" s="142">
        <v>10.0</v>
      </c>
      <c r="K187" s="138" t="s">
        <v>274</v>
      </c>
      <c r="L187" s="146"/>
      <c r="M187" s="142" t="s">
        <v>1630</v>
      </c>
      <c r="N187" s="142" t="s">
        <v>1631</v>
      </c>
      <c r="O187" s="164" t="s">
        <v>1632</v>
      </c>
      <c r="P187" s="142" t="s">
        <v>141</v>
      </c>
      <c r="Q187" s="142" t="s">
        <v>1633</v>
      </c>
      <c r="R187" s="141">
        <v>46023.0</v>
      </c>
      <c r="S187" s="141">
        <v>46387.0</v>
      </c>
      <c r="T187" s="142" t="s">
        <v>1634</v>
      </c>
      <c r="U187" s="142" t="s">
        <v>140</v>
      </c>
      <c r="V187" s="143"/>
      <c r="W187" s="143"/>
      <c r="X187" s="143"/>
      <c r="Y187" s="148"/>
    </row>
    <row r="188" ht="33.0" customHeight="1">
      <c r="A188" s="138">
        <v>187.0</v>
      </c>
      <c r="B188" s="143"/>
      <c r="C188" s="138" t="s">
        <v>30</v>
      </c>
      <c r="D188" s="138" t="s">
        <v>1626</v>
      </c>
      <c r="E188" s="138" t="s">
        <v>1635</v>
      </c>
      <c r="F188" s="142" t="s">
        <v>1636</v>
      </c>
      <c r="G188" s="153" t="s">
        <v>1637</v>
      </c>
      <c r="H188" s="138" t="s">
        <v>131</v>
      </c>
      <c r="I188" s="138" t="s">
        <v>105</v>
      </c>
      <c r="J188" s="142">
        <v>12.0</v>
      </c>
      <c r="K188" s="138" t="s">
        <v>1638</v>
      </c>
      <c r="L188" s="138" t="s">
        <v>158</v>
      </c>
      <c r="M188" s="142" t="s">
        <v>1639</v>
      </c>
      <c r="N188" s="142">
        <v>9.276539556E9</v>
      </c>
      <c r="O188" s="142" t="s">
        <v>1640</v>
      </c>
      <c r="P188" s="142" t="s">
        <v>1641</v>
      </c>
      <c r="Q188" s="142" t="s">
        <v>141</v>
      </c>
      <c r="R188" s="141">
        <v>46023.0</v>
      </c>
      <c r="S188" s="141">
        <v>46387.0</v>
      </c>
      <c r="T188" s="142" t="s">
        <v>1642</v>
      </c>
      <c r="U188" s="142" t="s">
        <v>140</v>
      </c>
      <c r="V188" s="143"/>
      <c r="W188" s="143"/>
      <c r="X188" s="143"/>
      <c r="Y188" s="148"/>
    </row>
    <row r="189" ht="33.0" customHeight="1">
      <c r="A189" s="138">
        <v>188.0</v>
      </c>
      <c r="B189" s="143"/>
      <c r="C189" s="138" t="s">
        <v>30</v>
      </c>
      <c r="D189" s="138" t="s">
        <v>1626</v>
      </c>
      <c r="E189" s="138" t="s">
        <v>1643</v>
      </c>
      <c r="F189" s="142" t="s">
        <v>1644</v>
      </c>
      <c r="G189" s="153" t="s">
        <v>1645</v>
      </c>
      <c r="H189" s="138" t="s">
        <v>131</v>
      </c>
      <c r="I189" s="138" t="s">
        <v>105</v>
      </c>
      <c r="J189" s="142">
        <v>10.0</v>
      </c>
      <c r="K189" s="138" t="s">
        <v>141</v>
      </c>
      <c r="L189" s="146"/>
      <c r="M189" s="142" t="s">
        <v>1646</v>
      </c>
      <c r="N189" s="142" t="s">
        <v>1647</v>
      </c>
      <c r="O189" s="142" t="s">
        <v>1648</v>
      </c>
      <c r="P189" s="142" t="s">
        <v>141</v>
      </c>
      <c r="Q189" s="142" t="s">
        <v>1649</v>
      </c>
      <c r="R189" s="141">
        <v>46023.0</v>
      </c>
      <c r="S189" s="141">
        <v>46387.0</v>
      </c>
      <c r="T189" s="142" t="s">
        <v>1650</v>
      </c>
      <c r="U189" s="142" t="s">
        <v>140</v>
      </c>
      <c r="V189" s="143"/>
      <c r="W189" s="143"/>
      <c r="X189" s="143"/>
      <c r="Y189" s="148"/>
    </row>
    <row r="190" ht="33.0" customHeight="1">
      <c r="A190" s="138">
        <v>189.0</v>
      </c>
      <c r="B190" s="143"/>
      <c r="C190" s="138" t="s">
        <v>30</v>
      </c>
      <c r="D190" s="138" t="s">
        <v>1626</v>
      </c>
      <c r="E190" s="138" t="s">
        <v>1651</v>
      </c>
      <c r="F190" s="142" t="s">
        <v>1652</v>
      </c>
      <c r="G190" s="153" t="s">
        <v>1653</v>
      </c>
      <c r="H190" s="138" t="s">
        <v>131</v>
      </c>
      <c r="I190" s="138" t="s">
        <v>105</v>
      </c>
      <c r="J190" s="142">
        <v>10.0</v>
      </c>
      <c r="K190" s="138" t="s">
        <v>141</v>
      </c>
      <c r="L190" s="146"/>
      <c r="M190" s="142" t="s">
        <v>1654</v>
      </c>
      <c r="N190" s="142" t="s">
        <v>1655</v>
      </c>
      <c r="O190" s="142" t="s">
        <v>1656</v>
      </c>
      <c r="P190" s="142" t="s">
        <v>141</v>
      </c>
      <c r="Q190" s="142" t="s">
        <v>1657</v>
      </c>
      <c r="R190" s="141">
        <v>46023.0</v>
      </c>
      <c r="S190" s="141">
        <v>46387.0</v>
      </c>
      <c r="T190" s="142" t="s">
        <v>1658</v>
      </c>
      <c r="U190" s="142" t="s">
        <v>140</v>
      </c>
      <c r="V190" s="143"/>
      <c r="W190" s="143"/>
      <c r="X190" s="143"/>
      <c r="Y190" s="148"/>
    </row>
    <row r="191" ht="33.0" customHeight="1">
      <c r="A191" s="138">
        <v>190.0</v>
      </c>
      <c r="B191" s="143"/>
      <c r="C191" s="138" t="s">
        <v>30</v>
      </c>
      <c r="D191" s="138" t="s">
        <v>1626</v>
      </c>
      <c r="E191" s="138" t="s">
        <v>1659</v>
      </c>
      <c r="F191" s="142" t="s">
        <v>1660</v>
      </c>
      <c r="G191" s="153" t="s">
        <v>1661</v>
      </c>
      <c r="H191" s="138" t="s">
        <v>131</v>
      </c>
      <c r="I191" s="138" t="s">
        <v>105</v>
      </c>
      <c r="J191" s="142">
        <v>10.0</v>
      </c>
      <c r="K191" s="138" t="s">
        <v>141</v>
      </c>
      <c r="L191" s="146"/>
      <c r="M191" s="142" t="s">
        <v>1662</v>
      </c>
      <c r="N191" s="142" t="s">
        <v>1663</v>
      </c>
      <c r="O191" s="142" t="s">
        <v>1664</v>
      </c>
      <c r="P191" s="142" t="s">
        <v>141</v>
      </c>
      <c r="Q191" s="142" t="s">
        <v>1665</v>
      </c>
      <c r="R191" s="141">
        <v>46023.0</v>
      </c>
      <c r="S191" s="141">
        <v>46387.0</v>
      </c>
      <c r="T191" s="142" t="s">
        <v>1666</v>
      </c>
      <c r="U191" s="142" t="s">
        <v>140</v>
      </c>
      <c r="V191" s="143"/>
      <c r="W191" s="143"/>
      <c r="X191" s="143"/>
      <c r="Y191" s="148"/>
    </row>
    <row r="192" ht="33.0" customHeight="1">
      <c r="A192" s="138">
        <v>191.0</v>
      </c>
      <c r="B192" s="143"/>
      <c r="C192" s="138" t="s">
        <v>30</v>
      </c>
      <c r="D192" s="138" t="s">
        <v>1626</v>
      </c>
      <c r="E192" s="138" t="s">
        <v>1667</v>
      </c>
      <c r="F192" s="142" t="s">
        <v>1668</v>
      </c>
      <c r="G192" s="153" t="s">
        <v>1669</v>
      </c>
      <c r="H192" s="138" t="s">
        <v>131</v>
      </c>
      <c r="I192" s="138" t="s">
        <v>105</v>
      </c>
      <c r="J192" s="142">
        <v>25.0</v>
      </c>
      <c r="K192" s="138" t="s">
        <v>274</v>
      </c>
      <c r="L192" s="146"/>
      <c r="M192" s="142" t="s">
        <v>1670</v>
      </c>
      <c r="N192" s="142" t="s">
        <v>1671</v>
      </c>
      <c r="O192" s="164" t="s">
        <v>1672</v>
      </c>
      <c r="P192" s="142" t="s">
        <v>141</v>
      </c>
      <c r="Q192" s="142" t="s">
        <v>1633</v>
      </c>
      <c r="R192" s="141">
        <v>46023.0</v>
      </c>
      <c r="S192" s="141">
        <v>46387.0</v>
      </c>
      <c r="T192" s="142" t="s">
        <v>1673</v>
      </c>
      <c r="U192" s="142" t="s">
        <v>140</v>
      </c>
      <c r="V192" s="143"/>
      <c r="W192" s="143"/>
      <c r="X192" s="143"/>
      <c r="Y192" s="148"/>
    </row>
    <row r="193" ht="33.0" customHeight="1">
      <c r="A193" s="138">
        <v>192.0</v>
      </c>
      <c r="B193" s="143"/>
      <c r="C193" s="138" t="s">
        <v>30</v>
      </c>
      <c r="D193" s="138" t="s">
        <v>1626</v>
      </c>
      <c r="E193" s="138" t="s">
        <v>1674</v>
      </c>
      <c r="F193" s="142" t="s">
        <v>1675</v>
      </c>
      <c r="G193" s="153" t="s">
        <v>1676</v>
      </c>
      <c r="H193" s="138" t="s">
        <v>131</v>
      </c>
      <c r="I193" s="138" t="s">
        <v>105</v>
      </c>
      <c r="J193" s="142">
        <v>10.0</v>
      </c>
      <c r="K193" s="138" t="s">
        <v>141</v>
      </c>
      <c r="L193" s="146"/>
      <c r="M193" s="142" t="s">
        <v>1677</v>
      </c>
      <c r="N193" s="142">
        <v>9.176356056E9</v>
      </c>
      <c r="O193" s="142" t="s">
        <v>1678</v>
      </c>
      <c r="P193" s="142" t="s">
        <v>141</v>
      </c>
      <c r="Q193" s="142" t="s">
        <v>1657</v>
      </c>
      <c r="R193" s="141">
        <v>46023.0</v>
      </c>
      <c r="S193" s="141">
        <v>46387.0</v>
      </c>
      <c r="T193" s="142" t="s">
        <v>1679</v>
      </c>
      <c r="U193" s="142" t="s">
        <v>140</v>
      </c>
      <c r="V193" s="143"/>
      <c r="W193" s="143"/>
      <c r="X193" s="143"/>
      <c r="Y193" s="148"/>
    </row>
    <row r="194" ht="33.0" customHeight="1">
      <c r="A194" s="138">
        <v>193.0</v>
      </c>
      <c r="B194" s="143"/>
      <c r="C194" s="138" t="s">
        <v>30</v>
      </c>
      <c r="D194" s="138" t="s">
        <v>1626</v>
      </c>
      <c r="E194" s="138" t="s">
        <v>1680</v>
      </c>
      <c r="F194" s="142" t="s">
        <v>1681</v>
      </c>
      <c r="G194" s="153" t="s">
        <v>1682</v>
      </c>
      <c r="H194" s="138" t="s">
        <v>131</v>
      </c>
      <c r="I194" s="138" t="s">
        <v>105</v>
      </c>
      <c r="J194" s="142">
        <v>25.0</v>
      </c>
      <c r="K194" s="138" t="s">
        <v>1683</v>
      </c>
      <c r="L194" s="146"/>
      <c r="M194" s="142" t="s">
        <v>1684</v>
      </c>
      <c r="N194" s="142" t="s">
        <v>1685</v>
      </c>
      <c r="O194" s="142" t="s">
        <v>1686</v>
      </c>
      <c r="P194" s="142" t="s">
        <v>141</v>
      </c>
      <c r="Q194" s="142" t="s">
        <v>1649</v>
      </c>
      <c r="R194" s="141">
        <v>46023.0</v>
      </c>
      <c r="S194" s="141">
        <v>46387.0</v>
      </c>
      <c r="T194" s="142" t="s">
        <v>1687</v>
      </c>
      <c r="U194" s="142" t="s">
        <v>140</v>
      </c>
      <c r="V194" s="143"/>
      <c r="W194" s="143"/>
      <c r="X194" s="143"/>
      <c r="Y194" s="148"/>
    </row>
    <row r="195" ht="33.0" customHeight="1">
      <c r="A195" s="138">
        <v>194.0</v>
      </c>
      <c r="B195" s="143"/>
      <c r="C195" s="138" t="s">
        <v>30</v>
      </c>
      <c r="D195" s="138" t="s">
        <v>1688</v>
      </c>
      <c r="E195" s="138" t="s">
        <v>1689</v>
      </c>
      <c r="F195" s="142" t="s">
        <v>1690</v>
      </c>
      <c r="G195" s="153" t="s">
        <v>1691</v>
      </c>
      <c r="H195" s="138" t="s">
        <v>131</v>
      </c>
      <c r="I195" s="138" t="s">
        <v>105</v>
      </c>
      <c r="J195" s="142">
        <v>10.0</v>
      </c>
      <c r="K195" s="138" t="s">
        <v>141</v>
      </c>
      <c r="L195" s="146"/>
      <c r="M195" s="142" t="s">
        <v>1692</v>
      </c>
      <c r="N195" s="142">
        <v>9.084922916E9</v>
      </c>
      <c r="O195" s="142" t="s">
        <v>1693</v>
      </c>
      <c r="P195" s="142" t="s">
        <v>141</v>
      </c>
      <c r="Q195" s="142" t="s">
        <v>1694</v>
      </c>
      <c r="R195" s="141">
        <v>46023.0</v>
      </c>
      <c r="S195" s="141">
        <v>46387.0</v>
      </c>
      <c r="T195" s="142" t="s">
        <v>1695</v>
      </c>
      <c r="U195" s="142" t="s">
        <v>140</v>
      </c>
      <c r="V195" s="143"/>
      <c r="W195" s="143"/>
      <c r="X195" s="143"/>
      <c r="Y195" s="148"/>
    </row>
    <row r="196" ht="33.0" customHeight="1">
      <c r="A196" s="138">
        <v>195.0</v>
      </c>
      <c r="B196" s="143"/>
      <c r="C196" s="138" t="s">
        <v>30</v>
      </c>
      <c r="D196" s="138" t="s">
        <v>1688</v>
      </c>
      <c r="E196" s="138" t="s">
        <v>1696</v>
      </c>
      <c r="F196" s="142" t="s">
        <v>1697</v>
      </c>
      <c r="G196" s="153" t="s">
        <v>1698</v>
      </c>
      <c r="H196" s="138" t="s">
        <v>131</v>
      </c>
      <c r="I196" s="138" t="s">
        <v>189</v>
      </c>
      <c r="J196" s="142">
        <v>10.0</v>
      </c>
      <c r="K196" s="138" t="s">
        <v>1699</v>
      </c>
      <c r="L196" s="138" t="s">
        <v>158</v>
      </c>
      <c r="M196" s="142" t="s">
        <v>1700</v>
      </c>
      <c r="N196" s="142" t="s">
        <v>1701</v>
      </c>
      <c r="O196" s="142" t="s">
        <v>1702</v>
      </c>
      <c r="P196" s="142" t="s">
        <v>1703</v>
      </c>
      <c r="Q196" s="142" t="s">
        <v>141</v>
      </c>
      <c r="R196" s="141">
        <v>46023.0</v>
      </c>
      <c r="S196" s="141">
        <v>46387.0</v>
      </c>
      <c r="T196" s="142" t="s">
        <v>1704</v>
      </c>
      <c r="U196" s="142" t="s">
        <v>140</v>
      </c>
      <c r="V196" s="143"/>
      <c r="W196" s="143"/>
      <c r="X196" s="143"/>
      <c r="Y196" s="148"/>
    </row>
    <row r="197" ht="33.0" customHeight="1">
      <c r="A197" s="138">
        <v>196.0</v>
      </c>
      <c r="B197" s="143"/>
      <c r="C197" s="138" t="s">
        <v>30</v>
      </c>
      <c r="D197" s="138" t="s">
        <v>1688</v>
      </c>
      <c r="E197" s="138" t="s">
        <v>1705</v>
      </c>
      <c r="F197" s="142" t="s">
        <v>1706</v>
      </c>
      <c r="G197" s="153" t="s">
        <v>1707</v>
      </c>
      <c r="H197" s="138" t="s">
        <v>131</v>
      </c>
      <c r="I197" s="138" t="s">
        <v>105</v>
      </c>
      <c r="J197" s="142">
        <v>12.0</v>
      </c>
      <c r="K197" s="138" t="s">
        <v>1708</v>
      </c>
      <c r="L197" s="138" t="s">
        <v>158</v>
      </c>
      <c r="M197" s="142" t="s">
        <v>1709</v>
      </c>
      <c r="N197" s="142" t="s">
        <v>1710</v>
      </c>
      <c r="O197" s="142" t="s">
        <v>1711</v>
      </c>
      <c r="P197" s="142" t="s">
        <v>141</v>
      </c>
      <c r="Q197" s="142" t="s">
        <v>1694</v>
      </c>
      <c r="R197" s="141">
        <v>46023.0</v>
      </c>
      <c r="S197" s="141">
        <v>46387.0</v>
      </c>
      <c r="T197" s="142" t="s">
        <v>1712</v>
      </c>
      <c r="U197" s="142" t="s">
        <v>140</v>
      </c>
      <c r="V197" s="143"/>
      <c r="W197" s="143"/>
      <c r="X197" s="143"/>
      <c r="Y197" s="148"/>
    </row>
    <row r="198" ht="33.0" customHeight="1">
      <c r="A198" s="138">
        <v>197.0</v>
      </c>
      <c r="B198" s="143"/>
      <c r="C198" s="138" t="s">
        <v>30</v>
      </c>
      <c r="D198" s="138" t="s">
        <v>1688</v>
      </c>
      <c r="E198" s="138" t="s">
        <v>1713</v>
      </c>
      <c r="F198" s="142" t="s">
        <v>1714</v>
      </c>
      <c r="G198" s="153" t="s">
        <v>1715</v>
      </c>
      <c r="H198" s="138" t="s">
        <v>131</v>
      </c>
      <c r="I198" s="138" t="s">
        <v>105</v>
      </c>
      <c r="J198" s="142">
        <v>10.0</v>
      </c>
      <c r="K198" s="138" t="s">
        <v>141</v>
      </c>
      <c r="L198" s="138" t="s">
        <v>141</v>
      </c>
      <c r="M198" s="142" t="s">
        <v>1716</v>
      </c>
      <c r="N198" s="142" t="s">
        <v>1717</v>
      </c>
      <c r="O198" s="142" t="s">
        <v>1718</v>
      </c>
      <c r="P198" s="142" t="s">
        <v>141</v>
      </c>
      <c r="Q198" s="142" t="s">
        <v>1719</v>
      </c>
      <c r="R198" s="141">
        <v>46023.0</v>
      </c>
      <c r="S198" s="141">
        <v>46387.0</v>
      </c>
      <c r="T198" s="142" t="s">
        <v>1720</v>
      </c>
      <c r="U198" s="142" t="s">
        <v>140</v>
      </c>
      <c r="V198" s="143"/>
      <c r="W198" s="143"/>
      <c r="X198" s="143"/>
      <c r="Y198" s="148"/>
    </row>
    <row r="199" ht="33.0" customHeight="1">
      <c r="A199" s="138">
        <v>198.0</v>
      </c>
      <c r="B199" s="143"/>
      <c r="C199" s="138" t="s">
        <v>30</v>
      </c>
      <c r="D199" s="138" t="s">
        <v>1688</v>
      </c>
      <c r="E199" s="138" t="s">
        <v>1721</v>
      </c>
      <c r="F199" s="142" t="s">
        <v>1722</v>
      </c>
      <c r="G199" s="153" t="s">
        <v>1723</v>
      </c>
      <c r="H199" s="138" t="s">
        <v>131</v>
      </c>
      <c r="I199" s="138" t="s">
        <v>105</v>
      </c>
      <c r="J199" s="142">
        <v>14.0</v>
      </c>
      <c r="K199" s="138" t="s">
        <v>169</v>
      </c>
      <c r="L199" s="138" t="s">
        <v>133</v>
      </c>
      <c r="M199" s="142" t="s">
        <v>1724</v>
      </c>
      <c r="N199" s="142">
        <v>9.771052822E9</v>
      </c>
      <c r="O199" s="142" t="s">
        <v>1725</v>
      </c>
      <c r="P199" s="142" t="s">
        <v>1726</v>
      </c>
      <c r="Q199" s="142" t="s">
        <v>141</v>
      </c>
      <c r="R199" s="141">
        <v>46023.0</v>
      </c>
      <c r="S199" s="141">
        <v>46387.0</v>
      </c>
      <c r="T199" s="142" t="s">
        <v>1727</v>
      </c>
      <c r="U199" s="142" t="s">
        <v>140</v>
      </c>
      <c r="V199" s="143"/>
      <c r="W199" s="143"/>
      <c r="X199" s="143"/>
      <c r="Y199" s="148"/>
    </row>
    <row r="200" ht="33.0" customHeight="1">
      <c r="A200" s="138">
        <v>199.0</v>
      </c>
      <c r="B200" s="143"/>
      <c r="C200" s="138" t="s">
        <v>30</v>
      </c>
      <c r="D200" s="138" t="s">
        <v>1688</v>
      </c>
      <c r="E200" s="138" t="s">
        <v>1728</v>
      </c>
      <c r="F200" s="142" t="s">
        <v>1729</v>
      </c>
      <c r="G200" s="153" t="s">
        <v>1730</v>
      </c>
      <c r="H200" s="138" t="s">
        <v>131</v>
      </c>
      <c r="I200" s="138" t="s">
        <v>105</v>
      </c>
      <c r="J200" s="142">
        <v>10.0</v>
      </c>
      <c r="K200" s="146"/>
      <c r="L200" s="146"/>
      <c r="M200" s="142" t="s">
        <v>1731</v>
      </c>
      <c r="N200" s="142" t="s">
        <v>1732</v>
      </c>
      <c r="O200" s="164" t="s">
        <v>1733</v>
      </c>
      <c r="P200" s="158"/>
      <c r="Q200" s="142" t="s">
        <v>1719</v>
      </c>
      <c r="R200" s="141">
        <v>46023.0</v>
      </c>
      <c r="S200" s="141">
        <v>46387.0</v>
      </c>
      <c r="T200" s="142" t="s">
        <v>1734</v>
      </c>
      <c r="U200" s="142" t="s">
        <v>140</v>
      </c>
      <c r="V200" s="143"/>
      <c r="W200" s="143"/>
      <c r="X200" s="143"/>
      <c r="Y200" s="148"/>
    </row>
    <row r="201" ht="33.0" customHeight="1">
      <c r="A201" s="138">
        <v>200.0</v>
      </c>
      <c r="B201" s="143"/>
      <c r="C201" s="138" t="s">
        <v>30</v>
      </c>
      <c r="D201" s="138" t="s">
        <v>1688</v>
      </c>
      <c r="E201" s="138" t="s">
        <v>1735</v>
      </c>
      <c r="F201" s="138" t="s">
        <v>1736</v>
      </c>
      <c r="G201" s="153" t="s">
        <v>1737</v>
      </c>
      <c r="H201" s="138" t="s">
        <v>131</v>
      </c>
      <c r="I201" s="138" t="s">
        <v>105</v>
      </c>
      <c r="J201" s="138">
        <v>10.0</v>
      </c>
      <c r="K201" s="138" t="s">
        <v>169</v>
      </c>
      <c r="L201" s="138" t="s">
        <v>158</v>
      </c>
      <c r="M201" s="138" t="s">
        <v>1738</v>
      </c>
      <c r="N201" s="142" t="s">
        <v>1739</v>
      </c>
      <c r="O201" s="138" t="s">
        <v>1740</v>
      </c>
      <c r="P201" s="142" t="s">
        <v>1741</v>
      </c>
      <c r="Q201" s="138" t="s">
        <v>141</v>
      </c>
      <c r="R201" s="141">
        <v>46023.0</v>
      </c>
      <c r="S201" s="141">
        <v>46387.0</v>
      </c>
      <c r="T201" s="142" t="s">
        <v>1742</v>
      </c>
      <c r="U201" s="142" t="s">
        <v>140</v>
      </c>
      <c r="V201" s="143"/>
      <c r="W201" s="143"/>
      <c r="X201" s="143"/>
      <c r="Y201" s="148"/>
    </row>
    <row r="202" ht="33.0" customHeight="1">
      <c r="A202" s="138">
        <v>201.0</v>
      </c>
      <c r="B202" s="143"/>
      <c r="C202" s="138" t="s">
        <v>30</v>
      </c>
      <c r="D202" s="138" t="s">
        <v>1688</v>
      </c>
      <c r="E202" s="138" t="s">
        <v>1743</v>
      </c>
      <c r="F202" s="142" t="s">
        <v>1744</v>
      </c>
      <c r="G202" s="153" t="s">
        <v>1745</v>
      </c>
      <c r="H202" s="138" t="s">
        <v>131</v>
      </c>
      <c r="I202" s="138" t="s">
        <v>76</v>
      </c>
      <c r="J202" s="142">
        <v>6.0</v>
      </c>
      <c r="K202" s="138" t="s">
        <v>274</v>
      </c>
      <c r="L202" s="138" t="s">
        <v>141</v>
      </c>
      <c r="M202" s="142" t="s">
        <v>1746</v>
      </c>
      <c r="N202" s="142">
        <v>9.959627303E9</v>
      </c>
      <c r="O202" s="142" t="s">
        <v>1747</v>
      </c>
      <c r="P202" s="142" t="s">
        <v>1748</v>
      </c>
      <c r="Q202" s="142" t="s">
        <v>141</v>
      </c>
      <c r="R202" s="141">
        <v>46023.0</v>
      </c>
      <c r="S202" s="141">
        <v>46387.0</v>
      </c>
      <c r="T202" s="142" t="s">
        <v>1749</v>
      </c>
      <c r="U202" s="142" t="s">
        <v>140</v>
      </c>
      <c r="V202" s="143"/>
      <c r="W202" s="143"/>
      <c r="X202" s="143"/>
      <c r="Y202" s="148"/>
    </row>
    <row r="203" ht="33.0" customHeight="1">
      <c r="A203" s="138">
        <v>202.0</v>
      </c>
      <c r="B203" s="143"/>
      <c r="C203" s="138" t="s">
        <v>30</v>
      </c>
      <c r="D203" s="138" t="s">
        <v>1688</v>
      </c>
      <c r="E203" s="138" t="s">
        <v>1750</v>
      </c>
      <c r="F203" s="142" t="s">
        <v>1751</v>
      </c>
      <c r="G203" s="153" t="s">
        <v>1752</v>
      </c>
      <c r="H203" s="138" t="s">
        <v>131</v>
      </c>
      <c r="I203" s="138" t="s">
        <v>105</v>
      </c>
      <c r="J203" s="142">
        <v>12.0</v>
      </c>
      <c r="K203" s="138" t="s">
        <v>1753</v>
      </c>
      <c r="L203" s="138" t="s">
        <v>133</v>
      </c>
      <c r="M203" s="142" t="s">
        <v>1754</v>
      </c>
      <c r="N203" s="142" t="s">
        <v>1755</v>
      </c>
      <c r="O203" s="142" t="s">
        <v>1756</v>
      </c>
      <c r="P203" s="142" t="s">
        <v>141</v>
      </c>
      <c r="Q203" s="142" t="s">
        <v>1719</v>
      </c>
      <c r="R203" s="141">
        <v>46023.0</v>
      </c>
      <c r="S203" s="141">
        <v>46387.0</v>
      </c>
      <c r="T203" s="142" t="s">
        <v>1757</v>
      </c>
      <c r="U203" s="142" t="s">
        <v>140</v>
      </c>
      <c r="V203" s="143"/>
      <c r="W203" s="143"/>
      <c r="X203" s="143"/>
      <c r="Y203" s="148"/>
    </row>
    <row r="204" ht="33.0" customHeight="1">
      <c r="A204" s="138">
        <v>203.0</v>
      </c>
      <c r="B204" s="143"/>
      <c r="C204" s="138" t="s">
        <v>30</v>
      </c>
      <c r="D204" s="138" t="s">
        <v>1688</v>
      </c>
      <c r="E204" s="138" t="s">
        <v>1758</v>
      </c>
      <c r="F204" s="142" t="s">
        <v>1759</v>
      </c>
      <c r="G204" s="153" t="s">
        <v>1760</v>
      </c>
      <c r="H204" s="138" t="s">
        <v>131</v>
      </c>
      <c r="I204" s="138" t="s">
        <v>105</v>
      </c>
      <c r="J204" s="142">
        <v>10.0</v>
      </c>
      <c r="K204" s="138" t="s">
        <v>1753</v>
      </c>
      <c r="L204" s="138" t="s">
        <v>158</v>
      </c>
      <c r="M204" s="142" t="s">
        <v>1761</v>
      </c>
      <c r="N204" s="142" t="s">
        <v>1762</v>
      </c>
      <c r="O204" s="142" t="s">
        <v>1763</v>
      </c>
      <c r="P204" s="142" t="s">
        <v>1764</v>
      </c>
      <c r="Q204" s="142" t="s">
        <v>141</v>
      </c>
      <c r="R204" s="141">
        <v>46023.0</v>
      </c>
      <c r="S204" s="141">
        <v>46387.0</v>
      </c>
      <c r="T204" s="142" t="s">
        <v>1765</v>
      </c>
      <c r="U204" s="142" t="s">
        <v>140</v>
      </c>
      <c r="V204" s="143"/>
      <c r="W204" s="143"/>
      <c r="X204" s="143"/>
      <c r="Y204" s="148"/>
    </row>
    <row r="205" ht="33.0" customHeight="1">
      <c r="A205" s="138">
        <v>204.0</v>
      </c>
      <c r="B205" s="143"/>
      <c r="C205" s="138" t="s">
        <v>30</v>
      </c>
      <c r="D205" s="138" t="s">
        <v>1688</v>
      </c>
      <c r="E205" s="138" t="s">
        <v>1766</v>
      </c>
      <c r="F205" s="142" t="s">
        <v>1767</v>
      </c>
      <c r="G205" s="153" t="s">
        <v>1768</v>
      </c>
      <c r="H205" s="138" t="s">
        <v>131</v>
      </c>
      <c r="I205" s="138" t="s">
        <v>105</v>
      </c>
      <c r="J205" s="142">
        <v>10.0</v>
      </c>
      <c r="K205" s="138" t="s">
        <v>141</v>
      </c>
      <c r="L205" s="146"/>
      <c r="M205" s="142" t="s">
        <v>1769</v>
      </c>
      <c r="N205" s="142" t="s">
        <v>1770</v>
      </c>
      <c r="O205" s="142" t="s">
        <v>1771</v>
      </c>
      <c r="P205" s="168"/>
      <c r="Q205" s="142" t="s">
        <v>1772</v>
      </c>
      <c r="R205" s="141">
        <v>46023.0</v>
      </c>
      <c r="S205" s="141">
        <v>46387.0</v>
      </c>
      <c r="T205" s="142" t="s">
        <v>1773</v>
      </c>
      <c r="U205" s="142" t="s">
        <v>140</v>
      </c>
      <c r="V205" s="143"/>
      <c r="W205" s="143"/>
      <c r="X205" s="143"/>
      <c r="Y205" s="148"/>
    </row>
    <row r="206" ht="33.0" customHeight="1">
      <c r="A206" s="138">
        <v>205.0</v>
      </c>
      <c r="B206" s="143"/>
      <c r="C206" s="138" t="s">
        <v>30</v>
      </c>
      <c r="D206" s="138" t="s">
        <v>1774</v>
      </c>
      <c r="E206" s="138" t="s">
        <v>1775</v>
      </c>
      <c r="F206" s="142" t="s">
        <v>1776</v>
      </c>
      <c r="G206" s="153" t="s">
        <v>1777</v>
      </c>
      <c r="H206" s="138" t="s">
        <v>131</v>
      </c>
      <c r="I206" s="138" t="s">
        <v>105</v>
      </c>
      <c r="J206" s="142">
        <v>25.0</v>
      </c>
      <c r="K206" s="138" t="s">
        <v>1753</v>
      </c>
      <c r="L206" s="138" t="s">
        <v>158</v>
      </c>
      <c r="M206" s="142" t="s">
        <v>1778</v>
      </c>
      <c r="N206" s="161" t="s">
        <v>1779</v>
      </c>
      <c r="O206" s="142" t="s">
        <v>1780</v>
      </c>
      <c r="P206" s="142" t="s">
        <v>141</v>
      </c>
      <c r="Q206" s="142" t="s">
        <v>1781</v>
      </c>
      <c r="R206" s="141">
        <v>46023.0</v>
      </c>
      <c r="S206" s="141">
        <v>46387.0</v>
      </c>
      <c r="T206" s="142" t="s">
        <v>1782</v>
      </c>
      <c r="U206" s="142" t="s">
        <v>140</v>
      </c>
      <c r="V206" s="143"/>
      <c r="W206" s="143"/>
      <c r="X206" s="143"/>
      <c r="Y206" s="148"/>
    </row>
    <row r="207" ht="33.0" customHeight="1">
      <c r="A207" s="138">
        <v>206.0</v>
      </c>
      <c r="B207" s="143"/>
      <c r="C207" s="138" t="s">
        <v>30</v>
      </c>
      <c r="D207" s="138" t="s">
        <v>1774</v>
      </c>
      <c r="E207" s="138" t="s">
        <v>1783</v>
      </c>
      <c r="F207" s="142" t="s">
        <v>1784</v>
      </c>
      <c r="G207" s="153" t="s">
        <v>1785</v>
      </c>
      <c r="H207" s="138" t="s">
        <v>131</v>
      </c>
      <c r="I207" s="138" t="s">
        <v>105</v>
      </c>
      <c r="J207" s="142">
        <v>10.0</v>
      </c>
      <c r="K207" s="138" t="s">
        <v>1786</v>
      </c>
      <c r="L207" s="138" t="s">
        <v>158</v>
      </c>
      <c r="M207" s="142" t="s">
        <v>1787</v>
      </c>
      <c r="N207" s="142">
        <v>9.207008841E9</v>
      </c>
      <c r="O207" s="142" t="s">
        <v>1788</v>
      </c>
      <c r="P207" s="142" t="s">
        <v>141</v>
      </c>
      <c r="Q207" s="142" t="s">
        <v>1781</v>
      </c>
      <c r="R207" s="141">
        <v>46023.0</v>
      </c>
      <c r="S207" s="141">
        <v>46387.0</v>
      </c>
      <c r="T207" s="142" t="s">
        <v>1789</v>
      </c>
      <c r="U207" s="142" t="s">
        <v>140</v>
      </c>
      <c r="V207" s="143"/>
      <c r="W207" s="143"/>
      <c r="X207" s="143"/>
      <c r="Y207" s="148"/>
    </row>
    <row r="208" ht="33.0" customHeight="1">
      <c r="A208" s="138">
        <v>207.0</v>
      </c>
      <c r="B208" s="143"/>
      <c r="C208" s="138" t="s">
        <v>30</v>
      </c>
      <c r="D208" s="138" t="s">
        <v>1774</v>
      </c>
      <c r="E208" s="138" t="s">
        <v>1790</v>
      </c>
      <c r="F208" s="142" t="s">
        <v>1791</v>
      </c>
      <c r="G208" s="153" t="s">
        <v>1792</v>
      </c>
      <c r="H208" s="138" t="s">
        <v>131</v>
      </c>
      <c r="I208" s="138" t="s">
        <v>105</v>
      </c>
      <c r="J208" s="142">
        <v>10.0</v>
      </c>
      <c r="K208" s="138" t="s">
        <v>1793</v>
      </c>
      <c r="L208" s="146"/>
      <c r="M208" s="142" t="s">
        <v>1794</v>
      </c>
      <c r="N208" s="142" t="s">
        <v>1795</v>
      </c>
      <c r="O208" s="164" t="s">
        <v>1796</v>
      </c>
      <c r="P208" s="142" t="s">
        <v>141</v>
      </c>
      <c r="Q208" s="142" t="s">
        <v>1797</v>
      </c>
      <c r="R208" s="141">
        <v>46023.0</v>
      </c>
      <c r="S208" s="141">
        <v>46387.0</v>
      </c>
      <c r="T208" s="142" t="s">
        <v>1798</v>
      </c>
      <c r="U208" s="142" t="s">
        <v>140</v>
      </c>
      <c r="V208" s="143"/>
      <c r="W208" s="143"/>
      <c r="X208" s="143"/>
      <c r="Y208" s="148"/>
    </row>
    <row r="209" ht="33.0" customHeight="1">
      <c r="A209" s="138">
        <v>208.0</v>
      </c>
      <c r="B209" s="143"/>
      <c r="C209" s="138" t="s">
        <v>30</v>
      </c>
      <c r="D209" s="138" t="s">
        <v>1774</v>
      </c>
      <c r="E209" s="138" t="s">
        <v>1799</v>
      </c>
      <c r="F209" s="142" t="s">
        <v>1800</v>
      </c>
      <c r="G209" s="153" t="s">
        <v>1801</v>
      </c>
      <c r="H209" s="138" t="s">
        <v>131</v>
      </c>
      <c r="I209" s="138" t="s">
        <v>105</v>
      </c>
      <c r="J209" s="142">
        <v>10.0</v>
      </c>
      <c r="K209" s="138" t="s">
        <v>1793</v>
      </c>
      <c r="L209" s="146"/>
      <c r="M209" s="142" t="s">
        <v>1802</v>
      </c>
      <c r="N209" s="142" t="s">
        <v>1803</v>
      </c>
      <c r="O209" s="142" t="s">
        <v>1804</v>
      </c>
      <c r="P209" s="142" t="s">
        <v>141</v>
      </c>
      <c r="Q209" s="142" t="s">
        <v>1805</v>
      </c>
      <c r="R209" s="141">
        <v>46023.0</v>
      </c>
      <c r="S209" s="141">
        <v>46387.0</v>
      </c>
      <c r="T209" s="142" t="s">
        <v>1806</v>
      </c>
      <c r="U209" s="142" t="s">
        <v>140</v>
      </c>
      <c r="V209" s="143"/>
      <c r="W209" s="143"/>
      <c r="X209" s="143"/>
      <c r="Y209" s="148"/>
    </row>
    <row r="210" ht="33.0" customHeight="1">
      <c r="A210" s="138">
        <v>209.0</v>
      </c>
      <c r="B210" s="143"/>
      <c r="C210" s="138" t="s">
        <v>30</v>
      </c>
      <c r="D210" s="138" t="s">
        <v>1774</v>
      </c>
      <c r="E210" s="138" t="s">
        <v>1807</v>
      </c>
      <c r="F210" s="138" t="s">
        <v>1808</v>
      </c>
      <c r="G210" s="153" t="s">
        <v>1809</v>
      </c>
      <c r="H210" s="138" t="s">
        <v>131</v>
      </c>
      <c r="I210" s="138" t="s">
        <v>105</v>
      </c>
      <c r="J210" s="138">
        <v>10.0</v>
      </c>
      <c r="K210" s="138" t="s">
        <v>274</v>
      </c>
      <c r="L210" s="146"/>
      <c r="M210" s="138" t="s">
        <v>1810</v>
      </c>
      <c r="N210" s="139" t="s">
        <v>1811</v>
      </c>
      <c r="O210" s="138" t="s">
        <v>1812</v>
      </c>
      <c r="P210" s="138" t="s">
        <v>141</v>
      </c>
      <c r="Q210" s="138" t="s">
        <v>1797</v>
      </c>
      <c r="R210" s="141">
        <v>46023.0</v>
      </c>
      <c r="S210" s="141">
        <v>46387.0</v>
      </c>
      <c r="T210" s="138" t="s">
        <v>1813</v>
      </c>
      <c r="U210" s="142" t="s">
        <v>140</v>
      </c>
      <c r="V210" s="143"/>
      <c r="W210" s="143"/>
      <c r="X210" s="143"/>
      <c r="Y210" s="148"/>
    </row>
    <row r="211" ht="33.0" customHeight="1">
      <c r="A211" s="138">
        <v>210.0</v>
      </c>
      <c r="B211" s="143"/>
      <c r="C211" s="138" t="s">
        <v>30</v>
      </c>
      <c r="D211" s="138" t="s">
        <v>1774</v>
      </c>
      <c r="E211" s="138" t="s">
        <v>1814</v>
      </c>
      <c r="F211" s="138" t="s">
        <v>1815</v>
      </c>
      <c r="G211" s="153" t="s">
        <v>1816</v>
      </c>
      <c r="H211" s="138" t="s">
        <v>131</v>
      </c>
      <c r="I211" s="138" t="s">
        <v>105</v>
      </c>
      <c r="J211" s="138">
        <v>12.0</v>
      </c>
      <c r="K211" s="138" t="s">
        <v>1786</v>
      </c>
      <c r="L211" s="138" t="s">
        <v>158</v>
      </c>
      <c r="M211" s="138" t="s">
        <v>1817</v>
      </c>
      <c r="N211" s="139" t="s">
        <v>1818</v>
      </c>
      <c r="O211" s="138" t="s">
        <v>1819</v>
      </c>
      <c r="P211" s="138" t="s">
        <v>141</v>
      </c>
      <c r="Q211" s="138" t="s">
        <v>1781</v>
      </c>
      <c r="R211" s="141">
        <v>46023.0</v>
      </c>
      <c r="S211" s="141">
        <v>46387.0</v>
      </c>
      <c r="T211" s="138" t="s">
        <v>1820</v>
      </c>
      <c r="U211" s="142" t="s">
        <v>140</v>
      </c>
      <c r="V211" s="143"/>
      <c r="W211" s="143"/>
      <c r="X211" s="143"/>
      <c r="Y211" s="148"/>
    </row>
    <row r="212" ht="33.0" customHeight="1">
      <c r="A212" s="138">
        <v>211.0</v>
      </c>
      <c r="B212" s="143"/>
      <c r="C212" s="138" t="s">
        <v>30</v>
      </c>
      <c r="D212" s="138" t="s">
        <v>1821</v>
      </c>
      <c r="E212" s="138" t="s">
        <v>1822</v>
      </c>
      <c r="F212" s="142" t="s">
        <v>1823</v>
      </c>
      <c r="G212" s="153" t="s">
        <v>1824</v>
      </c>
      <c r="H212" s="138" t="s">
        <v>131</v>
      </c>
      <c r="I212" s="138" t="s">
        <v>587</v>
      </c>
      <c r="J212" s="142">
        <v>25.0</v>
      </c>
      <c r="K212" s="138" t="s">
        <v>1699</v>
      </c>
      <c r="L212" s="138" t="s">
        <v>133</v>
      </c>
      <c r="M212" s="142" t="s">
        <v>1825</v>
      </c>
      <c r="N212" s="142" t="s">
        <v>1826</v>
      </c>
      <c r="O212" s="142" t="s">
        <v>1827</v>
      </c>
      <c r="P212" s="142" t="s">
        <v>1828</v>
      </c>
      <c r="Q212" s="142" t="s">
        <v>141</v>
      </c>
      <c r="R212" s="141">
        <v>46023.0</v>
      </c>
      <c r="S212" s="141">
        <v>46387.0</v>
      </c>
      <c r="T212" s="142" t="s">
        <v>1829</v>
      </c>
      <c r="U212" s="142" t="s">
        <v>140</v>
      </c>
      <c r="V212" s="143"/>
      <c r="W212" s="143"/>
      <c r="X212" s="143"/>
      <c r="Y212" s="148"/>
    </row>
    <row r="213" ht="33.0" customHeight="1">
      <c r="A213" s="138">
        <v>212.0</v>
      </c>
      <c r="B213" s="143"/>
      <c r="C213" s="138" t="s">
        <v>30</v>
      </c>
      <c r="D213" s="138" t="s">
        <v>1821</v>
      </c>
      <c r="E213" s="138" t="s">
        <v>1830</v>
      </c>
      <c r="F213" s="142" t="s">
        <v>1831</v>
      </c>
      <c r="G213" s="153" t="s">
        <v>1832</v>
      </c>
      <c r="H213" s="138" t="s">
        <v>131</v>
      </c>
      <c r="I213" s="138" t="s">
        <v>105</v>
      </c>
      <c r="J213" s="142">
        <v>10.0</v>
      </c>
      <c r="K213" s="138" t="s">
        <v>1638</v>
      </c>
      <c r="L213" s="138" t="s">
        <v>133</v>
      </c>
      <c r="M213" s="142" t="s">
        <v>1833</v>
      </c>
      <c r="N213" s="142" t="s">
        <v>1834</v>
      </c>
      <c r="O213" s="142" t="s">
        <v>1835</v>
      </c>
      <c r="P213" s="142" t="s">
        <v>1836</v>
      </c>
      <c r="Q213" s="142" t="s">
        <v>141</v>
      </c>
      <c r="R213" s="141">
        <v>46023.0</v>
      </c>
      <c r="S213" s="141">
        <v>46387.0</v>
      </c>
      <c r="T213" s="142" t="s">
        <v>1837</v>
      </c>
      <c r="U213" s="142" t="s">
        <v>140</v>
      </c>
      <c r="V213" s="143"/>
      <c r="W213" s="143"/>
      <c r="X213" s="143"/>
      <c r="Y213" s="148"/>
    </row>
    <row r="214" ht="33.0" customHeight="1">
      <c r="A214" s="138">
        <v>213.0</v>
      </c>
      <c r="B214" s="143"/>
      <c r="C214" s="138" t="s">
        <v>30</v>
      </c>
      <c r="D214" s="138" t="s">
        <v>1821</v>
      </c>
      <c r="E214" s="138" t="s">
        <v>1838</v>
      </c>
      <c r="F214" s="142" t="s">
        <v>1839</v>
      </c>
      <c r="G214" s="153" t="s">
        <v>1840</v>
      </c>
      <c r="H214" s="138" t="s">
        <v>131</v>
      </c>
      <c r="I214" s="138" t="s">
        <v>105</v>
      </c>
      <c r="J214" s="142">
        <v>10.0</v>
      </c>
      <c r="K214" s="138" t="s">
        <v>1793</v>
      </c>
      <c r="L214" s="146"/>
      <c r="M214" s="142" t="s">
        <v>1841</v>
      </c>
      <c r="N214" s="142">
        <v>9.758149224E9</v>
      </c>
      <c r="O214" s="142" t="s">
        <v>1842</v>
      </c>
      <c r="P214" s="142" t="s">
        <v>1843</v>
      </c>
      <c r="Q214" s="142" t="s">
        <v>141</v>
      </c>
      <c r="R214" s="141">
        <v>46023.0</v>
      </c>
      <c r="S214" s="141">
        <v>46387.0</v>
      </c>
      <c r="T214" s="142" t="s">
        <v>1844</v>
      </c>
      <c r="U214" s="142" t="s">
        <v>140</v>
      </c>
      <c r="V214" s="143"/>
      <c r="W214" s="143"/>
      <c r="X214" s="143"/>
      <c r="Y214" s="148"/>
    </row>
    <row r="215" ht="33.0" customHeight="1">
      <c r="A215" s="138">
        <v>214.0</v>
      </c>
      <c r="B215" s="143"/>
      <c r="C215" s="138" t="s">
        <v>30</v>
      </c>
      <c r="D215" s="138" t="s">
        <v>1845</v>
      </c>
      <c r="E215" s="138" t="s">
        <v>1846</v>
      </c>
      <c r="F215" s="142" t="s">
        <v>1847</v>
      </c>
      <c r="G215" s="153" t="s">
        <v>1848</v>
      </c>
      <c r="H215" s="138" t="s">
        <v>131</v>
      </c>
      <c r="I215" s="138" t="s">
        <v>105</v>
      </c>
      <c r="J215" s="142">
        <v>10.0</v>
      </c>
      <c r="K215" s="138" t="s">
        <v>1849</v>
      </c>
      <c r="L215" s="138" t="s">
        <v>158</v>
      </c>
      <c r="M215" s="142" t="s">
        <v>1850</v>
      </c>
      <c r="N215" s="161" t="s">
        <v>1851</v>
      </c>
      <c r="O215" s="142" t="s">
        <v>1852</v>
      </c>
      <c r="P215" s="142" t="s">
        <v>141</v>
      </c>
      <c r="Q215" s="142" t="s">
        <v>1853</v>
      </c>
      <c r="R215" s="141">
        <v>46023.0</v>
      </c>
      <c r="S215" s="141">
        <v>46387.0</v>
      </c>
      <c r="T215" s="142" t="s">
        <v>1854</v>
      </c>
      <c r="U215" s="142" t="s">
        <v>140</v>
      </c>
      <c r="V215" s="143"/>
      <c r="W215" s="143"/>
      <c r="X215" s="143"/>
      <c r="Y215" s="148"/>
    </row>
    <row r="216" ht="33.0" customHeight="1">
      <c r="A216" s="138">
        <v>215.0</v>
      </c>
      <c r="B216" s="143"/>
      <c r="C216" s="138" t="s">
        <v>30</v>
      </c>
      <c r="D216" s="138" t="s">
        <v>1845</v>
      </c>
      <c r="E216" s="138" t="s">
        <v>1855</v>
      </c>
      <c r="F216" s="142" t="s">
        <v>1856</v>
      </c>
      <c r="G216" s="153" t="s">
        <v>1857</v>
      </c>
      <c r="H216" s="138" t="s">
        <v>131</v>
      </c>
      <c r="I216" s="138" t="s">
        <v>105</v>
      </c>
      <c r="J216" s="142">
        <v>10.0</v>
      </c>
      <c r="K216" s="138" t="s">
        <v>141</v>
      </c>
      <c r="L216" s="138" t="s">
        <v>141</v>
      </c>
      <c r="M216" s="142" t="s">
        <v>1858</v>
      </c>
      <c r="N216" s="142" t="s">
        <v>1859</v>
      </c>
      <c r="O216" s="142" t="s">
        <v>1860</v>
      </c>
      <c r="P216" s="142" t="s">
        <v>141</v>
      </c>
      <c r="Q216" s="142" t="s">
        <v>1861</v>
      </c>
      <c r="R216" s="141">
        <v>46023.0</v>
      </c>
      <c r="S216" s="141">
        <v>46387.0</v>
      </c>
      <c r="T216" s="142" t="s">
        <v>1862</v>
      </c>
      <c r="U216" s="142" t="s">
        <v>140</v>
      </c>
      <c r="V216" s="143"/>
      <c r="W216" s="143"/>
      <c r="X216" s="143"/>
      <c r="Y216" s="148"/>
    </row>
    <row r="217" ht="33.0" customHeight="1">
      <c r="A217" s="138">
        <v>216.0</v>
      </c>
      <c r="B217" s="143"/>
      <c r="C217" s="138" t="s">
        <v>30</v>
      </c>
      <c r="D217" s="138" t="s">
        <v>1845</v>
      </c>
      <c r="E217" s="138" t="s">
        <v>1863</v>
      </c>
      <c r="F217" s="142" t="s">
        <v>1864</v>
      </c>
      <c r="G217" s="153" t="s">
        <v>1865</v>
      </c>
      <c r="H217" s="138" t="s">
        <v>131</v>
      </c>
      <c r="I217" s="138" t="s">
        <v>105</v>
      </c>
      <c r="J217" s="142">
        <v>10.0</v>
      </c>
      <c r="K217" s="138" t="s">
        <v>169</v>
      </c>
      <c r="L217" s="138" t="s">
        <v>158</v>
      </c>
      <c r="M217" s="142" t="s">
        <v>1866</v>
      </c>
      <c r="N217" s="161" t="s">
        <v>1867</v>
      </c>
      <c r="O217" s="142" t="s">
        <v>1868</v>
      </c>
      <c r="P217" s="142" t="s">
        <v>1869</v>
      </c>
      <c r="Q217" s="142" t="s">
        <v>141</v>
      </c>
      <c r="R217" s="141">
        <v>46023.0</v>
      </c>
      <c r="S217" s="141">
        <v>46387.0</v>
      </c>
      <c r="T217" s="142" t="s">
        <v>1870</v>
      </c>
      <c r="U217" s="142" t="s">
        <v>140</v>
      </c>
      <c r="V217" s="143"/>
      <c r="W217" s="143"/>
      <c r="X217" s="143"/>
      <c r="Y217" s="148"/>
    </row>
    <row r="218" ht="33.0" customHeight="1">
      <c r="A218" s="138">
        <v>217.0</v>
      </c>
      <c r="B218" s="143"/>
      <c r="C218" s="138" t="s">
        <v>30</v>
      </c>
      <c r="D218" s="138" t="s">
        <v>1845</v>
      </c>
      <c r="E218" s="138" t="s">
        <v>1871</v>
      </c>
      <c r="F218" s="142" t="s">
        <v>1872</v>
      </c>
      <c r="G218" s="153" t="s">
        <v>1873</v>
      </c>
      <c r="H218" s="138" t="s">
        <v>131</v>
      </c>
      <c r="I218" s="138" t="s">
        <v>105</v>
      </c>
      <c r="J218" s="142">
        <v>10.0</v>
      </c>
      <c r="K218" s="138" t="s">
        <v>1753</v>
      </c>
      <c r="L218" s="138" t="s">
        <v>158</v>
      </c>
      <c r="M218" s="142" t="s">
        <v>1874</v>
      </c>
      <c r="N218" s="161" t="s">
        <v>1875</v>
      </c>
      <c r="O218" s="164" t="s">
        <v>1876</v>
      </c>
      <c r="P218" s="142" t="s">
        <v>1877</v>
      </c>
      <c r="Q218" s="142" t="s">
        <v>141</v>
      </c>
      <c r="R218" s="141">
        <v>46023.0</v>
      </c>
      <c r="S218" s="141">
        <v>46387.0</v>
      </c>
      <c r="T218" s="142" t="s">
        <v>1878</v>
      </c>
      <c r="U218" s="142" t="s">
        <v>140</v>
      </c>
      <c r="V218" s="143"/>
      <c r="W218" s="143"/>
      <c r="X218" s="143"/>
      <c r="Y218" s="148"/>
    </row>
    <row r="219" ht="33.0" customHeight="1">
      <c r="A219" s="138">
        <v>218.0</v>
      </c>
      <c r="B219" s="138">
        <v>51344.0</v>
      </c>
      <c r="C219" s="142" t="s">
        <v>32</v>
      </c>
      <c r="D219" s="138" t="s">
        <v>1879</v>
      </c>
      <c r="E219" s="138" t="s">
        <v>1880</v>
      </c>
      <c r="F219" s="138" t="s">
        <v>1881</v>
      </c>
      <c r="G219" s="153" t="s">
        <v>1882</v>
      </c>
      <c r="H219" s="138" t="s">
        <v>131</v>
      </c>
      <c r="I219" s="138" t="s">
        <v>587</v>
      </c>
      <c r="J219" s="142">
        <v>60.0</v>
      </c>
      <c r="K219" s="146"/>
      <c r="L219" s="138" t="s">
        <v>133</v>
      </c>
      <c r="M219" s="142" t="s">
        <v>1883</v>
      </c>
      <c r="N219" s="142">
        <v>9.561656369E9</v>
      </c>
      <c r="O219" s="142" t="s">
        <v>1884</v>
      </c>
      <c r="P219" s="142" t="s">
        <v>1885</v>
      </c>
      <c r="Q219" s="158"/>
      <c r="R219" s="160">
        <v>46023.0</v>
      </c>
      <c r="S219" s="160">
        <v>46387.0</v>
      </c>
      <c r="T219" s="138" t="s">
        <v>1886</v>
      </c>
      <c r="U219" s="142" t="s">
        <v>140</v>
      </c>
      <c r="V219" s="143"/>
      <c r="W219" s="149"/>
      <c r="X219" s="149"/>
      <c r="Y219" s="148"/>
    </row>
    <row r="220" ht="33.0" customHeight="1">
      <c r="A220" s="138">
        <v>219.0</v>
      </c>
      <c r="B220" s="138">
        <v>7733.0</v>
      </c>
      <c r="C220" s="138" t="s">
        <v>32</v>
      </c>
      <c r="D220" s="138" t="s">
        <v>1879</v>
      </c>
      <c r="E220" s="138" t="s">
        <v>1887</v>
      </c>
      <c r="F220" s="138" t="s">
        <v>1888</v>
      </c>
      <c r="G220" s="153" t="s">
        <v>1889</v>
      </c>
      <c r="H220" s="138" t="s">
        <v>131</v>
      </c>
      <c r="I220" s="138" t="s">
        <v>1890</v>
      </c>
      <c r="J220" s="138">
        <v>25.0</v>
      </c>
      <c r="K220" s="146"/>
      <c r="L220" s="138" t="s">
        <v>158</v>
      </c>
      <c r="M220" s="138" t="s">
        <v>1891</v>
      </c>
      <c r="N220" s="138" t="s">
        <v>1892</v>
      </c>
      <c r="O220" s="138" t="s">
        <v>1893</v>
      </c>
      <c r="P220" s="138" t="s">
        <v>1894</v>
      </c>
      <c r="Q220" s="145"/>
      <c r="R220" s="160">
        <v>46023.0</v>
      </c>
      <c r="S220" s="160">
        <v>46387.0</v>
      </c>
      <c r="T220" s="138" t="s">
        <v>1895</v>
      </c>
      <c r="U220" s="142" t="s">
        <v>140</v>
      </c>
      <c r="V220" s="143"/>
      <c r="W220" s="143"/>
      <c r="X220" s="143"/>
      <c r="Y220" s="148"/>
    </row>
    <row r="221" ht="33.0" customHeight="1">
      <c r="A221" s="138">
        <v>220.0</v>
      </c>
      <c r="B221" s="138">
        <v>696.0</v>
      </c>
      <c r="C221" s="138" t="s">
        <v>32</v>
      </c>
      <c r="D221" s="138" t="s">
        <v>1879</v>
      </c>
      <c r="E221" s="138" t="s">
        <v>1896</v>
      </c>
      <c r="F221" s="138" t="s">
        <v>1897</v>
      </c>
      <c r="G221" s="153" t="s">
        <v>1898</v>
      </c>
      <c r="H221" s="138" t="s">
        <v>131</v>
      </c>
      <c r="I221" s="138" t="s">
        <v>1890</v>
      </c>
      <c r="J221" s="138">
        <v>25.0</v>
      </c>
      <c r="K221" s="138" t="s">
        <v>274</v>
      </c>
      <c r="L221" s="138" t="s">
        <v>133</v>
      </c>
      <c r="M221" s="138" t="s">
        <v>1899</v>
      </c>
      <c r="N221" s="138" t="s">
        <v>1900</v>
      </c>
      <c r="O221" s="138" t="s">
        <v>1901</v>
      </c>
      <c r="P221" s="138" t="s">
        <v>1902</v>
      </c>
      <c r="Q221" s="138" t="s">
        <v>1903</v>
      </c>
      <c r="R221" s="160">
        <v>46023.0</v>
      </c>
      <c r="S221" s="160">
        <v>46387.0</v>
      </c>
      <c r="T221" s="138" t="s">
        <v>1904</v>
      </c>
      <c r="U221" s="142" t="s">
        <v>140</v>
      </c>
      <c r="V221" s="143"/>
      <c r="W221" s="143"/>
      <c r="X221" s="143"/>
      <c r="Y221" s="148"/>
    </row>
    <row r="222" ht="33.0" customHeight="1">
      <c r="A222" s="138">
        <v>221.0</v>
      </c>
      <c r="B222" s="138">
        <v>3354.0</v>
      </c>
      <c r="C222" s="138" t="s">
        <v>32</v>
      </c>
      <c r="D222" s="138" t="s">
        <v>1879</v>
      </c>
      <c r="E222" s="138" t="s">
        <v>1905</v>
      </c>
      <c r="F222" s="138" t="s">
        <v>1906</v>
      </c>
      <c r="G222" s="153" t="s">
        <v>1907</v>
      </c>
      <c r="H222" s="138" t="s">
        <v>131</v>
      </c>
      <c r="I222" s="138" t="s">
        <v>1890</v>
      </c>
      <c r="J222" s="138">
        <v>25.0</v>
      </c>
      <c r="K222" s="146"/>
      <c r="L222" s="138" t="s">
        <v>133</v>
      </c>
      <c r="M222" s="138" t="s">
        <v>1908</v>
      </c>
      <c r="N222" s="138">
        <v>9.363722314E9</v>
      </c>
      <c r="O222" s="138" t="s">
        <v>1909</v>
      </c>
      <c r="P222" s="138" t="s">
        <v>1910</v>
      </c>
      <c r="Q222" s="145"/>
      <c r="R222" s="160">
        <v>46023.0</v>
      </c>
      <c r="S222" s="160">
        <v>46387.0</v>
      </c>
      <c r="T222" s="138" t="s">
        <v>1911</v>
      </c>
      <c r="U222" s="142" t="s">
        <v>140</v>
      </c>
      <c r="V222" s="143"/>
      <c r="W222" s="143"/>
      <c r="X222" s="143"/>
      <c r="Y222" s="148"/>
    </row>
    <row r="223" ht="33.0" customHeight="1">
      <c r="A223" s="138">
        <v>222.0</v>
      </c>
      <c r="B223" s="138">
        <v>7735.0</v>
      </c>
      <c r="C223" s="138" t="s">
        <v>32</v>
      </c>
      <c r="D223" s="138" t="s">
        <v>1879</v>
      </c>
      <c r="E223" s="138" t="s">
        <v>1912</v>
      </c>
      <c r="F223" s="138" t="s">
        <v>1913</v>
      </c>
      <c r="G223" s="153" t="s">
        <v>1914</v>
      </c>
      <c r="H223" s="138" t="s">
        <v>131</v>
      </c>
      <c r="I223" s="138" t="s">
        <v>1890</v>
      </c>
      <c r="J223" s="138">
        <v>10.0</v>
      </c>
      <c r="K223" s="138" t="s">
        <v>1915</v>
      </c>
      <c r="L223" s="138" t="s">
        <v>158</v>
      </c>
      <c r="M223" s="138" t="s">
        <v>1916</v>
      </c>
      <c r="N223" s="138">
        <v>9.177110772E9</v>
      </c>
      <c r="O223" s="138" t="s">
        <v>1917</v>
      </c>
      <c r="P223" s="138" t="s">
        <v>1902</v>
      </c>
      <c r="Q223" s="138" t="s">
        <v>1903</v>
      </c>
      <c r="R223" s="160">
        <v>46023.0</v>
      </c>
      <c r="S223" s="160">
        <v>46387.0</v>
      </c>
      <c r="T223" s="138" t="s">
        <v>1918</v>
      </c>
      <c r="U223" s="142" t="s">
        <v>140</v>
      </c>
      <c r="V223" s="143"/>
      <c r="W223" s="143"/>
      <c r="X223" s="143"/>
      <c r="Y223" s="148"/>
    </row>
    <row r="224" ht="33.0" customHeight="1">
      <c r="A224" s="138">
        <v>223.0</v>
      </c>
      <c r="B224" s="138">
        <v>7736.0</v>
      </c>
      <c r="C224" s="142" t="s">
        <v>32</v>
      </c>
      <c r="D224" s="138" t="s">
        <v>1879</v>
      </c>
      <c r="E224" s="138" t="s">
        <v>1919</v>
      </c>
      <c r="F224" s="138" t="s">
        <v>1920</v>
      </c>
      <c r="G224" s="153" t="s">
        <v>1921</v>
      </c>
      <c r="H224" s="138" t="s">
        <v>131</v>
      </c>
      <c r="I224" s="138" t="s">
        <v>1890</v>
      </c>
      <c r="J224" s="142">
        <v>10.0</v>
      </c>
      <c r="K224" s="146"/>
      <c r="L224" s="138" t="s">
        <v>158</v>
      </c>
      <c r="M224" s="142" t="s">
        <v>1922</v>
      </c>
      <c r="N224" s="142">
        <v>9.104048859E9</v>
      </c>
      <c r="O224" s="142" t="s">
        <v>1923</v>
      </c>
      <c r="P224" s="142" t="s">
        <v>1902</v>
      </c>
      <c r="Q224" s="142" t="s">
        <v>1903</v>
      </c>
      <c r="R224" s="160">
        <v>46023.0</v>
      </c>
      <c r="S224" s="160">
        <v>46387.0</v>
      </c>
      <c r="T224" s="138" t="s">
        <v>1924</v>
      </c>
      <c r="U224" s="142" t="s">
        <v>140</v>
      </c>
      <c r="V224" s="143"/>
      <c r="W224" s="149"/>
      <c r="X224" s="149"/>
      <c r="Y224" s="148"/>
    </row>
    <row r="225" ht="33.0" customHeight="1">
      <c r="A225" s="138">
        <v>224.0</v>
      </c>
      <c r="B225" s="138">
        <v>4.0</v>
      </c>
      <c r="C225" s="138" t="s">
        <v>32</v>
      </c>
      <c r="D225" s="138" t="s">
        <v>1925</v>
      </c>
      <c r="E225" s="138" t="s">
        <v>1926</v>
      </c>
      <c r="F225" s="138" t="s">
        <v>434</v>
      </c>
      <c r="G225" s="153" t="s">
        <v>1927</v>
      </c>
      <c r="H225" s="138" t="s">
        <v>131</v>
      </c>
      <c r="I225" s="138" t="s">
        <v>105</v>
      </c>
      <c r="J225" s="138">
        <v>25.0</v>
      </c>
      <c r="K225" s="138" t="s">
        <v>1928</v>
      </c>
      <c r="L225" s="138" t="s">
        <v>158</v>
      </c>
      <c r="M225" s="138" t="s">
        <v>1929</v>
      </c>
      <c r="N225" s="161" t="s">
        <v>1930</v>
      </c>
      <c r="O225" s="138" t="s">
        <v>1931</v>
      </c>
      <c r="P225" s="145"/>
      <c r="Q225" s="138" t="s">
        <v>1932</v>
      </c>
      <c r="R225" s="141">
        <v>46023.0</v>
      </c>
      <c r="S225" s="141">
        <v>46387.0</v>
      </c>
      <c r="T225" s="138" t="s">
        <v>1933</v>
      </c>
      <c r="U225" s="142" t="s">
        <v>140</v>
      </c>
      <c r="V225" s="143"/>
      <c r="W225" s="143"/>
      <c r="X225" s="143"/>
      <c r="Y225" s="143"/>
    </row>
    <row r="226" ht="33.0" customHeight="1">
      <c r="A226" s="138">
        <v>225.0</v>
      </c>
      <c r="B226" s="138">
        <v>2452.0</v>
      </c>
      <c r="C226" s="138" t="s">
        <v>32</v>
      </c>
      <c r="D226" s="138" t="s">
        <v>1925</v>
      </c>
      <c r="E226" s="138" t="s">
        <v>1934</v>
      </c>
      <c r="F226" s="138" t="s">
        <v>434</v>
      </c>
      <c r="G226" s="153" t="s">
        <v>1935</v>
      </c>
      <c r="H226" s="138" t="s">
        <v>131</v>
      </c>
      <c r="I226" s="138" t="s">
        <v>105</v>
      </c>
      <c r="J226" s="138">
        <v>30.0</v>
      </c>
      <c r="K226" s="138" t="s">
        <v>1936</v>
      </c>
      <c r="L226" s="138" t="s">
        <v>133</v>
      </c>
      <c r="M226" s="138" t="s">
        <v>1937</v>
      </c>
      <c r="N226" s="139" t="s">
        <v>1938</v>
      </c>
      <c r="O226" s="138" t="s">
        <v>1939</v>
      </c>
      <c r="P226" s="138" t="s">
        <v>1940</v>
      </c>
      <c r="Q226" s="138" t="s">
        <v>1941</v>
      </c>
      <c r="R226" s="141">
        <v>46023.0</v>
      </c>
      <c r="S226" s="141">
        <v>46387.0</v>
      </c>
      <c r="T226" s="138" t="s">
        <v>1942</v>
      </c>
      <c r="U226" s="142" t="s">
        <v>140</v>
      </c>
      <c r="V226" s="143"/>
      <c r="W226" s="143"/>
      <c r="X226" s="143"/>
      <c r="Y226" s="143"/>
    </row>
    <row r="227" ht="33.0" customHeight="1">
      <c r="A227" s="138">
        <v>226.0</v>
      </c>
      <c r="B227" s="138">
        <v>3562.0</v>
      </c>
      <c r="C227" s="138" t="s">
        <v>32</v>
      </c>
      <c r="D227" s="138" t="s">
        <v>1925</v>
      </c>
      <c r="E227" s="138" t="s">
        <v>1943</v>
      </c>
      <c r="F227" s="138" t="s">
        <v>434</v>
      </c>
      <c r="G227" s="153" t="s">
        <v>1944</v>
      </c>
      <c r="H227" s="138" t="s">
        <v>131</v>
      </c>
      <c r="I227" s="138" t="s">
        <v>105</v>
      </c>
      <c r="J227" s="138">
        <v>10.0</v>
      </c>
      <c r="K227" s="138" t="s">
        <v>1945</v>
      </c>
      <c r="L227" s="138" t="s">
        <v>158</v>
      </c>
      <c r="M227" s="138" t="s">
        <v>1946</v>
      </c>
      <c r="N227" s="138" t="s">
        <v>1947</v>
      </c>
      <c r="O227" s="138" t="s">
        <v>1948</v>
      </c>
      <c r="P227" s="138" t="s">
        <v>1949</v>
      </c>
      <c r="Q227" s="138" t="s">
        <v>1950</v>
      </c>
      <c r="R227" s="160">
        <v>46023.0</v>
      </c>
      <c r="S227" s="160">
        <v>46387.0</v>
      </c>
      <c r="T227" s="138" t="s">
        <v>1951</v>
      </c>
      <c r="U227" s="142" t="s">
        <v>140</v>
      </c>
      <c r="V227" s="143"/>
      <c r="W227" s="143"/>
      <c r="X227" s="143"/>
      <c r="Y227" s="143"/>
    </row>
    <row r="228" ht="33.0" customHeight="1">
      <c r="A228" s="138">
        <v>227.0</v>
      </c>
      <c r="B228" s="138">
        <v>716.0</v>
      </c>
      <c r="C228" s="138" t="s">
        <v>32</v>
      </c>
      <c r="D228" s="138" t="s">
        <v>1925</v>
      </c>
      <c r="E228" s="138" t="s">
        <v>1952</v>
      </c>
      <c r="F228" s="138" t="s">
        <v>434</v>
      </c>
      <c r="G228" s="153" t="s">
        <v>1953</v>
      </c>
      <c r="H228" s="138" t="s">
        <v>131</v>
      </c>
      <c r="I228" s="138" t="s">
        <v>105</v>
      </c>
      <c r="J228" s="138">
        <v>25.0</v>
      </c>
      <c r="K228" s="138" t="s">
        <v>1954</v>
      </c>
      <c r="L228" s="138" t="s">
        <v>158</v>
      </c>
      <c r="M228" s="138" t="s">
        <v>1955</v>
      </c>
      <c r="N228" s="139" t="s">
        <v>1956</v>
      </c>
      <c r="O228" s="138" t="s">
        <v>1957</v>
      </c>
      <c r="P228" s="138" t="s">
        <v>1940</v>
      </c>
      <c r="Q228" s="138" t="s">
        <v>1958</v>
      </c>
      <c r="R228" s="141">
        <v>46023.0</v>
      </c>
      <c r="S228" s="141">
        <v>46387.0</v>
      </c>
      <c r="T228" s="138" t="s">
        <v>1959</v>
      </c>
      <c r="U228" s="142" t="s">
        <v>140</v>
      </c>
      <c r="V228" s="143"/>
      <c r="W228" s="143"/>
      <c r="X228" s="143"/>
      <c r="Y228" s="143"/>
    </row>
    <row r="229" ht="33.0" customHeight="1">
      <c r="A229" s="138">
        <v>228.0</v>
      </c>
      <c r="B229" s="138">
        <v>746.0</v>
      </c>
      <c r="C229" s="142" t="s">
        <v>32</v>
      </c>
      <c r="D229" s="138" t="s">
        <v>1925</v>
      </c>
      <c r="E229" s="138" t="s">
        <v>1960</v>
      </c>
      <c r="F229" s="138" t="s">
        <v>1961</v>
      </c>
      <c r="G229" s="153" t="s">
        <v>1962</v>
      </c>
      <c r="H229" s="138" t="s">
        <v>131</v>
      </c>
      <c r="I229" s="138" t="s">
        <v>105</v>
      </c>
      <c r="J229" s="142">
        <v>10.0</v>
      </c>
      <c r="K229" s="142" t="s">
        <v>1963</v>
      </c>
      <c r="L229" s="168"/>
      <c r="M229" s="142" t="s">
        <v>1964</v>
      </c>
      <c r="N229" s="161" t="s">
        <v>1965</v>
      </c>
      <c r="O229" s="142" t="s">
        <v>1966</v>
      </c>
      <c r="P229" s="138" t="s">
        <v>1940</v>
      </c>
      <c r="Q229" s="142" t="s">
        <v>1960</v>
      </c>
      <c r="R229" s="141">
        <v>46023.0</v>
      </c>
      <c r="S229" s="141">
        <v>46387.0</v>
      </c>
      <c r="T229" s="142" t="s">
        <v>1967</v>
      </c>
      <c r="U229" s="142" t="s">
        <v>140</v>
      </c>
      <c r="V229" s="143"/>
      <c r="W229" s="149"/>
      <c r="X229" s="149"/>
      <c r="Y229" s="148"/>
    </row>
    <row r="230" ht="33.0" customHeight="1">
      <c r="A230" s="138">
        <v>229.0</v>
      </c>
      <c r="B230" s="138">
        <v>747.0</v>
      </c>
      <c r="C230" s="138" t="s">
        <v>32</v>
      </c>
      <c r="D230" s="138" t="s">
        <v>1925</v>
      </c>
      <c r="E230" s="138" t="s">
        <v>1968</v>
      </c>
      <c r="F230" s="138" t="s">
        <v>434</v>
      </c>
      <c r="G230" s="153" t="s">
        <v>1969</v>
      </c>
      <c r="H230" s="138" t="s">
        <v>131</v>
      </c>
      <c r="I230" s="138" t="s">
        <v>105</v>
      </c>
      <c r="J230" s="138">
        <v>10.0</v>
      </c>
      <c r="K230" s="138" t="s">
        <v>1970</v>
      </c>
      <c r="L230" s="138" t="s">
        <v>158</v>
      </c>
      <c r="M230" s="138" t="s">
        <v>1971</v>
      </c>
      <c r="N230" s="139" t="s">
        <v>1972</v>
      </c>
      <c r="O230" s="138" t="s">
        <v>1973</v>
      </c>
      <c r="P230" s="138" t="s">
        <v>1974</v>
      </c>
      <c r="Q230" s="138" t="s">
        <v>1975</v>
      </c>
      <c r="R230" s="141">
        <v>46023.0</v>
      </c>
      <c r="S230" s="141">
        <v>46387.0</v>
      </c>
      <c r="T230" s="138" t="s">
        <v>1976</v>
      </c>
      <c r="U230" s="142" t="s">
        <v>140</v>
      </c>
      <c r="V230" s="143"/>
      <c r="W230" s="143"/>
      <c r="X230" s="143"/>
      <c r="Y230" s="169"/>
    </row>
    <row r="231" ht="33.0" customHeight="1">
      <c r="A231" s="138">
        <v>230.0</v>
      </c>
      <c r="B231" s="138">
        <v>748.0</v>
      </c>
      <c r="C231" s="138" t="s">
        <v>32</v>
      </c>
      <c r="D231" s="138" t="s">
        <v>1925</v>
      </c>
      <c r="E231" s="138" t="s">
        <v>1977</v>
      </c>
      <c r="F231" s="138" t="s">
        <v>434</v>
      </c>
      <c r="G231" s="153" t="s">
        <v>1978</v>
      </c>
      <c r="H231" s="138" t="s">
        <v>131</v>
      </c>
      <c r="I231" s="138" t="s">
        <v>105</v>
      </c>
      <c r="J231" s="138">
        <v>50.0</v>
      </c>
      <c r="K231" s="138" t="s">
        <v>1979</v>
      </c>
      <c r="L231" s="138" t="s">
        <v>133</v>
      </c>
      <c r="M231" s="138" t="s">
        <v>1980</v>
      </c>
      <c r="N231" s="138">
        <v>9.567992592E9</v>
      </c>
      <c r="O231" s="138" t="s">
        <v>1981</v>
      </c>
      <c r="P231" s="138" t="s">
        <v>1982</v>
      </c>
      <c r="Q231" s="138" t="s">
        <v>1983</v>
      </c>
      <c r="R231" s="160">
        <v>46023.0</v>
      </c>
      <c r="S231" s="160">
        <v>46387.0</v>
      </c>
      <c r="T231" s="138" t="s">
        <v>1984</v>
      </c>
      <c r="U231" s="142" t="s">
        <v>140</v>
      </c>
      <c r="V231" s="143"/>
      <c r="W231" s="143"/>
      <c r="X231" s="143"/>
      <c r="Y231" s="143"/>
    </row>
    <row r="232" ht="33.0" customHeight="1">
      <c r="A232" s="138">
        <v>231.0</v>
      </c>
      <c r="B232" s="138">
        <v>7019.0</v>
      </c>
      <c r="C232" s="142" t="s">
        <v>32</v>
      </c>
      <c r="D232" s="138" t="s">
        <v>1925</v>
      </c>
      <c r="E232" s="138" t="s">
        <v>1985</v>
      </c>
      <c r="F232" s="138" t="s">
        <v>1986</v>
      </c>
      <c r="G232" s="153" t="s">
        <v>1987</v>
      </c>
      <c r="H232" s="138" t="s">
        <v>131</v>
      </c>
      <c r="I232" s="138" t="s">
        <v>105</v>
      </c>
      <c r="J232" s="142">
        <v>18.0</v>
      </c>
      <c r="K232" s="146"/>
      <c r="L232" s="138" t="s">
        <v>133</v>
      </c>
      <c r="M232" s="142" t="s">
        <v>1988</v>
      </c>
      <c r="N232" s="142" t="s">
        <v>1989</v>
      </c>
      <c r="O232" s="142" t="s">
        <v>1990</v>
      </c>
      <c r="P232" s="158"/>
      <c r="Q232" s="158"/>
      <c r="R232" s="160">
        <v>46023.0</v>
      </c>
      <c r="S232" s="160">
        <v>46387.0</v>
      </c>
      <c r="T232" s="138" t="s">
        <v>1991</v>
      </c>
      <c r="U232" s="142" t="s">
        <v>140</v>
      </c>
      <c r="V232" s="143"/>
      <c r="W232" s="149"/>
      <c r="X232" s="142" t="s">
        <v>1990</v>
      </c>
      <c r="Y232" s="143"/>
    </row>
    <row r="233" ht="33.0" customHeight="1">
      <c r="A233" s="138">
        <v>232.0</v>
      </c>
      <c r="B233" s="138">
        <v>3413.0</v>
      </c>
      <c r="C233" s="138" t="s">
        <v>32</v>
      </c>
      <c r="D233" s="138" t="s">
        <v>1992</v>
      </c>
      <c r="E233" s="138" t="s">
        <v>1993</v>
      </c>
      <c r="F233" s="138" t="s">
        <v>1994</v>
      </c>
      <c r="G233" s="153" t="s">
        <v>1995</v>
      </c>
      <c r="H233" s="138" t="s">
        <v>131</v>
      </c>
      <c r="I233" s="138" t="s">
        <v>105</v>
      </c>
      <c r="J233" s="138">
        <v>25.0</v>
      </c>
      <c r="K233" s="138" t="s">
        <v>1996</v>
      </c>
      <c r="L233" s="146"/>
      <c r="M233" s="138" t="s">
        <v>1997</v>
      </c>
      <c r="N233" s="139" t="s">
        <v>1998</v>
      </c>
      <c r="O233" s="138" t="s">
        <v>1999</v>
      </c>
      <c r="P233" s="138" t="s">
        <v>1940</v>
      </c>
      <c r="Q233" s="145"/>
      <c r="R233" s="141">
        <v>46023.0</v>
      </c>
      <c r="S233" s="141">
        <v>46387.0</v>
      </c>
      <c r="T233" s="138" t="s">
        <v>2000</v>
      </c>
      <c r="U233" s="142" t="s">
        <v>140</v>
      </c>
      <c r="V233" s="143"/>
      <c r="W233" s="143"/>
      <c r="X233" s="143"/>
      <c r="Y233" s="143"/>
    </row>
    <row r="234" ht="33.0" customHeight="1">
      <c r="A234" s="138">
        <v>233.0</v>
      </c>
      <c r="B234" s="138">
        <v>3378.0</v>
      </c>
      <c r="C234" s="142" t="s">
        <v>32</v>
      </c>
      <c r="D234" s="138" t="s">
        <v>1992</v>
      </c>
      <c r="E234" s="138" t="s">
        <v>2001</v>
      </c>
      <c r="F234" s="138" t="s">
        <v>434</v>
      </c>
      <c r="G234" s="153" t="s">
        <v>2002</v>
      </c>
      <c r="H234" s="138" t="s">
        <v>131</v>
      </c>
      <c r="I234" s="138" t="s">
        <v>105</v>
      </c>
      <c r="J234" s="142">
        <v>10.0</v>
      </c>
      <c r="K234" s="142" t="s">
        <v>2003</v>
      </c>
      <c r="L234" s="142" t="s">
        <v>133</v>
      </c>
      <c r="M234" s="142" t="s">
        <v>2004</v>
      </c>
      <c r="N234" s="161" t="s">
        <v>2005</v>
      </c>
      <c r="O234" s="142" t="s">
        <v>2006</v>
      </c>
      <c r="P234" s="138" t="s">
        <v>2007</v>
      </c>
      <c r="Q234" s="158"/>
      <c r="R234" s="141">
        <v>46023.0</v>
      </c>
      <c r="S234" s="141">
        <v>46387.0</v>
      </c>
      <c r="T234" s="142" t="s">
        <v>2008</v>
      </c>
      <c r="U234" s="142" t="s">
        <v>140</v>
      </c>
      <c r="V234" s="143"/>
      <c r="W234" s="149"/>
      <c r="X234" s="149"/>
      <c r="Y234" s="143"/>
    </row>
    <row r="235" ht="33.0" customHeight="1">
      <c r="A235" s="138">
        <v>234.0</v>
      </c>
      <c r="B235" s="138">
        <v>43382.0</v>
      </c>
      <c r="C235" s="142" t="s">
        <v>32</v>
      </c>
      <c r="D235" s="138" t="s">
        <v>1992</v>
      </c>
      <c r="E235" s="138" t="s">
        <v>2009</v>
      </c>
      <c r="F235" s="138" t="s">
        <v>2010</v>
      </c>
      <c r="G235" s="153" t="s">
        <v>2011</v>
      </c>
      <c r="H235" s="138" t="s">
        <v>131</v>
      </c>
      <c r="I235" s="138" t="s">
        <v>105</v>
      </c>
      <c r="J235" s="142">
        <v>12.0</v>
      </c>
      <c r="K235" s="142" t="s">
        <v>2003</v>
      </c>
      <c r="L235" s="168"/>
      <c r="M235" s="142" t="s">
        <v>2012</v>
      </c>
      <c r="N235" s="161" t="s">
        <v>2013</v>
      </c>
      <c r="O235" s="142" t="s">
        <v>2014</v>
      </c>
      <c r="P235" s="138" t="s">
        <v>2015</v>
      </c>
      <c r="Q235" s="158"/>
      <c r="R235" s="141">
        <v>46023.0</v>
      </c>
      <c r="S235" s="141">
        <v>46387.0</v>
      </c>
      <c r="T235" s="142" t="s">
        <v>2016</v>
      </c>
      <c r="U235" s="142" t="s">
        <v>140</v>
      </c>
      <c r="V235" s="143"/>
      <c r="W235" s="149"/>
      <c r="X235" s="149"/>
      <c r="Y235" s="143"/>
    </row>
    <row r="236" ht="33.0" customHeight="1">
      <c r="A236" s="138">
        <v>235.0</v>
      </c>
      <c r="B236" s="138">
        <v>4969.0</v>
      </c>
      <c r="C236" s="138" t="s">
        <v>32</v>
      </c>
      <c r="D236" s="138" t="s">
        <v>1992</v>
      </c>
      <c r="E236" s="138" t="s">
        <v>2017</v>
      </c>
      <c r="F236" s="138" t="s">
        <v>2018</v>
      </c>
      <c r="G236" s="153" t="s">
        <v>2019</v>
      </c>
      <c r="H236" s="138" t="s">
        <v>131</v>
      </c>
      <c r="I236" s="138" t="s">
        <v>105</v>
      </c>
      <c r="J236" s="138">
        <v>25.0</v>
      </c>
      <c r="K236" s="138" t="s">
        <v>2003</v>
      </c>
      <c r="L236" s="146"/>
      <c r="M236" s="138" t="s">
        <v>2020</v>
      </c>
      <c r="N236" s="139" t="s">
        <v>2021</v>
      </c>
      <c r="O236" s="138" t="s">
        <v>2022</v>
      </c>
      <c r="P236" s="138" t="s">
        <v>1940</v>
      </c>
      <c r="Q236" s="145"/>
      <c r="R236" s="141">
        <v>46023.0</v>
      </c>
      <c r="S236" s="141">
        <v>46387.0</v>
      </c>
      <c r="T236" s="138" t="s">
        <v>2023</v>
      </c>
      <c r="U236" s="142" t="s">
        <v>140</v>
      </c>
      <c r="V236" s="143"/>
      <c r="W236" s="143"/>
      <c r="X236" s="143"/>
      <c r="Y236" s="143"/>
    </row>
    <row r="237" ht="33.0" customHeight="1">
      <c r="A237" s="138">
        <v>236.0</v>
      </c>
      <c r="B237" s="138">
        <v>461.0</v>
      </c>
      <c r="C237" s="138" t="s">
        <v>32</v>
      </c>
      <c r="D237" s="138" t="s">
        <v>1992</v>
      </c>
      <c r="E237" s="138" t="s">
        <v>2017</v>
      </c>
      <c r="F237" s="138" t="s">
        <v>2024</v>
      </c>
      <c r="G237" s="153" t="s">
        <v>2025</v>
      </c>
      <c r="H237" s="138" t="s">
        <v>131</v>
      </c>
      <c r="I237" s="138" t="s">
        <v>105</v>
      </c>
      <c r="J237" s="138">
        <v>10.0</v>
      </c>
      <c r="K237" s="138" t="s">
        <v>2026</v>
      </c>
      <c r="L237" s="138" t="s">
        <v>158</v>
      </c>
      <c r="M237" s="138" t="s">
        <v>2027</v>
      </c>
      <c r="N237" s="139" t="s">
        <v>2028</v>
      </c>
      <c r="O237" s="138" t="s">
        <v>2029</v>
      </c>
      <c r="P237" s="138" t="s">
        <v>2030</v>
      </c>
      <c r="Q237" s="145"/>
      <c r="R237" s="141">
        <v>46023.0</v>
      </c>
      <c r="S237" s="141">
        <v>46387.0</v>
      </c>
      <c r="T237" s="138" t="s">
        <v>2031</v>
      </c>
      <c r="U237" s="142" t="s">
        <v>140</v>
      </c>
      <c r="V237" s="143"/>
      <c r="W237" s="143"/>
      <c r="X237" s="143"/>
      <c r="Y237" s="143"/>
    </row>
    <row r="238" ht="33.0" customHeight="1">
      <c r="A238" s="138">
        <v>237.0</v>
      </c>
      <c r="B238" s="138">
        <v>542.0</v>
      </c>
      <c r="C238" s="138" t="s">
        <v>32</v>
      </c>
      <c r="D238" s="138" t="s">
        <v>1992</v>
      </c>
      <c r="E238" s="138" t="s">
        <v>2017</v>
      </c>
      <c r="F238" s="138" t="s">
        <v>408</v>
      </c>
      <c r="G238" s="153" t="s">
        <v>2032</v>
      </c>
      <c r="H238" s="138" t="s">
        <v>131</v>
      </c>
      <c r="I238" s="138" t="s">
        <v>105</v>
      </c>
      <c r="J238" s="138">
        <v>12.0</v>
      </c>
      <c r="K238" s="138" t="s">
        <v>2026</v>
      </c>
      <c r="L238" s="138" t="s">
        <v>133</v>
      </c>
      <c r="M238" s="138" t="s">
        <v>2033</v>
      </c>
      <c r="N238" s="139" t="s">
        <v>2034</v>
      </c>
      <c r="O238" s="138" t="s">
        <v>2035</v>
      </c>
      <c r="P238" s="138" t="s">
        <v>2036</v>
      </c>
      <c r="Q238" s="145"/>
      <c r="R238" s="141">
        <v>46023.0</v>
      </c>
      <c r="S238" s="141">
        <v>46387.0</v>
      </c>
      <c r="T238" s="138" t="s">
        <v>2037</v>
      </c>
      <c r="U238" s="142" t="s">
        <v>140</v>
      </c>
      <c r="V238" s="143"/>
      <c r="W238" s="143"/>
      <c r="X238" s="143"/>
      <c r="Y238" s="143"/>
    </row>
    <row r="239" ht="33.0" customHeight="1">
      <c r="A239" s="138">
        <v>238.0</v>
      </c>
      <c r="B239" s="138">
        <v>1980.0</v>
      </c>
      <c r="C239" s="138" t="s">
        <v>32</v>
      </c>
      <c r="D239" s="138" t="s">
        <v>2038</v>
      </c>
      <c r="E239" s="138" t="s">
        <v>315</v>
      </c>
      <c r="F239" s="138" t="s">
        <v>434</v>
      </c>
      <c r="G239" s="153" t="s">
        <v>2039</v>
      </c>
      <c r="H239" s="138" t="s">
        <v>131</v>
      </c>
      <c r="I239" s="138" t="s">
        <v>105</v>
      </c>
      <c r="J239" s="138">
        <v>25.0</v>
      </c>
      <c r="K239" s="138" t="s">
        <v>2040</v>
      </c>
      <c r="L239" s="138" t="s">
        <v>158</v>
      </c>
      <c r="M239" s="138" t="s">
        <v>2041</v>
      </c>
      <c r="N239" s="139" t="s">
        <v>2042</v>
      </c>
      <c r="O239" s="138" t="s">
        <v>2043</v>
      </c>
      <c r="P239" s="138" t="s">
        <v>1940</v>
      </c>
      <c r="Q239" s="138" t="s">
        <v>2044</v>
      </c>
      <c r="R239" s="141">
        <v>46023.0</v>
      </c>
      <c r="S239" s="141">
        <v>46387.0</v>
      </c>
      <c r="T239" s="138" t="s">
        <v>2045</v>
      </c>
      <c r="U239" s="142" t="s">
        <v>140</v>
      </c>
      <c r="V239" s="143"/>
      <c r="W239" s="143"/>
      <c r="X239" s="143"/>
      <c r="Y239" s="143"/>
    </row>
    <row r="240" ht="33.0" customHeight="1">
      <c r="A240" s="138">
        <v>239.0</v>
      </c>
      <c r="B240" s="138">
        <v>7971.0</v>
      </c>
      <c r="C240" s="138" t="s">
        <v>32</v>
      </c>
      <c r="D240" s="138" t="s">
        <v>2038</v>
      </c>
      <c r="E240" s="138" t="s">
        <v>2046</v>
      </c>
      <c r="F240" s="138" t="s">
        <v>434</v>
      </c>
      <c r="G240" s="153" t="s">
        <v>2047</v>
      </c>
      <c r="H240" s="138" t="s">
        <v>131</v>
      </c>
      <c r="I240" s="138" t="s">
        <v>105</v>
      </c>
      <c r="J240" s="138">
        <v>12.0</v>
      </c>
      <c r="K240" s="138" t="s">
        <v>2048</v>
      </c>
      <c r="L240" s="138" t="s">
        <v>158</v>
      </c>
      <c r="M240" s="138" t="s">
        <v>2049</v>
      </c>
      <c r="N240" s="139" t="s">
        <v>2050</v>
      </c>
      <c r="O240" s="138" t="s">
        <v>2051</v>
      </c>
      <c r="P240" s="138" t="s">
        <v>2052</v>
      </c>
      <c r="Q240" s="145"/>
      <c r="R240" s="141">
        <v>46023.0</v>
      </c>
      <c r="S240" s="141">
        <v>46387.0</v>
      </c>
      <c r="T240" s="138" t="s">
        <v>2053</v>
      </c>
      <c r="U240" s="142" t="s">
        <v>140</v>
      </c>
      <c r="V240" s="143"/>
      <c r="W240" s="143"/>
      <c r="X240" s="143"/>
      <c r="Y240" s="143"/>
    </row>
    <row r="241" ht="33.0" customHeight="1">
      <c r="A241" s="138">
        <v>240.0</v>
      </c>
      <c r="B241" s="138">
        <v>37004.0</v>
      </c>
      <c r="C241" s="138" t="s">
        <v>32</v>
      </c>
      <c r="D241" s="138" t="s">
        <v>2038</v>
      </c>
      <c r="E241" s="138" t="s">
        <v>2054</v>
      </c>
      <c r="F241" s="138" t="s">
        <v>2055</v>
      </c>
      <c r="G241" s="153" t="s">
        <v>2056</v>
      </c>
      <c r="H241" s="138" t="s">
        <v>131</v>
      </c>
      <c r="I241" s="138" t="s">
        <v>105</v>
      </c>
      <c r="J241" s="138">
        <v>10.0</v>
      </c>
      <c r="K241" s="138" t="s">
        <v>2057</v>
      </c>
      <c r="L241" s="146"/>
      <c r="M241" s="138" t="s">
        <v>2058</v>
      </c>
      <c r="N241" s="139" t="s">
        <v>2059</v>
      </c>
      <c r="O241" s="138" t="s">
        <v>2060</v>
      </c>
      <c r="P241" s="138" t="s">
        <v>1940</v>
      </c>
      <c r="Q241" s="145"/>
      <c r="R241" s="141">
        <v>46023.0</v>
      </c>
      <c r="S241" s="141">
        <v>46387.0</v>
      </c>
      <c r="T241" s="138" t="s">
        <v>2061</v>
      </c>
      <c r="U241" s="142" t="s">
        <v>140</v>
      </c>
      <c r="V241" s="143"/>
      <c r="W241" s="143"/>
      <c r="X241" s="143"/>
      <c r="Y241" s="143"/>
    </row>
    <row r="242" ht="33.0" customHeight="1">
      <c r="A242" s="138">
        <v>241.0</v>
      </c>
      <c r="B242" s="138">
        <v>4957.0</v>
      </c>
      <c r="C242" s="138" t="s">
        <v>32</v>
      </c>
      <c r="D242" s="138" t="s">
        <v>2038</v>
      </c>
      <c r="E242" s="138" t="s">
        <v>2062</v>
      </c>
      <c r="F242" s="138" t="s">
        <v>2063</v>
      </c>
      <c r="G242" s="153" t="s">
        <v>2064</v>
      </c>
      <c r="H242" s="138" t="s">
        <v>131</v>
      </c>
      <c r="I242" s="138" t="s">
        <v>105</v>
      </c>
      <c r="J242" s="138">
        <v>10.0</v>
      </c>
      <c r="K242" s="138" t="s">
        <v>2065</v>
      </c>
      <c r="L242" s="138" t="s">
        <v>158</v>
      </c>
      <c r="M242" s="138" t="s">
        <v>2066</v>
      </c>
      <c r="N242" s="139" t="s">
        <v>2067</v>
      </c>
      <c r="O242" s="138" t="s">
        <v>2068</v>
      </c>
      <c r="P242" s="138" t="s">
        <v>2069</v>
      </c>
      <c r="Q242" s="145"/>
      <c r="R242" s="141">
        <v>46023.0</v>
      </c>
      <c r="S242" s="141">
        <v>46387.0</v>
      </c>
      <c r="T242" s="138" t="s">
        <v>2070</v>
      </c>
      <c r="U242" s="142" t="s">
        <v>140</v>
      </c>
      <c r="V242" s="143"/>
      <c r="W242" s="143"/>
      <c r="X242" s="143"/>
      <c r="Y242" s="143"/>
    </row>
    <row r="243" ht="33.0" customHeight="1">
      <c r="A243" s="138">
        <v>242.0</v>
      </c>
      <c r="B243" s="138">
        <v>1656.0</v>
      </c>
      <c r="C243" s="138" t="s">
        <v>34</v>
      </c>
      <c r="D243" s="138" t="s">
        <v>2071</v>
      </c>
      <c r="E243" s="138" t="s">
        <v>2072</v>
      </c>
      <c r="F243" s="138" t="s">
        <v>2073</v>
      </c>
      <c r="G243" s="153" t="s">
        <v>2074</v>
      </c>
      <c r="H243" s="138" t="s">
        <v>131</v>
      </c>
      <c r="I243" s="138" t="s">
        <v>105</v>
      </c>
      <c r="J243" s="138">
        <v>35.0</v>
      </c>
      <c r="K243" s="138" t="s">
        <v>2075</v>
      </c>
      <c r="L243" s="138" t="s">
        <v>158</v>
      </c>
      <c r="M243" s="138" t="s">
        <v>2076</v>
      </c>
      <c r="N243" s="139" t="s">
        <v>2077</v>
      </c>
      <c r="O243" s="138" t="s">
        <v>2078</v>
      </c>
      <c r="P243" s="138" t="s">
        <v>2079</v>
      </c>
      <c r="Q243" s="145"/>
      <c r="R243" s="160">
        <v>46023.0</v>
      </c>
      <c r="S243" s="160">
        <v>46387.0</v>
      </c>
      <c r="T243" s="138" t="s">
        <v>2080</v>
      </c>
      <c r="U243" s="142" t="s">
        <v>140</v>
      </c>
      <c r="V243" s="143"/>
      <c r="W243" s="143"/>
      <c r="X243" s="138" t="s">
        <v>142</v>
      </c>
      <c r="Y243" s="144"/>
    </row>
    <row r="244" ht="33.0" customHeight="1">
      <c r="A244" s="138">
        <v>243.0</v>
      </c>
      <c r="B244" s="138">
        <v>1657.0</v>
      </c>
      <c r="C244" s="138" t="s">
        <v>34</v>
      </c>
      <c r="D244" s="138" t="s">
        <v>2071</v>
      </c>
      <c r="E244" s="142" t="s">
        <v>2081</v>
      </c>
      <c r="F244" s="138" t="s">
        <v>2082</v>
      </c>
      <c r="G244" s="153" t="s">
        <v>2083</v>
      </c>
      <c r="H244" s="138" t="s">
        <v>131</v>
      </c>
      <c r="I244" s="138" t="s">
        <v>105</v>
      </c>
      <c r="J244" s="142">
        <v>17.0</v>
      </c>
      <c r="K244" s="142" t="s">
        <v>2084</v>
      </c>
      <c r="L244" s="142" t="s">
        <v>158</v>
      </c>
      <c r="M244" s="142" t="s">
        <v>2085</v>
      </c>
      <c r="N244" s="138">
        <v>9.155640004E9</v>
      </c>
      <c r="O244" s="142" t="s">
        <v>2086</v>
      </c>
      <c r="P244" s="142" t="s">
        <v>2087</v>
      </c>
      <c r="Q244" s="158"/>
      <c r="R244" s="141">
        <v>46023.0</v>
      </c>
      <c r="S244" s="141">
        <v>46387.0</v>
      </c>
      <c r="T244" s="142" t="s">
        <v>2088</v>
      </c>
      <c r="U244" s="142" t="s">
        <v>140</v>
      </c>
      <c r="V244" s="143"/>
      <c r="W244" s="149"/>
      <c r="X244" s="142" t="s">
        <v>142</v>
      </c>
      <c r="Y244" s="144"/>
    </row>
    <row r="245" ht="33.0" customHeight="1">
      <c r="A245" s="138">
        <v>244.0</v>
      </c>
      <c r="B245" s="138">
        <v>3421.0</v>
      </c>
      <c r="C245" s="138" t="s">
        <v>34</v>
      </c>
      <c r="D245" s="138" t="s">
        <v>2071</v>
      </c>
      <c r="E245" s="142" t="s">
        <v>2089</v>
      </c>
      <c r="F245" s="138" t="s">
        <v>2090</v>
      </c>
      <c r="G245" s="153" t="s">
        <v>2091</v>
      </c>
      <c r="H245" s="138" t="s">
        <v>131</v>
      </c>
      <c r="I245" s="138" t="s">
        <v>189</v>
      </c>
      <c r="J245" s="142">
        <v>25.0</v>
      </c>
      <c r="K245" s="142" t="s">
        <v>2092</v>
      </c>
      <c r="L245" s="142" t="s">
        <v>133</v>
      </c>
      <c r="M245" s="142" t="s">
        <v>2093</v>
      </c>
      <c r="N245" s="138">
        <v>9.1710051E9</v>
      </c>
      <c r="O245" s="164" t="s">
        <v>2094</v>
      </c>
      <c r="P245" s="138" t="s">
        <v>2095</v>
      </c>
      <c r="Q245" s="145"/>
      <c r="R245" s="141">
        <v>46023.0</v>
      </c>
      <c r="S245" s="141">
        <v>46387.0</v>
      </c>
      <c r="T245" s="142" t="s">
        <v>2096</v>
      </c>
      <c r="U245" s="142" t="s">
        <v>140</v>
      </c>
      <c r="V245" s="143"/>
      <c r="W245" s="143"/>
      <c r="X245" s="138" t="s">
        <v>142</v>
      </c>
      <c r="Y245" s="144"/>
    </row>
    <row r="246" ht="33.0" customHeight="1">
      <c r="A246" s="138">
        <v>245.0</v>
      </c>
      <c r="B246" s="138">
        <v>42725.0</v>
      </c>
      <c r="C246" s="138" t="s">
        <v>34</v>
      </c>
      <c r="D246" s="138" t="s">
        <v>2071</v>
      </c>
      <c r="E246" s="142" t="s">
        <v>384</v>
      </c>
      <c r="F246" s="138" t="s">
        <v>2097</v>
      </c>
      <c r="G246" s="153" t="s">
        <v>2098</v>
      </c>
      <c r="H246" s="138" t="s">
        <v>131</v>
      </c>
      <c r="I246" s="138" t="s">
        <v>105</v>
      </c>
      <c r="J246" s="142">
        <v>17.0</v>
      </c>
      <c r="K246" s="142" t="s">
        <v>2099</v>
      </c>
      <c r="L246" s="142" t="s">
        <v>158</v>
      </c>
      <c r="M246" s="142" t="s">
        <v>2100</v>
      </c>
      <c r="N246" s="138" t="s">
        <v>2101</v>
      </c>
      <c r="O246" s="164" t="s">
        <v>2102</v>
      </c>
      <c r="P246" s="142" t="s">
        <v>2103</v>
      </c>
      <c r="Q246" s="158"/>
      <c r="R246" s="141">
        <v>46023.0</v>
      </c>
      <c r="S246" s="141">
        <v>46387.0</v>
      </c>
      <c r="T246" s="142" t="s">
        <v>2104</v>
      </c>
      <c r="U246" s="142" t="s">
        <v>2105</v>
      </c>
      <c r="V246" s="138" t="s">
        <v>2106</v>
      </c>
      <c r="W246" s="142" t="s">
        <v>2107</v>
      </c>
      <c r="X246" s="142" t="s">
        <v>142</v>
      </c>
      <c r="Y246" s="144"/>
    </row>
    <row r="247" ht="33.0" customHeight="1">
      <c r="A247" s="138">
        <v>246.0</v>
      </c>
      <c r="B247" s="138">
        <v>3810.0</v>
      </c>
      <c r="C247" s="138" t="s">
        <v>34</v>
      </c>
      <c r="D247" s="138" t="s">
        <v>2071</v>
      </c>
      <c r="E247" s="138" t="s">
        <v>2108</v>
      </c>
      <c r="F247" s="138" t="s">
        <v>2109</v>
      </c>
      <c r="G247" s="153" t="s">
        <v>2110</v>
      </c>
      <c r="H247" s="138" t="s">
        <v>131</v>
      </c>
      <c r="I247" s="138" t="s">
        <v>105</v>
      </c>
      <c r="J247" s="142">
        <v>30.0</v>
      </c>
      <c r="K247" s="142" t="s">
        <v>2075</v>
      </c>
      <c r="L247" s="142" t="s">
        <v>158</v>
      </c>
      <c r="M247" s="142" t="s">
        <v>2111</v>
      </c>
      <c r="N247" s="138">
        <v>9.177154067E9</v>
      </c>
      <c r="O247" s="142" t="s">
        <v>2112</v>
      </c>
      <c r="P247" s="142" t="s">
        <v>2113</v>
      </c>
      <c r="Q247" s="158"/>
      <c r="R247" s="141">
        <v>46023.0</v>
      </c>
      <c r="S247" s="141">
        <v>46387.0</v>
      </c>
      <c r="T247" s="142" t="s">
        <v>2114</v>
      </c>
      <c r="U247" s="142" t="s">
        <v>140</v>
      </c>
      <c r="V247" s="143"/>
      <c r="W247" s="149"/>
      <c r="X247" s="142" t="s">
        <v>142</v>
      </c>
      <c r="Y247" s="144"/>
    </row>
    <row r="248" ht="33.0" customHeight="1">
      <c r="A248" s="138">
        <v>247.0</v>
      </c>
      <c r="B248" s="138">
        <v>658.0</v>
      </c>
      <c r="C248" s="138" t="s">
        <v>34</v>
      </c>
      <c r="D248" s="138" t="s">
        <v>2071</v>
      </c>
      <c r="E248" s="142" t="s">
        <v>2115</v>
      </c>
      <c r="F248" s="138" t="s">
        <v>2116</v>
      </c>
      <c r="G248" s="153" t="s">
        <v>2117</v>
      </c>
      <c r="H248" s="138" t="s">
        <v>131</v>
      </c>
      <c r="I248" s="138" t="s">
        <v>105</v>
      </c>
      <c r="J248" s="142">
        <v>15.0</v>
      </c>
      <c r="K248" s="142" t="s">
        <v>2118</v>
      </c>
      <c r="L248" s="142" t="s">
        <v>158</v>
      </c>
      <c r="M248" s="142" t="s">
        <v>2119</v>
      </c>
      <c r="N248" s="138">
        <v>9.171428138E9</v>
      </c>
      <c r="O248" s="164" t="s">
        <v>2120</v>
      </c>
      <c r="P248" s="142" t="s">
        <v>2095</v>
      </c>
      <c r="Q248" s="158"/>
      <c r="R248" s="141">
        <v>46023.0</v>
      </c>
      <c r="S248" s="141">
        <v>46387.0</v>
      </c>
      <c r="T248" s="142" t="s">
        <v>2121</v>
      </c>
      <c r="U248" s="142" t="s">
        <v>2105</v>
      </c>
      <c r="V248" s="138" t="s">
        <v>2106</v>
      </c>
      <c r="W248" s="142" t="s">
        <v>2122</v>
      </c>
      <c r="X248" s="142" t="s">
        <v>142</v>
      </c>
      <c r="Y248" s="144"/>
    </row>
    <row r="249" ht="33.0" customHeight="1">
      <c r="A249" s="138">
        <v>248.0</v>
      </c>
      <c r="B249" s="138">
        <v>23750.0</v>
      </c>
      <c r="C249" s="138" t="s">
        <v>34</v>
      </c>
      <c r="D249" s="138" t="s">
        <v>2123</v>
      </c>
      <c r="E249" s="138" t="s">
        <v>2124</v>
      </c>
      <c r="F249" s="138" t="s">
        <v>2125</v>
      </c>
      <c r="G249" s="153" t="s">
        <v>2126</v>
      </c>
      <c r="H249" s="138" t="s">
        <v>131</v>
      </c>
      <c r="I249" s="138" t="s">
        <v>105</v>
      </c>
      <c r="J249" s="142">
        <v>10.0</v>
      </c>
      <c r="K249" s="142" t="s">
        <v>2127</v>
      </c>
      <c r="L249" s="142" t="s">
        <v>158</v>
      </c>
      <c r="M249" s="142" t="s">
        <v>2128</v>
      </c>
      <c r="N249" s="138" t="s">
        <v>2129</v>
      </c>
      <c r="O249" s="164" t="s">
        <v>2130</v>
      </c>
      <c r="P249" s="142" t="s">
        <v>2095</v>
      </c>
      <c r="Q249" s="158"/>
      <c r="R249" s="141">
        <v>46023.0</v>
      </c>
      <c r="S249" s="141">
        <v>46387.0</v>
      </c>
      <c r="T249" s="142" t="s">
        <v>2131</v>
      </c>
      <c r="U249" s="142" t="s">
        <v>140</v>
      </c>
      <c r="V249" s="143"/>
      <c r="W249" s="149"/>
      <c r="X249" s="142" t="s">
        <v>142</v>
      </c>
      <c r="Y249" s="144"/>
    </row>
    <row r="250" ht="33.0" customHeight="1">
      <c r="A250" s="138">
        <v>249.0</v>
      </c>
      <c r="B250" s="138">
        <v>598.0</v>
      </c>
      <c r="C250" s="138" t="s">
        <v>34</v>
      </c>
      <c r="D250" s="138" t="s">
        <v>2123</v>
      </c>
      <c r="E250" s="138" t="s">
        <v>2132</v>
      </c>
      <c r="F250" s="138" t="s">
        <v>2133</v>
      </c>
      <c r="G250" s="153" t="s">
        <v>2134</v>
      </c>
      <c r="H250" s="138" t="s">
        <v>131</v>
      </c>
      <c r="I250" s="138" t="s">
        <v>105</v>
      </c>
      <c r="J250" s="142">
        <v>25.0</v>
      </c>
      <c r="K250" s="142" t="s">
        <v>2135</v>
      </c>
      <c r="L250" s="142" t="s">
        <v>158</v>
      </c>
      <c r="M250" s="142" t="s">
        <v>2136</v>
      </c>
      <c r="N250" s="138" t="s">
        <v>2137</v>
      </c>
      <c r="O250" s="164" t="s">
        <v>2138</v>
      </c>
      <c r="P250" s="138" t="s">
        <v>2139</v>
      </c>
      <c r="Q250" s="170"/>
      <c r="R250" s="141">
        <v>46023.0</v>
      </c>
      <c r="S250" s="141">
        <v>46387.0</v>
      </c>
      <c r="T250" s="142" t="s">
        <v>2140</v>
      </c>
      <c r="U250" s="142" t="s">
        <v>140</v>
      </c>
      <c r="V250" s="143"/>
      <c r="W250" s="143"/>
      <c r="X250" s="138" t="s">
        <v>142</v>
      </c>
      <c r="Y250" s="144"/>
    </row>
    <row r="251" ht="33.0" customHeight="1">
      <c r="A251" s="138">
        <v>250.0</v>
      </c>
      <c r="B251" s="138">
        <v>473.0</v>
      </c>
      <c r="C251" s="138" t="s">
        <v>34</v>
      </c>
      <c r="D251" s="138" t="s">
        <v>2123</v>
      </c>
      <c r="E251" s="138" t="s">
        <v>2141</v>
      </c>
      <c r="F251" s="138" t="s">
        <v>2142</v>
      </c>
      <c r="G251" s="153" t="s">
        <v>2143</v>
      </c>
      <c r="H251" s="138" t="s">
        <v>131</v>
      </c>
      <c r="I251" s="138" t="s">
        <v>105</v>
      </c>
      <c r="J251" s="142">
        <v>17.0</v>
      </c>
      <c r="K251" s="142" t="s">
        <v>2075</v>
      </c>
      <c r="L251" s="142" t="s">
        <v>158</v>
      </c>
      <c r="M251" s="142" t="s">
        <v>2144</v>
      </c>
      <c r="N251" s="138">
        <v>9.95561226E9</v>
      </c>
      <c r="O251" s="142" t="s">
        <v>2145</v>
      </c>
      <c r="P251" s="142" t="s">
        <v>2095</v>
      </c>
      <c r="Q251" s="145"/>
      <c r="R251" s="141">
        <v>46023.0</v>
      </c>
      <c r="S251" s="141">
        <v>46387.0</v>
      </c>
      <c r="T251" s="142" t="s">
        <v>2146</v>
      </c>
      <c r="U251" s="142" t="s">
        <v>140</v>
      </c>
      <c r="V251" s="143"/>
      <c r="W251" s="143"/>
      <c r="X251" s="138" t="s">
        <v>142</v>
      </c>
      <c r="Y251" s="144"/>
    </row>
    <row r="252" ht="33.0" customHeight="1">
      <c r="A252" s="138">
        <v>251.0</v>
      </c>
      <c r="B252" s="138">
        <v>657.0</v>
      </c>
      <c r="C252" s="138" t="s">
        <v>34</v>
      </c>
      <c r="D252" s="138" t="s">
        <v>2147</v>
      </c>
      <c r="E252" s="138" t="s">
        <v>2148</v>
      </c>
      <c r="F252" s="138" t="s">
        <v>2149</v>
      </c>
      <c r="G252" s="153" t="s">
        <v>2150</v>
      </c>
      <c r="H252" s="138" t="s">
        <v>131</v>
      </c>
      <c r="I252" s="138" t="s">
        <v>105</v>
      </c>
      <c r="J252" s="138">
        <v>15.0</v>
      </c>
      <c r="K252" s="138" t="s">
        <v>2151</v>
      </c>
      <c r="L252" s="138" t="s">
        <v>158</v>
      </c>
      <c r="M252" s="138" t="s">
        <v>2152</v>
      </c>
      <c r="N252" s="161" t="s">
        <v>2153</v>
      </c>
      <c r="O252" s="138" t="s">
        <v>2154</v>
      </c>
      <c r="P252" s="138" t="s">
        <v>2095</v>
      </c>
      <c r="Q252" s="145"/>
      <c r="R252" s="160">
        <v>46023.0</v>
      </c>
      <c r="S252" s="160">
        <v>46387.0</v>
      </c>
      <c r="T252" s="138" t="s">
        <v>2155</v>
      </c>
      <c r="U252" s="142" t="s">
        <v>140</v>
      </c>
      <c r="V252" s="143"/>
      <c r="W252" s="143"/>
      <c r="X252" s="138" t="s">
        <v>142</v>
      </c>
      <c r="Y252" s="144"/>
    </row>
    <row r="253" ht="33.0" customHeight="1">
      <c r="A253" s="138">
        <v>252.0</v>
      </c>
      <c r="B253" s="138">
        <v>5432.0</v>
      </c>
      <c r="C253" s="138" t="s">
        <v>34</v>
      </c>
      <c r="D253" s="138" t="s">
        <v>2147</v>
      </c>
      <c r="E253" s="138" t="s">
        <v>2156</v>
      </c>
      <c r="F253" s="138" t="s">
        <v>2157</v>
      </c>
      <c r="G253" s="153" t="s">
        <v>2158</v>
      </c>
      <c r="H253" s="138" t="s">
        <v>131</v>
      </c>
      <c r="I253" s="138" t="s">
        <v>105</v>
      </c>
      <c r="J253" s="138">
        <v>17.0</v>
      </c>
      <c r="K253" s="138" t="s">
        <v>2159</v>
      </c>
      <c r="L253" s="138" t="s">
        <v>158</v>
      </c>
      <c r="M253" s="138" t="s">
        <v>2160</v>
      </c>
      <c r="N253" s="139" t="s">
        <v>2161</v>
      </c>
      <c r="O253" s="138" t="s">
        <v>2162</v>
      </c>
      <c r="P253" s="138" t="s">
        <v>2095</v>
      </c>
      <c r="Q253" s="145"/>
      <c r="R253" s="160">
        <v>46023.0</v>
      </c>
      <c r="S253" s="160">
        <v>46387.0</v>
      </c>
      <c r="T253" s="138" t="s">
        <v>2163</v>
      </c>
      <c r="U253" s="142" t="s">
        <v>140</v>
      </c>
      <c r="V253" s="143"/>
      <c r="W253" s="143"/>
      <c r="X253" s="138" t="s">
        <v>142</v>
      </c>
      <c r="Y253" s="144"/>
    </row>
    <row r="254" ht="33.0" customHeight="1">
      <c r="A254" s="138">
        <v>253.0</v>
      </c>
      <c r="B254" s="138">
        <v>37938.0</v>
      </c>
      <c r="C254" s="138" t="s">
        <v>34</v>
      </c>
      <c r="D254" s="138" t="s">
        <v>2147</v>
      </c>
      <c r="E254" s="138" t="s">
        <v>535</v>
      </c>
      <c r="F254" s="138" t="s">
        <v>2164</v>
      </c>
      <c r="G254" s="153" t="s">
        <v>2165</v>
      </c>
      <c r="H254" s="138" t="s">
        <v>131</v>
      </c>
      <c r="I254" s="138" t="s">
        <v>105</v>
      </c>
      <c r="J254" s="138">
        <v>13.0</v>
      </c>
      <c r="K254" s="138" t="s">
        <v>2166</v>
      </c>
      <c r="L254" s="138" t="s">
        <v>133</v>
      </c>
      <c r="M254" s="138" t="s">
        <v>2167</v>
      </c>
      <c r="N254" s="139" t="s">
        <v>2168</v>
      </c>
      <c r="O254" s="138" t="s">
        <v>2169</v>
      </c>
      <c r="P254" s="138" t="s">
        <v>2095</v>
      </c>
      <c r="Q254" s="145"/>
      <c r="R254" s="160">
        <v>46023.0</v>
      </c>
      <c r="S254" s="160">
        <v>46387.0</v>
      </c>
      <c r="T254" s="138" t="s">
        <v>2170</v>
      </c>
      <c r="U254" s="142" t="s">
        <v>140</v>
      </c>
      <c r="V254" s="143"/>
      <c r="W254" s="143"/>
      <c r="X254" s="138" t="s">
        <v>142</v>
      </c>
      <c r="Y254" s="144"/>
    </row>
    <row r="255" ht="33.0" customHeight="1">
      <c r="A255" s="138">
        <v>254.0</v>
      </c>
      <c r="B255" s="138">
        <v>2853.0</v>
      </c>
      <c r="C255" s="138" t="s">
        <v>34</v>
      </c>
      <c r="D255" s="138" t="s">
        <v>2147</v>
      </c>
      <c r="E255" s="138" t="s">
        <v>2171</v>
      </c>
      <c r="F255" s="138" t="s">
        <v>2172</v>
      </c>
      <c r="G255" s="153" t="s">
        <v>2173</v>
      </c>
      <c r="H255" s="138" t="s">
        <v>131</v>
      </c>
      <c r="I255" s="138" t="s">
        <v>105</v>
      </c>
      <c r="J255" s="138">
        <v>10.0</v>
      </c>
      <c r="K255" s="138" t="s">
        <v>2151</v>
      </c>
      <c r="L255" s="138" t="s">
        <v>158</v>
      </c>
      <c r="M255" s="138" t="s">
        <v>2174</v>
      </c>
      <c r="N255" s="139" t="s">
        <v>2175</v>
      </c>
      <c r="O255" s="138" t="s">
        <v>2176</v>
      </c>
      <c r="P255" s="138" t="s">
        <v>2177</v>
      </c>
      <c r="Q255" s="145"/>
      <c r="R255" s="160">
        <v>46023.0</v>
      </c>
      <c r="S255" s="160">
        <v>46387.0</v>
      </c>
      <c r="T255" s="138" t="s">
        <v>2178</v>
      </c>
      <c r="U255" s="142" t="s">
        <v>140</v>
      </c>
      <c r="V255" s="143"/>
      <c r="W255" s="143"/>
      <c r="X255" s="138" t="s">
        <v>142</v>
      </c>
      <c r="Y255" s="144"/>
    </row>
    <row r="256" ht="33.0" customHeight="1">
      <c r="A256" s="138">
        <v>255.0</v>
      </c>
      <c r="B256" s="138">
        <v>32104.0</v>
      </c>
      <c r="C256" s="138" t="s">
        <v>34</v>
      </c>
      <c r="D256" s="138" t="s">
        <v>2179</v>
      </c>
      <c r="E256" s="138" t="s">
        <v>2180</v>
      </c>
      <c r="F256" s="138" t="s">
        <v>2181</v>
      </c>
      <c r="G256" s="153" t="s">
        <v>2182</v>
      </c>
      <c r="H256" s="138" t="s">
        <v>131</v>
      </c>
      <c r="I256" s="138" t="s">
        <v>105</v>
      </c>
      <c r="J256" s="138">
        <v>20.0</v>
      </c>
      <c r="K256" s="138" t="s">
        <v>2183</v>
      </c>
      <c r="L256" s="138" t="s">
        <v>158</v>
      </c>
      <c r="M256" s="138" t="s">
        <v>2184</v>
      </c>
      <c r="N256" s="139" t="s">
        <v>2185</v>
      </c>
      <c r="O256" s="138" t="s">
        <v>2186</v>
      </c>
      <c r="P256" s="138" t="s">
        <v>2187</v>
      </c>
      <c r="Q256" s="145"/>
      <c r="R256" s="160">
        <v>46023.0</v>
      </c>
      <c r="S256" s="160">
        <v>46387.0</v>
      </c>
      <c r="T256" s="138" t="s">
        <v>2188</v>
      </c>
      <c r="U256" s="142" t="s">
        <v>140</v>
      </c>
      <c r="V256" s="143"/>
      <c r="W256" s="143"/>
      <c r="X256" s="143"/>
      <c r="Y256" s="144"/>
    </row>
    <row r="257" ht="33.0" customHeight="1">
      <c r="A257" s="138">
        <v>256.0</v>
      </c>
      <c r="B257" s="138">
        <v>43825.0</v>
      </c>
      <c r="C257" s="138" t="s">
        <v>34</v>
      </c>
      <c r="D257" s="138" t="s">
        <v>2179</v>
      </c>
      <c r="E257" s="138" t="s">
        <v>2189</v>
      </c>
      <c r="F257" s="138" t="s">
        <v>2190</v>
      </c>
      <c r="G257" s="153" t="s">
        <v>2191</v>
      </c>
      <c r="H257" s="138" t="s">
        <v>131</v>
      </c>
      <c r="I257" s="138" t="s">
        <v>105</v>
      </c>
      <c r="J257" s="138">
        <v>25.0</v>
      </c>
      <c r="K257" s="138" t="s">
        <v>2127</v>
      </c>
      <c r="L257" s="138" t="s">
        <v>158</v>
      </c>
      <c r="M257" s="138" t="s">
        <v>2192</v>
      </c>
      <c r="N257" s="139" t="s">
        <v>2193</v>
      </c>
      <c r="O257" s="138" t="s">
        <v>2194</v>
      </c>
      <c r="P257" s="138" t="s">
        <v>2195</v>
      </c>
      <c r="Q257" s="145"/>
      <c r="R257" s="160">
        <v>46023.0</v>
      </c>
      <c r="S257" s="160">
        <v>46387.0</v>
      </c>
      <c r="T257" s="138" t="s">
        <v>2196</v>
      </c>
      <c r="U257" s="142" t="s">
        <v>2105</v>
      </c>
      <c r="V257" s="138" t="s">
        <v>2106</v>
      </c>
      <c r="W257" s="138" t="s">
        <v>2197</v>
      </c>
      <c r="X257" s="143"/>
      <c r="Y257" s="148"/>
    </row>
    <row r="258" ht="33.0" customHeight="1">
      <c r="A258" s="138">
        <v>257.0</v>
      </c>
      <c r="B258" s="138">
        <v>450.0</v>
      </c>
      <c r="C258" s="138" t="s">
        <v>34</v>
      </c>
      <c r="D258" s="138" t="s">
        <v>2179</v>
      </c>
      <c r="E258" s="138" t="s">
        <v>1197</v>
      </c>
      <c r="F258" s="138" t="s">
        <v>434</v>
      </c>
      <c r="G258" s="153" t="s">
        <v>2198</v>
      </c>
      <c r="H258" s="138" t="s">
        <v>131</v>
      </c>
      <c r="I258" s="138" t="s">
        <v>105</v>
      </c>
      <c r="J258" s="138">
        <v>21.0</v>
      </c>
      <c r="K258" s="138" t="s">
        <v>2199</v>
      </c>
      <c r="L258" s="138" t="s">
        <v>158</v>
      </c>
      <c r="M258" s="138" t="s">
        <v>2200</v>
      </c>
      <c r="N258" s="159"/>
      <c r="O258" s="138" t="s">
        <v>2201</v>
      </c>
      <c r="P258" s="138" t="s">
        <v>2202</v>
      </c>
      <c r="Q258" s="145"/>
      <c r="R258" s="160">
        <v>46023.0</v>
      </c>
      <c r="S258" s="160">
        <v>46387.0</v>
      </c>
      <c r="T258" s="138" t="s">
        <v>2203</v>
      </c>
      <c r="U258" s="142" t="s">
        <v>140</v>
      </c>
      <c r="V258" s="143"/>
      <c r="W258" s="143"/>
      <c r="X258" s="143"/>
      <c r="Y258" s="148"/>
    </row>
    <row r="259" ht="33.0" customHeight="1">
      <c r="A259" s="138">
        <v>258.0</v>
      </c>
      <c r="B259" s="138">
        <v>6020.0</v>
      </c>
      <c r="C259" s="142" t="s">
        <v>34</v>
      </c>
      <c r="D259" s="138" t="s">
        <v>2179</v>
      </c>
      <c r="E259" s="138" t="s">
        <v>2204</v>
      </c>
      <c r="F259" s="138" t="s">
        <v>2205</v>
      </c>
      <c r="G259" s="153" t="s">
        <v>2206</v>
      </c>
      <c r="H259" s="138" t="s">
        <v>131</v>
      </c>
      <c r="I259" s="138" t="s">
        <v>105</v>
      </c>
      <c r="J259" s="142">
        <v>17.0</v>
      </c>
      <c r="K259" s="138" t="s">
        <v>2207</v>
      </c>
      <c r="L259" s="138" t="s">
        <v>158</v>
      </c>
      <c r="M259" s="142" t="s">
        <v>2208</v>
      </c>
      <c r="N259" s="142">
        <v>9.674380338E9</v>
      </c>
      <c r="O259" s="142" t="s">
        <v>2209</v>
      </c>
      <c r="P259" s="142" t="s">
        <v>2095</v>
      </c>
      <c r="Q259" s="158"/>
      <c r="R259" s="160">
        <v>46023.0</v>
      </c>
      <c r="S259" s="160">
        <v>46387.0</v>
      </c>
      <c r="T259" s="138" t="s">
        <v>2210</v>
      </c>
      <c r="U259" s="142" t="s">
        <v>2105</v>
      </c>
      <c r="V259" s="138" t="s">
        <v>2106</v>
      </c>
      <c r="W259" s="142" t="s">
        <v>2211</v>
      </c>
      <c r="X259" s="149"/>
      <c r="Y259" s="148"/>
    </row>
    <row r="260" ht="33.0" customHeight="1">
      <c r="A260" s="138">
        <v>259.0</v>
      </c>
      <c r="B260" s="138">
        <v>5157.0</v>
      </c>
      <c r="C260" s="138" t="s">
        <v>34</v>
      </c>
      <c r="D260" s="138" t="s">
        <v>2179</v>
      </c>
      <c r="E260" s="138" t="s">
        <v>316</v>
      </c>
      <c r="F260" s="138" t="s">
        <v>2212</v>
      </c>
      <c r="G260" s="153" t="s">
        <v>2213</v>
      </c>
      <c r="H260" s="138" t="s">
        <v>131</v>
      </c>
      <c r="I260" s="138" t="s">
        <v>105</v>
      </c>
      <c r="J260" s="138">
        <v>24.0</v>
      </c>
      <c r="K260" s="138" t="s">
        <v>2199</v>
      </c>
      <c r="L260" s="138" t="s">
        <v>158</v>
      </c>
      <c r="M260" s="138" t="s">
        <v>2214</v>
      </c>
      <c r="N260" s="139" t="s">
        <v>2215</v>
      </c>
      <c r="O260" s="138" t="s">
        <v>2216</v>
      </c>
      <c r="P260" s="138" t="s">
        <v>2217</v>
      </c>
      <c r="Q260" s="145"/>
      <c r="R260" s="160">
        <v>46023.0</v>
      </c>
      <c r="S260" s="160">
        <v>46387.0</v>
      </c>
      <c r="T260" s="138" t="s">
        <v>2218</v>
      </c>
      <c r="U260" s="142" t="s">
        <v>140</v>
      </c>
      <c r="V260" s="143"/>
      <c r="W260" s="143"/>
      <c r="X260" s="143"/>
      <c r="Y260" s="148"/>
    </row>
    <row r="261" ht="33.0" customHeight="1">
      <c r="A261" s="138">
        <v>260.0</v>
      </c>
      <c r="B261" s="138">
        <v>32773.0</v>
      </c>
      <c r="C261" s="138" t="s">
        <v>34</v>
      </c>
      <c r="D261" s="138" t="s">
        <v>2179</v>
      </c>
      <c r="E261" s="138" t="s">
        <v>2219</v>
      </c>
      <c r="F261" s="138" t="s">
        <v>2220</v>
      </c>
      <c r="G261" s="153" t="s">
        <v>2221</v>
      </c>
      <c r="H261" s="138" t="s">
        <v>131</v>
      </c>
      <c r="I261" s="138" t="s">
        <v>247</v>
      </c>
      <c r="J261" s="138">
        <v>28.0</v>
      </c>
      <c r="K261" s="138" t="s">
        <v>2222</v>
      </c>
      <c r="L261" s="138" t="s">
        <v>133</v>
      </c>
      <c r="M261" s="138" t="s">
        <v>2223</v>
      </c>
      <c r="N261" s="139" t="s">
        <v>2224</v>
      </c>
      <c r="O261" s="138" t="s">
        <v>2225</v>
      </c>
      <c r="P261" s="138" t="s">
        <v>2226</v>
      </c>
      <c r="Q261" s="145"/>
      <c r="R261" s="160">
        <v>46023.0</v>
      </c>
      <c r="S261" s="160">
        <v>46387.0</v>
      </c>
      <c r="T261" s="138" t="s">
        <v>2227</v>
      </c>
      <c r="U261" s="142" t="s">
        <v>2105</v>
      </c>
      <c r="V261" s="138" t="s">
        <v>2106</v>
      </c>
      <c r="W261" s="138" t="s">
        <v>2228</v>
      </c>
      <c r="X261" s="143"/>
      <c r="Y261" s="148"/>
    </row>
    <row r="262" ht="33.0" customHeight="1">
      <c r="A262" s="138">
        <v>261.0</v>
      </c>
      <c r="B262" s="138">
        <v>50253.0</v>
      </c>
      <c r="C262" s="138" t="s">
        <v>34</v>
      </c>
      <c r="D262" s="138" t="s">
        <v>2179</v>
      </c>
      <c r="E262" s="138" t="s">
        <v>2229</v>
      </c>
      <c r="F262" s="138" t="s">
        <v>2230</v>
      </c>
      <c r="G262" s="153" t="s">
        <v>2231</v>
      </c>
      <c r="H262" s="138" t="s">
        <v>131</v>
      </c>
      <c r="I262" s="138" t="s">
        <v>247</v>
      </c>
      <c r="J262" s="138">
        <v>17.0</v>
      </c>
      <c r="K262" s="138" t="s">
        <v>2232</v>
      </c>
      <c r="L262" s="138" t="s">
        <v>158</v>
      </c>
      <c r="M262" s="138" t="s">
        <v>2233</v>
      </c>
      <c r="N262" s="139" t="s">
        <v>2234</v>
      </c>
      <c r="O262" s="138" t="s">
        <v>2235</v>
      </c>
      <c r="P262" s="138" t="s">
        <v>2095</v>
      </c>
      <c r="Q262" s="145"/>
      <c r="R262" s="160">
        <v>46023.0</v>
      </c>
      <c r="S262" s="160">
        <v>46387.0</v>
      </c>
      <c r="T262" s="138" t="s">
        <v>2236</v>
      </c>
      <c r="U262" s="142" t="s">
        <v>140</v>
      </c>
      <c r="V262" s="143"/>
      <c r="W262" s="143"/>
      <c r="X262" s="143"/>
      <c r="Y262" s="148"/>
    </row>
    <row r="263" ht="33.0" customHeight="1">
      <c r="A263" s="138">
        <v>262.0</v>
      </c>
      <c r="B263" s="143"/>
      <c r="C263" s="138" t="s">
        <v>36</v>
      </c>
      <c r="D263" s="138" t="s">
        <v>2237</v>
      </c>
      <c r="E263" s="138" t="s">
        <v>2237</v>
      </c>
      <c r="F263" s="138" t="s">
        <v>2238</v>
      </c>
      <c r="G263" s="153" t="s">
        <v>2239</v>
      </c>
      <c r="H263" s="138" t="s">
        <v>131</v>
      </c>
      <c r="I263" s="138" t="s">
        <v>141</v>
      </c>
      <c r="J263" s="142">
        <v>25.0</v>
      </c>
      <c r="K263" s="168"/>
      <c r="L263" s="142" t="s">
        <v>133</v>
      </c>
      <c r="M263" s="142" t="s">
        <v>2240</v>
      </c>
      <c r="N263" s="138" t="s">
        <v>2241</v>
      </c>
      <c r="O263" s="142" t="s">
        <v>2242</v>
      </c>
      <c r="P263" s="158"/>
      <c r="Q263" s="158"/>
      <c r="R263" s="141">
        <v>46023.0</v>
      </c>
      <c r="S263" s="141">
        <v>46387.0</v>
      </c>
      <c r="T263" s="142" t="s">
        <v>2243</v>
      </c>
      <c r="U263" s="142" t="s">
        <v>140</v>
      </c>
      <c r="V263" s="143"/>
      <c r="W263" s="149"/>
      <c r="X263" s="149"/>
      <c r="Y263" s="171"/>
    </row>
    <row r="264" ht="33.0" customHeight="1">
      <c r="A264" s="138">
        <v>263.0</v>
      </c>
      <c r="B264" s="143"/>
      <c r="C264" s="138" t="s">
        <v>36</v>
      </c>
      <c r="D264" s="138" t="s">
        <v>2237</v>
      </c>
      <c r="E264" s="138" t="s">
        <v>2237</v>
      </c>
      <c r="F264" s="138" t="s">
        <v>2244</v>
      </c>
      <c r="G264" s="153" t="s">
        <v>2245</v>
      </c>
      <c r="H264" s="138" t="s">
        <v>131</v>
      </c>
      <c r="I264" s="138" t="s">
        <v>141</v>
      </c>
      <c r="J264" s="142">
        <v>18.0</v>
      </c>
      <c r="K264" s="168"/>
      <c r="L264" s="142" t="s">
        <v>158</v>
      </c>
      <c r="M264" s="142" t="s">
        <v>2246</v>
      </c>
      <c r="N264" s="138" t="s">
        <v>2247</v>
      </c>
      <c r="O264" s="164" t="s">
        <v>2248</v>
      </c>
      <c r="P264" s="138" t="s">
        <v>2249</v>
      </c>
      <c r="Q264" s="145"/>
      <c r="R264" s="141">
        <v>46023.0</v>
      </c>
      <c r="S264" s="141">
        <v>46387.0</v>
      </c>
      <c r="T264" s="142" t="s">
        <v>2250</v>
      </c>
      <c r="U264" s="142" t="s">
        <v>140</v>
      </c>
      <c r="V264" s="143"/>
      <c r="W264" s="143"/>
      <c r="X264" s="143"/>
      <c r="Y264" s="171"/>
    </row>
    <row r="265" ht="33.0" customHeight="1">
      <c r="A265" s="138">
        <v>264.0</v>
      </c>
      <c r="B265" s="143"/>
      <c r="C265" s="138" t="s">
        <v>36</v>
      </c>
      <c r="D265" s="138" t="s">
        <v>2237</v>
      </c>
      <c r="E265" s="138" t="s">
        <v>2251</v>
      </c>
      <c r="F265" s="138" t="s">
        <v>2252</v>
      </c>
      <c r="G265" s="153" t="s">
        <v>2253</v>
      </c>
      <c r="H265" s="138" t="s">
        <v>131</v>
      </c>
      <c r="I265" s="138" t="s">
        <v>141</v>
      </c>
      <c r="J265" s="138">
        <v>10.0</v>
      </c>
      <c r="K265" s="146"/>
      <c r="L265" s="138" t="s">
        <v>141</v>
      </c>
      <c r="M265" s="138" t="s">
        <v>2254</v>
      </c>
      <c r="N265" s="138" t="s">
        <v>2255</v>
      </c>
      <c r="O265" s="138" t="s">
        <v>2256</v>
      </c>
      <c r="P265" s="158"/>
      <c r="Q265" s="170"/>
      <c r="R265" s="141">
        <v>46023.0</v>
      </c>
      <c r="S265" s="141">
        <v>46387.0</v>
      </c>
      <c r="T265" s="138" t="s">
        <v>2257</v>
      </c>
      <c r="U265" s="142" t="s">
        <v>140</v>
      </c>
      <c r="V265" s="143"/>
      <c r="W265" s="143"/>
      <c r="X265" s="143"/>
      <c r="Y265" s="171"/>
    </row>
    <row r="266" ht="33.0" customHeight="1">
      <c r="A266" s="138">
        <v>265.0</v>
      </c>
      <c r="B266" s="143"/>
      <c r="C266" s="138" t="s">
        <v>36</v>
      </c>
      <c r="D266" s="138" t="s">
        <v>2237</v>
      </c>
      <c r="E266" s="138" t="s">
        <v>2258</v>
      </c>
      <c r="F266" s="138" t="s">
        <v>2259</v>
      </c>
      <c r="G266" s="153" t="s">
        <v>2260</v>
      </c>
      <c r="H266" s="138" t="s">
        <v>131</v>
      </c>
      <c r="I266" s="138" t="s">
        <v>141</v>
      </c>
      <c r="J266" s="138">
        <v>12.0</v>
      </c>
      <c r="K266" s="146"/>
      <c r="L266" s="138" t="s">
        <v>158</v>
      </c>
      <c r="M266" s="138" t="s">
        <v>2261</v>
      </c>
      <c r="N266" s="142" t="s">
        <v>2262</v>
      </c>
      <c r="O266" s="142" t="s">
        <v>2263</v>
      </c>
      <c r="P266" s="158"/>
      <c r="Q266" s="142" t="s">
        <v>2264</v>
      </c>
      <c r="R266" s="141">
        <v>46023.0</v>
      </c>
      <c r="S266" s="141">
        <v>46387.0</v>
      </c>
      <c r="T266" s="138" t="s">
        <v>2265</v>
      </c>
      <c r="U266" s="142" t="s">
        <v>140</v>
      </c>
      <c r="V266" s="143"/>
      <c r="W266" s="149"/>
      <c r="X266" s="143"/>
      <c r="Y266" s="148"/>
    </row>
    <row r="267" ht="33.0" customHeight="1">
      <c r="A267" s="138">
        <v>266.0</v>
      </c>
      <c r="B267" s="143"/>
      <c r="C267" s="138" t="s">
        <v>36</v>
      </c>
      <c r="D267" s="138" t="s">
        <v>2266</v>
      </c>
      <c r="E267" s="138" t="s">
        <v>2267</v>
      </c>
      <c r="F267" s="138" t="s">
        <v>2268</v>
      </c>
      <c r="G267" s="153" t="s">
        <v>2269</v>
      </c>
      <c r="H267" s="138" t="s">
        <v>131</v>
      </c>
      <c r="I267" s="138" t="s">
        <v>141</v>
      </c>
      <c r="J267" s="142">
        <v>21.0</v>
      </c>
      <c r="K267" s="168"/>
      <c r="L267" s="142" t="s">
        <v>141</v>
      </c>
      <c r="M267" s="142" t="s">
        <v>2270</v>
      </c>
      <c r="N267" s="138" t="s">
        <v>2271</v>
      </c>
      <c r="O267" s="142" t="s">
        <v>2272</v>
      </c>
      <c r="P267" s="158"/>
      <c r="Q267" s="158"/>
      <c r="R267" s="141">
        <v>46139.0</v>
      </c>
      <c r="S267" s="141">
        <v>46387.0</v>
      </c>
      <c r="T267" s="142" t="s">
        <v>2273</v>
      </c>
      <c r="U267" s="142" t="s">
        <v>140</v>
      </c>
      <c r="V267" s="143"/>
      <c r="W267" s="149"/>
      <c r="X267" s="149"/>
      <c r="Y267" s="148"/>
    </row>
    <row r="268" ht="33.0" customHeight="1">
      <c r="A268" s="138">
        <v>267.0</v>
      </c>
      <c r="B268" s="143"/>
      <c r="C268" s="138" t="s">
        <v>36</v>
      </c>
      <c r="D268" s="138" t="s">
        <v>2274</v>
      </c>
      <c r="E268" s="138" t="s">
        <v>934</v>
      </c>
      <c r="F268" s="138" t="s">
        <v>2275</v>
      </c>
      <c r="G268" s="153" t="s">
        <v>2276</v>
      </c>
      <c r="H268" s="138" t="s">
        <v>131</v>
      </c>
      <c r="I268" s="138" t="s">
        <v>141</v>
      </c>
      <c r="J268" s="138">
        <v>10.0</v>
      </c>
      <c r="K268" s="146"/>
      <c r="L268" s="138" t="s">
        <v>158</v>
      </c>
      <c r="M268" s="138" t="s">
        <v>2277</v>
      </c>
      <c r="N268" s="142" t="s">
        <v>2278</v>
      </c>
      <c r="O268" s="142" t="s">
        <v>2279</v>
      </c>
      <c r="P268" s="145"/>
      <c r="Q268" s="172"/>
      <c r="R268" s="141">
        <v>46023.0</v>
      </c>
      <c r="S268" s="141">
        <v>46387.0</v>
      </c>
      <c r="T268" s="138" t="s">
        <v>2280</v>
      </c>
      <c r="U268" s="142" t="s">
        <v>140</v>
      </c>
      <c r="V268" s="143"/>
      <c r="W268" s="149"/>
      <c r="X268" s="143"/>
      <c r="Y268" s="171"/>
    </row>
    <row r="269" ht="33.0" customHeight="1">
      <c r="A269" s="138">
        <v>268.0</v>
      </c>
      <c r="B269" s="143"/>
      <c r="C269" s="138" t="s">
        <v>36</v>
      </c>
      <c r="D269" s="138" t="s">
        <v>2281</v>
      </c>
      <c r="E269" s="138" t="s">
        <v>2282</v>
      </c>
      <c r="F269" s="138" t="s">
        <v>2283</v>
      </c>
      <c r="G269" s="153" t="s">
        <v>2284</v>
      </c>
      <c r="H269" s="138" t="s">
        <v>131</v>
      </c>
      <c r="I269" s="138" t="s">
        <v>141</v>
      </c>
      <c r="J269" s="138">
        <v>18.0</v>
      </c>
      <c r="K269" s="138" t="s">
        <v>2285</v>
      </c>
      <c r="L269" s="138" t="s">
        <v>158</v>
      </c>
      <c r="M269" s="138" t="s">
        <v>2286</v>
      </c>
      <c r="N269" s="138" t="s">
        <v>2287</v>
      </c>
      <c r="O269" s="138" t="s">
        <v>2288</v>
      </c>
      <c r="P269" s="138" t="s">
        <v>2289</v>
      </c>
      <c r="Q269" s="145"/>
      <c r="R269" s="141">
        <v>46023.0</v>
      </c>
      <c r="S269" s="141">
        <v>46387.0</v>
      </c>
      <c r="T269" s="138" t="s">
        <v>2290</v>
      </c>
      <c r="U269" s="142" t="s">
        <v>140</v>
      </c>
      <c r="V269" s="143"/>
      <c r="W269" s="143"/>
      <c r="X269" s="143"/>
      <c r="Y269" s="148"/>
    </row>
    <row r="270" ht="33.0" customHeight="1">
      <c r="A270" s="138">
        <v>269.0</v>
      </c>
      <c r="B270" s="143"/>
      <c r="C270" s="138" t="s">
        <v>36</v>
      </c>
      <c r="D270" s="138" t="s">
        <v>2291</v>
      </c>
      <c r="E270" s="138" t="s">
        <v>2292</v>
      </c>
      <c r="F270" s="138" t="s">
        <v>2293</v>
      </c>
      <c r="G270" s="153" t="s">
        <v>2294</v>
      </c>
      <c r="H270" s="138" t="s">
        <v>131</v>
      </c>
      <c r="I270" s="138" t="s">
        <v>141</v>
      </c>
      <c r="J270" s="138">
        <v>18.0</v>
      </c>
      <c r="K270" s="146"/>
      <c r="L270" s="138" t="s">
        <v>158</v>
      </c>
      <c r="M270" s="138" t="s">
        <v>2295</v>
      </c>
      <c r="N270" s="138" t="s">
        <v>2296</v>
      </c>
      <c r="O270" s="138" t="s">
        <v>2297</v>
      </c>
      <c r="P270" s="145"/>
      <c r="Q270" s="142" t="s">
        <v>2298</v>
      </c>
      <c r="R270" s="141">
        <v>46023.0</v>
      </c>
      <c r="S270" s="141">
        <v>46387.0</v>
      </c>
      <c r="T270" s="138" t="s">
        <v>2299</v>
      </c>
      <c r="U270" s="142" t="s">
        <v>140</v>
      </c>
      <c r="V270" s="143"/>
      <c r="W270" s="143"/>
      <c r="X270" s="143"/>
      <c r="Y270" s="148"/>
    </row>
    <row r="271" ht="33.0" customHeight="1">
      <c r="A271" s="138">
        <v>270.0</v>
      </c>
      <c r="B271" s="143"/>
      <c r="C271" s="138" t="s">
        <v>36</v>
      </c>
      <c r="D271" s="138" t="s">
        <v>2291</v>
      </c>
      <c r="E271" s="138" t="s">
        <v>2300</v>
      </c>
      <c r="F271" s="138" t="s">
        <v>2301</v>
      </c>
      <c r="G271" s="153" t="s">
        <v>2302</v>
      </c>
      <c r="H271" s="138" t="s">
        <v>131</v>
      </c>
      <c r="I271" s="138" t="s">
        <v>141</v>
      </c>
      <c r="J271" s="138">
        <v>14.0</v>
      </c>
      <c r="K271" s="146"/>
      <c r="L271" s="138" t="s">
        <v>141</v>
      </c>
      <c r="M271" s="138" t="s">
        <v>2303</v>
      </c>
      <c r="N271" s="142" t="s">
        <v>2304</v>
      </c>
      <c r="O271" s="142" t="s">
        <v>2305</v>
      </c>
      <c r="P271" s="145"/>
      <c r="Q271" s="172"/>
      <c r="R271" s="141">
        <v>46023.0</v>
      </c>
      <c r="S271" s="141">
        <v>46387.0</v>
      </c>
      <c r="T271" s="138" t="s">
        <v>2306</v>
      </c>
      <c r="U271" s="142" t="s">
        <v>140</v>
      </c>
      <c r="V271" s="143"/>
      <c r="W271" s="149"/>
      <c r="X271" s="143"/>
      <c r="Y271" s="144"/>
    </row>
    <row r="272" ht="33.0" customHeight="1">
      <c r="A272" s="138">
        <v>271.0</v>
      </c>
      <c r="B272" s="143"/>
      <c r="C272" s="138" t="s">
        <v>36</v>
      </c>
      <c r="D272" s="138" t="s">
        <v>2307</v>
      </c>
      <c r="E272" s="138" t="s">
        <v>2308</v>
      </c>
      <c r="F272" s="138" t="s">
        <v>2309</v>
      </c>
      <c r="G272" s="153" t="s">
        <v>2310</v>
      </c>
      <c r="H272" s="138" t="s">
        <v>131</v>
      </c>
      <c r="I272" s="138" t="s">
        <v>141</v>
      </c>
      <c r="J272" s="142">
        <v>15.0</v>
      </c>
      <c r="K272" s="168"/>
      <c r="L272" s="142" t="s">
        <v>133</v>
      </c>
      <c r="M272" s="142" t="s">
        <v>2311</v>
      </c>
      <c r="N272" s="138" t="s">
        <v>2312</v>
      </c>
      <c r="O272" s="164" t="s">
        <v>2313</v>
      </c>
      <c r="P272" s="138" t="s">
        <v>2314</v>
      </c>
      <c r="Q272" s="145"/>
      <c r="R272" s="141">
        <v>46023.0</v>
      </c>
      <c r="S272" s="141">
        <v>46387.0</v>
      </c>
      <c r="T272" s="142" t="s">
        <v>2315</v>
      </c>
      <c r="U272" s="142" t="s">
        <v>140</v>
      </c>
      <c r="V272" s="143"/>
      <c r="W272" s="143"/>
      <c r="X272" s="143"/>
      <c r="Y272" s="144"/>
    </row>
    <row r="273" ht="33.0" customHeight="1">
      <c r="A273" s="138">
        <v>272.0</v>
      </c>
      <c r="B273" s="143"/>
      <c r="C273" s="138" t="s">
        <v>36</v>
      </c>
      <c r="D273" s="138" t="s">
        <v>2307</v>
      </c>
      <c r="E273" s="138" t="s">
        <v>2316</v>
      </c>
      <c r="F273" s="138" t="s">
        <v>2317</v>
      </c>
      <c r="G273" s="153" t="s">
        <v>2318</v>
      </c>
      <c r="H273" s="138" t="s">
        <v>131</v>
      </c>
      <c r="I273" s="138" t="s">
        <v>141</v>
      </c>
      <c r="J273" s="138">
        <v>15.0</v>
      </c>
      <c r="K273" s="146"/>
      <c r="L273" s="138" t="s">
        <v>133</v>
      </c>
      <c r="M273" s="138" t="s">
        <v>2319</v>
      </c>
      <c r="N273" s="145"/>
      <c r="O273" s="138" t="s">
        <v>2320</v>
      </c>
      <c r="P273" s="145"/>
      <c r="Q273" s="145"/>
      <c r="R273" s="141">
        <v>46023.0</v>
      </c>
      <c r="S273" s="141">
        <v>46387.0</v>
      </c>
      <c r="T273" s="138" t="s">
        <v>2321</v>
      </c>
      <c r="U273" s="142" t="s">
        <v>140</v>
      </c>
      <c r="V273" s="143"/>
      <c r="W273" s="143"/>
      <c r="X273" s="143"/>
      <c r="Y273" s="144"/>
    </row>
    <row r="274" ht="33.0" customHeight="1">
      <c r="A274" s="138">
        <v>273.0</v>
      </c>
      <c r="B274" s="143"/>
      <c r="C274" s="138" t="s">
        <v>36</v>
      </c>
      <c r="D274" s="138" t="s">
        <v>2307</v>
      </c>
      <c r="E274" s="138" t="s">
        <v>2322</v>
      </c>
      <c r="F274" s="138" t="s">
        <v>2323</v>
      </c>
      <c r="G274" s="153" t="s">
        <v>2324</v>
      </c>
      <c r="H274" s="138" t="s">
        <v>131</v>
      </c>
      <c r="I274" s="138" t="s">
        <v>141</v>
      </c>
      <c r="J274" s="138">
        <v>25.0</v>
      </c>
      <c r="K274" s="146"/>
      <c r="L274" s="138" t="s">
        <v>133</v>
      </c>
      <c r="M274" s="138" t="s">
        <v>2325</v>
      </c>
      <c r="N274" s="145"/>
      <c r="O274" s="138" t="s">
        <v>2326</v>
      </c>
      <c r="P274" s="145"/>
      <c r="Q274" s="145"/>
      <c r="R274" s="141">
        <v>46023.0</v>
      </c>
      <c r="S274" s="141">
        <v>46387.0</v>
      </c>
      <c r="T274" s="138" t="s">
        <v>2327</v>
      </c>
      <c r="U274" s="142" t="s">
        <v>140</v>
      </c>
      <c r="V274" s="143"/>
      <c r="W274" s="143"/>
      <c r="X274" s="143"/>
      <c r="Y274" s="144"/>
    </row>
    <row r="275" ht="33.0" customHeight="1">
      <c r="A275" s="138">
        <v>274.0</v>
      </c>
      <c r="B275" s="143"/>
      <c r="C275" s="138" t="s">
        <v>36</v>
      </c>
      <c r="D275" s="138" t="s">
        <v>2307</v>
      </c>
      <c r="E275" s="138" t="s">
        <v>2328</v>
      </c>
      <c r="F275" s="138" t="s">
        <v>2329</v>
      </c>
      <c r="G275" s="153" t="s">
        <v>2330</v>
      </c>
      <c r="H275" s="138" t="s">
        <v>131</v>
      </c>
      <c r="I275" s="138" t="s">
        <v>141</v>
      </c>
      <c r="J275" s="138">
        <v>25.0</v>
      </c>
      <c r="K275" s="146"/>
      <c r="L275" s="138" t="s">
        <v>133</v>
      </c>
      <c r="M275" s="138" t="s">
        <v>2331</v>
      </c>
      <c r="N275" s="145"/>
      <c r="O275" s="138" t="s">
        <v>2332</v>
      </c>
      <c r="P275" s="138" t="s">
        <v>2333</v>
      </c>
      <c r="Q275" s="170"/>
      <c r="R275" s="141">
        <v>46023.0</v>
      </c>
      <c r="S275" s="141">
        <v>46387.0</v>
      </c>
      <c r="T275" s="138" t="s">
        <v>2334</v>
      </c>
      <c r="U275" s="142" t="s">
        <v>140</v>
      </c>
      <c r="V275" s="143"/>
      <c r="W275" s="143"/>
      <c r="X275" s="143"/>
      <c r="Y275" s="144"/>
    </row>
    <row r="276" ht="33.0" customHeight="1">
      <c r="A276" s="138">
        <v>275.0</v>
      </c>
      <c r="B276" s="143"/>
      <c r="C276" s="138" t="s">
        <v>36</v>
      </c>
      <c r="D276" s="138" t="s">
        <v>2307</v>
      </c>
      <c r="E276" s="138" t="s">
        <v>2335</v>
      </c>
      <c r="F276" s="138" t="s">
        <v>2336</v>
      </c>
      <c r="G276" s="153" t="s">
        <v>2337</v>
      </c>
      <c r="H276" s="138" t="s">
        <v>131</v>
      </c>
      <c r="I276" s="138" t="s">
        <v>105</v>
      </c>
      <c r="J276" s="138">
        <v>10.0</v>
      </c>
      <c r="K276" s="146"/>
      <c r="L276" s="138" t="s">
        <v>133</v>
      </c>
      <c r="M276" s="138" t="s">
        <v>2338</v>
      </c>
      <c r="N276" s="138" t="s">
        <v>2339</v>
      </c>
      <c r="O276" s="138" t="s">
        <v>2340</v>
      </c>
      <c r="P276" s="145"/>
      <c r="Q276" s="145"/>
      <c r="R276" s="141">
        <v>46098.0</v>
      </c>
      <c r="S276" s="141">
        <v>46387.0</v>
      </c>
      <c r="T276" s="138" t="s">
        <v>2341</v>
      </c>
      <c r="U276" s="142" t="s">
        <v>140</v>
      </c>
      <c r="V276" s="143"/>
      <c r="W276" s="143"/>
      <c r="X276" s="143"/>
      <c r="Y276" s="144"/>
    </row>
    <row r="277" ht="33.0" customHeight="1">
      <c r="A277" s="138">
        <v>276.0</v>
      </c>
      <c r="B277" s="173">
        <v>2850.0</v>
      </c>
      <c r="C277" s="138" t="s">
        <v>38</v>
      </c>
      <c r="D277" s="138" t="s">
        <v>2342</v>
      </c>
      <c r="E277" s="138" t="s">
        <v>2343</v>
      </c>
      <c r="F277" s="138" t="s">
        <v>2344</v>
      </c>
      <c r="G277" s="153" t="s">
        <v>2345</v>
      </c>
      <c r="H277" s="138" t="s">
        <v>131</v>
      </c>
      <c r="I277" s="138" t="s">
        <v>141</v>
      </c>
      <c r="J277" s="138">
        <v>15.0</v>
      </c>
      <c r="K277" s="138" t="s">
        <v>274</v>
      </c>
      <c r="L277" s="138" t="s">
        <v>133</v>
      </c>
      <c r="M277" s="138" t="s">
        <v>2346</v>
      </c>
      <c r="N277" s="142">
        <v>9.122441474E9</v>
      </c>
      <c r="O277" s="142" t="s">
        <v>2347</v>
      </c>
      <c r="P277" s="174"/>
      <c r="Q277" s="142" t="s">
        <v>2348</v>
      </c>
      <c r="R277" s="141">
        <v>46023.0</v>
      </c>
      <c r="S277" s="141">
        <v>46387.0</v>
      </c>
      <c r="T277" s="138" t="s">
        <v>2349</v>
      </c>
      <c r="U277" s="142" t="s">
        <v>140</v>
      </c>
      <c r="V277" s="148"/>
      <c r="W277" s="144"/>
      <c r="X277" s="148"/>
      <c r="Y277" s="148"/>
    </row>
    <row r="278" ht="33.0" customHeight="1">
      <c r="A278" s="138">
        <v>277.0</v>
      </c>
      <c r="B278" s="173">
        <v>2974.0</v>
      </c>
      <c r="C278" s="138" t="s">
        <v>38</v>
      </c>
      <c r="D278" s="138" t="s">
        <v>2342</v>
      </c>
      <c r="E278" s="138" t="s">
        <v>2350</v>
      </c>
      <c r="F278" s="138" t="s">
        <v>2351</v>
      </c>
      <c r="G278" s="153" t="s">
        <v>2352</v>
      </c>
      <c r="H278" s="138" t="s">
        <v>131</v>
      </c>
      <c r="I278" s="138" t="s">
        <v>141</v>
      </c>
      <c r="J278" s="138">
        <v>18.0</v>
      </c>
      <c r="K278" s="173" t="s">
        <v>2353</v>
      </c>
      <c r="L278" s="173" t="s">
        <v>133</v>
      </c>
      <c r="M278" s="138" t="s">
        <v>2354</v>
      </c>
      <c r="N278" s="142">
        <v>9.519469132E9</v>
      </c>
      <c r="O278" s="142" t="s">
        <v>2355</v>
      </c>
      <c r="P278" s="174"/>
      <c r="Q278" s="142" t="s">
        <v>2356</v>
      </c>
      <c r="R278" s="141">
        <v>46023.0</v>
      </c>
      <c r="S278" s="141">
        <v>46387.0</v>
      </c>
      <c r="T278" s="138" t="s">
        <v>2357</v>
      </c>
      <c r="U278" s="142" t="s">
        <v>140</v>
      </c>
      <c r="V278" s="148"/>
      <c r="W278" s="144"/>
      <c r="X278" s="148"/>
      <c r="Y278" s="148"/>
    </row>
    <row r="279" ht="33.0" customHeight="1">
      <c r="A279" s="138">
        <v>278.0</v>
      </c>
      <c r="B279" s="173">
        <v>602.0</v>
      </c>
      <c r="C279" s="138" t="s">
        <v>38</v>
      </c>
      <c r="D279" s="138" t="s">
        <v>2342</v>
      </c>
      <c r="E279" s="138" t="s">
        <v>2358</v>
      </c>
      <c r="F279" s="138" t="s">
        <v>2359</v>
      </c>
      <c r="G279" s="153" t="s">
        <v>2360</v>
      </c>
      <c r="H279" s="138" t="s">
        <v>131</v>
      </c>
      <c r="I279" s="138" t="s">
        <v>105</v>
      </c>
      <c r="J279" s="138">
        <v>25.0</v>
      </c>
      <c r="K279" s="173" t="s">
        <v>2361</v>
      </c>
      <c r="L279" s="175" t="s">
        <v>133</v>
      </c>
      <c r="M279" s="138" t="s">
        <v>2362</v>
      </c>
      <c r="N279" s="142">
        <v>9.915010815E9</v>
      </c>
      <c r="O279" s="142" t="s">
        <v>2363</v>
      </c>
      <c r="P279" s="145"/>
      <c r="Q279" s="173" t="s">
        <v>2364</v>
      </c>
      <c r="R279" s="160">
        <v>46023.0</v>
      </c>
      <c r="S279" s="160">
        <v>46387.0</v>
      </c>
      <c r="T279" s="142" t="s">
        <v>2365</v>
      </c>
      <c r="U279" s="142" t="s">
        <v>140</v>
      </c>
      <c r="V279" s="148"/>
      <c r="W279" s="148"/>
      <c r="X279" s="148"/>
      <c r="Y279" s="148"/>
    </row>
    <row r="280" ht="33.0" customHeight="1">
      <c r="A280" s="138">
        <v>279.0</v>
      </c>
      <c r="B280" s="173">
        <v>6061.0</v>
      </c>
      <c r="C280" s="138" t="s">
        <v>38</v>
      </c>
      <c r="D280" s="138" t="s">
        <v>2342</v>
      </c>
      <c r="E280" s="138" t="s">
        <v>2366</v>
      </c>
      <c r="F280" s="138" t="s">
        <v>2367</v>
      </c>
      <c r="G280" s="153" t="s">
        <v>2368</v>
      </c>
      <c r="H280" s="138" t="s">
        <v>131</v>
      </c>
      <c r="I280" s="138" t="s">
        <v>141</v>
      </c>
      <c r="J280" s="138">
        <v>25.0</v>
      </c>
      <c r="K280" s="173" t="s">
        <v>2353</v>
      </c>
      <c r="L280" s="173" t="s">
        <v>133</v>
      </c>
      <c r="M280" s="138" t="s">
        <v>2369</v>
      </c>
      <c r="N280" s="142">
        <v>9.429659416E9</v>
      </c>
      <c r="O280" s="142" t="s">
        <v>2370</v>
      </c>
      <c r="P280" s="171"/>
      <c r="Q280" s="142" t="s">
        <v>2356</v>
      </c>
      <c r="R280" s="141">
        <v>46023.0</v>
      </c>
      <c r="S280" s="141">
        <v>46387.0</v>
      </c>
      <c r="T280" s="138" t="s">
        <v>2371</v>
      </c>
      <c r="U280" s="142" t="s">
        <v>140</v>
      </c>
      <c r="V280" s="148"/>
      <c r="W280" s="144"/>
      <c r="X280" s="148"/>
      <c r="Y280" s="148"/>
    </row>
    <row r="281" ht="33.0" customHeight="1">
      <c r="A281" s="138">
        <v>280.0</v>
      </c>
      <c r="B281" s="173">
        <v>2499.0</v>
      </c>
      <c r="C281" s="138" t="s">
        <v>38</v>
      </c>
      <c r="D281" s="138" t="s">
        <v>2342</v>
      </c>
      <c r="E281" s="138" t="s">
        <v>2372</v>
      </c>
      <c r="F281" s="138" t="s">
        <v>2373</v>
      </c>
      <c r="G281" s="153" t="s">
        <v>2374</v>
      </c>
      <c r="H281" s="138" t="s">
        <v>131</v>
      </c>
      <c r="I281" s="138" t="s">
        <v>141</v>
      </c>
      <c r="J281" s="138">
        <v>10.0</v>
      </c>
      <c r="K281" s="173" t="s">
        <v>274</v>
      </c>
      <c r="L281" s="138" t="s">
        <v>158</v>
      </c>
      <c r="M281" s="138" t="s">
        <v>2375</v>
      </c>
      <c r="N281" s="142">
        <v>9.515036545E9</v>
      </c>
      <c r="O281" s="142" t="s">
        <v>2376</v>
      </c>
      <c r="P281" s="145"/>
      <c r="Q281" s="173" t="s">
        <v>2377</v>
      </c>
      <c r="R281" s="160">
        <v>46023.0</v>
      </c>
      <c r="S281" s="160">
        <v>46387.0</v>
      </c>
      <c r="T281" s="142" t="s">
        <v>2378</v>
      </c>
      <c r="U281" s="142" t="s">
        <v>140</v>
      </c>
      <c r="V281" s="148"/>
      <c r="W281" s="148"/>
      <c r="X281" s="148"/>
      <c r="Y281" s="148"/>
    </row>
    <row r="282" ht="33.0" customHeight="1">
      <c r="A282" s="138">
        <v>281.0</v>
      </c>
      <c r="B282" s="173">
        <v>4556.0</v>
      </c>
      <c r="C282" s="138" t="s">
        <v>38</v>
      </c>
      <c r="D282" s="138" t="s">
        <v>2300</v>
      </c>
      <c r="E282" s="138" t="s">
        <v>2379</v>
      </c>
      <c r="F282" s="138" t="s">
        <v>2380</v>
      </c>
      <c r="G282" s="153" t="s">
        <v>2381</v>
      </c>
      <c r="H282" s="138" t="s">
        <v>131</v>
      </c>
      <c r="I282" s="138" t="s">
        <v>141</v>
      </c>
      <c r="J282" s="138">
        <v>10.0</v>
      </c>
      <c r="K282" s="173" t="s">
        <v>274</v>
      </c>
      <c r="L282" s="138" t="s">
        <v>158</v>
      </c>
      <c r="M282" s="142" t="s">
        <v>2382</v>
      </c>
      <c r="N282" s="142">
        <v>9.127198816E9</v>
      </c>
      <c r="O282" s="142" t="s">
        <v>2383</v>
      </c>
      <c r="P282" s="175" t="s">
        <v>2384</v>
      </c>
      <c r="Q282" s="176"/>
      <c r="R282" s="160">
        <v>46023.0</v>
      </c>
      <c r="S282" s="160">
        <v>46387.0</v>
      </c>
      <c r="T282" s="142" t="s">
        <v>2385</v>
      </c>
      <c r="U282" s="142" t="s">
        <v>140</v>
      </c>
      <c r="V282" s="148"/>
      <c r="W282" s="148"/>
      <c r="X282" s="148"/>
      <c r="Y282" s="148"/>
    </row>
    <row r="283" ht="33.0" customHeight="1">
      <c r="A283" s="138">
        <v>282.0</v>
      </c>
      <c r="B283" s="173">
        <v>3939.0</v>
      </c>
      <c r="C283" s="138" t="s">
        <v>38</v>
      </c>
      <c r="D283" s="138" t="s">
        <v>2300</v>
      </c>
      <c r="E283" s="173" t="s">
        <v>2386</v>
      </c>
      <c r="F283" s="138" t="s">
        <v>2387</v>
      </c>
      <c r="G283" s="153" t="s">
        <v>2388</v>
      </c>
      <c r="H283" s="138" t="s">
        <v>131</v>
      </c>
      <c r="I283" s="138" t="s">
        <v>141</v>
      </c>
      <c r="J283" s="138">
        <v>18.0</v>
      </c>
      <c r="K283" s="138" t="s">
        <v>2353</v>
      </c>
      <c r="L283" s="138" t="s">
        <v>158</v>
      </c>
      <c r="M283" s="138" t="s">
        <v>2389</v>
      </c>
      <c r="N283" s="142">
        <v>9.664758258E9</v>
      </c>
      <c r="O283" s="142" t="s">
        <v>2390</v>
      </c>
      <c r="P283" s="175" t="s">
        <v>2391</v>
      </c>
      <c r="Q283" s="177"/>
      <c r="R283" s="141">
        <v>46023.0</v>
      </c>
      <c r="S283" s="141">
        <v>46387.0</v>
      </c>
      <c r="T283" s="138" t="s">
        <v>2392</v>
      </c>
      <c r="U283" s="142" t="s">
        <v>140</v>
      </c>
      <c r="V283" s="148"/>
      <c r="W283" s="144"/>
      <c r="X283" s="144"/>
      <c r="Y283" s="144"/>
    </row>
    <row r="284" ht="33.0" customHeight="1">
      <c r="A284" s="138">
        <v>283.0</v>
      </c>
      <c r="B284" s="173">
        <v>610.0</v>
      </c>
      <c r="C284" s="138" t="s">
        <v>38</v>
      </c>
      <c r="D284" s="138" t="s">
        <v>2393</v>
      </c>
      <c r="E284" s="138" t="s">
        <v>2394</v>
      </c>
      <c r="F284" s="138" t="s">
        <v>2395</v>
      </c>
      <c r="G284" s="153" t="s">
        <v>2396</v>
      </c>
      <c r="H284" s="138" t="s">
        <v>131</v>
      </c>
      <c r="I284" s="138" t="s">
        <v>105</v>
      </c>
      <c r="J284" s="138">
        <v>16.0</v>
      </c>
      <c r="K284" s="173" t="s">
        <v>2397</v>
      </c>
      <c r="L284" s="138" t="s">
        <v>158</v>
      </c>
      <c r="M284" s="138" t="s">
        <v>2398</v>
      </c>
      <c r="N284" s="142">
        <v>9.354419164E9</v>
      </c>
      <c r="O284" s="142" t="s">
        <v>2399</v>
      </c>
      <c r="P284" s="138" t="s">
        <v>2400</v>
      </c>
      <c r="Q284" s="176"/>
      <c r="R284" s="160">
        <v>46023.0</v>
      </c>
      <c r="S284" s="160">
        <v>46387.0</v>
      </c>
      <c r="T284" s="142" t="s">
        <v>2401</v>
      </c>
      <c r="U284" s="142" t="s">
        <v>140</v>
      </c>
      <c r="V284" s="148"/>
      <c r="W284" s="148"/>
      <c r="X284" s="148"/>
      <c r="Y284" s="144"/>
    </row>
    <row r="285" ht="33.0" customHeight="1">
      <c r="A285" s="138">
        <v>284.0</v>
      </c>
      <c r="B285" s="173">
        <v>5381.0</v>
      </c>
      <c r="C285" s="138" t="s">
        <v>38</v>
      </c>
      <c r="D285" s="138" t="s">
        <v>2393</v>
      </c>
      <c r="E285" s="138" t="s">
        <v>2402</v>
      </c>
      <c r="F285" s="138" t="s">
        <v>2403</v>
      </c>
      <c r="G285" s="153" t="s">
        <v>2404</v>
      </c>
      <c r="H285" s="138" t="s">
        <v>131</v>
      </c>
      <c r="I285" s="138" t="s">
        <v>141</v>
      </c>
      <c r="J285" s="138">
        <v>18.0</v>
      </c>
      <c r="K285" s="173" t="s">
        <v>2353</v>
      </c>
      <c r="L285" s="138" t="s">
        <v>133</v>
      </c>
      <c r="M285" s="138" t="s">
        <v>2405</v>
      </c>
      <c r="N285" s="142">
        <v>9.703576477E9</v>
      </c>
      <c r="O285" s="142" t="s">
        <v>2406</v>
      </c>
      <c r="P285" s="138" t="s">
        <v>2407</v>
      </c>
      <c r="Q285" s="176"/>
      <c r="R285" s="160">
        <v>46023.0</v>
      </c>
      <c r="S285" s="160">
        <v>46387.0</v>
      </c>
      <c r="T285" s="142" t="s">
        <v>2408</v>
      </c>
      <c r="U285" s="142" t="s">
        <v>140</v>
      </c>
      <c r="V285" s="148"/>
      <c r="W285" s="148"/>
      <c r="X285" s="148"/>
      <c r="Y285" s="144"/>
    </row>
    <row r="286" ht="33.0" customHeight="1">
      <c r="A286" s="138">
        <v>285.0</v>
      </c>
      <c r="B286" s="173">
        <v>52409.0</v>
      </c>
      <c r="C286" s="138" t="s">
        <v>38</v>
      </c>
      <c r="D286" s="138" t="s">
        <v>2393</v>
      </c>
      <c r="E286" s="138" t="s">
        <v>2409</v>
      </c>
      <c r="F286" s="138" t="s">
        <v>2410</v>
      </c>
      <c r="G286" s="153" t="s">
        <v>2411</v>
      </c>
      <c r="H286" s="138" t="s">
        <v>131</v>
      </c>
      <c r="I286" s="138" t="s">
        <v>105</v>
      </c>
      <c r="J286" s="138">
        <v>34.0</v>
      </c>
      <c r="K286" s="173" t="s">
        <v>2361</v>
      </c>
      <c r="L286" s="138" t="s">
        <v>158</v>
      </c>
      <c r="M286" s="138" t="s">
        <v>2412</v>
      </c>
      <c r="N286" s="142">
        <v>9.53955497E9</v>
      </c>
      <c r="O286" s="142" t="s">
        <v>2413</v>
      </c>
      <c r="P286" s="145"/>
      <c r="Q286" s="177"/>
      <c r="R286" s="160">
        <v>46023.0</v>
      </c>
      <c r="S286" s="160">
        <v>46387.0</v>
      </c>
      <c r="T286" s="142" t="s">
        <v>2414</v>
      </c>
      <c r="U286" s="142" t="s">
        <v>140</v>
      </c>
      <c r="V286" s="148"/>
      <c r="W286" s="148"/>
      <c r="X286" s="148"/>
      <c r="Y286" s="144"/>
    </row>
    <row r="287" ht="33.0" customHeight="1">
      <c r="A287" s="138">
        <v>286.0</v>
      </c>
      <c r="B287" s="173">
        <v>730.0</v>
      </c>
      <c r="C287" s="138" t="s">
        <v>38</v>
      </c>
      <c r="D287" s="138" t="s">
        <v>2393</v>
      </c>
      <c r="E287" s="138" t="s">
        <v>2415</v>
      </c>
      <c r="F287" s="138" t="s">
        <v>2416</v>
      </c>
      <c r="G287" s="153" t="s">
        <v>2417</v>
      </c>
      <c r="H287" s="138" t="s">
        <v>131</v>
      </c>
      <c r="I287" s="138" t="s">
        <v>105</v>
      </c>
      <c r="J287" s="138">
        <v>18.0</v>
      </c>
      <c r="K287" s="138" t="s">
        <v>274</v>
      </c>
      <c r="L287" s="138" t="s">
        <v>158</v>
      </c>
      <c r="M287" s="138" t="s">
        <v>2418</v>
      </c>
      <c r="N287" s="142">
        <v>9.302222512E9</v>
      </c>
      <c r="O287" s="142" t="s">
        <v>2419</v>
      </c>
      <c r="P287" s="175" t="s">
        <v>2420</v>
      </c>
      <c r="Q287" s="158"/>
      <c r="R287" s="141">
        <v>46023.0</v>
      </c>
      <c r="S287" s="141">
        <v>46387.0</v>
      </c>
      <c r="T287" s="138" t="s">
        <v>2421</v>
      </c>
      <c r="U287" s="142" t="s">
        <v>140</v>
      </c>
      <c r="V287" s="148"/>
      <c r="W287" s="144"/>
      <c r="X287" s="148"/>
      <c r="Y287" s="144"/>
    </row>
    <row r="288" ht="33.0" customHeight="1">
      <c r="A288" s="138">
        <v>287.0</v>
      </c>
      <c r="B288" s="173">
        <v>44610.0</v>
      </c>
      <c r="C288" s="138" t="s">
        <v>38</v>
      </c>
      <c r="D288" s="138" t="s">
        <v>2422</v>
      </c>
      <c r="E288" s="138" t="s">
        <v>2133</v>
      </c>
      <c r="F288" s="138" t="s">
        <v>2423</v>
      </c>
      <c r="G288" s="153" t="s">
        <v>2424</v>
      </c>
      <c r="H288" s="138" t="s">
        <v>131</v>
      </c>
      <c r="I288" s="138" t="s">
        <v>105</v>
      </c>
      <c r="J288" s="138">
        <v>12.0</v>
      </c>
      <c r="K288" s="178"/>
      <c r="L288" s="146"/>
      <c r="M288" s="138" t="s">
        <v>2425</v>
      </c>
      <c r="N288" s="142">
        <v>9.456740495E9</v>
      </c>
      <c r="O288" s="142" t="s">
        <v>2426</v>
      </c>
      <c r="P288" s="145"/>
      <c r="Q288" s="173" t="s">
        <v>2427</v>
      </c>
      <c r="R288" s="160">
        <v>46023.0</v>
      </c>
      <c r="S288" s="160">
        <v>46387.0</v>
      </c>
      <c r="T288" s="142" t="s">
        <v>2428</v>
      </c>
      <c r="U288" s="142" t="s">
        <v>140</v>
      </c>
      <c r="V288" s="148"/>
      <c r="W288" s="148"/>
      <c r="X288" s="148"/>
      <c r="Y288" s="144"/>
    </row>
    <row r="289" ht="33.0" customHeight="1">
      <c r="A289" s="138">
        <v>288.0</v>
      </c>
      <c r="B289" s="173">
        <v>44611.0</v>
      </c>
      <c r="C289" s="138" t="s">
        <v>38</v>
      </c>
      <c r="D289" s="138" t="s">
        <v>2422</v>
      </c>
      <c r="E289" s="138" t="s">
        <v>2429</v>
      </c>
      <c r="F289" s="138" t="s">
        <v>2430</v>
      </c>
      <c r="G289" s="153" t="s">
        <v>2431</v>
      </c>
      <c r="H289" s="138" t="s">
        <v>131</v>
      </c>
      <c r="I289" s="138" t="s">
        <v>105</v>
      </c>
      <c r="J289" s="138">
        <v>15.0</v>
      </c>
      <c r="K289" s="178"/>
      <c r="L289" s="146"/>
      <c r="M289" s="138" t="s">
        <v>2432</v>
      </c>
      <c r="N289" s="142">
        <v>9.307703408E9</v>
      </c>
      <c r="O289" s="142" t="s">
        <v>2433</v>
      </c>
      <c r="P289" s="145"/>
      <c r="Q289" s="173" t="s">
        <v>2434</v>
      </c>
      <c r="R289" s="160">
        <v>46023.0</v>
      </c>
      <c r="S289" s="160">
        <v>46387.0</v>
      </c>
      <c r="T289" s="142" t="s">
        <v>2435</v>
      </c>
      <c r="U289" s="142" t="s">
        <v>140</v>
      </c>
      <c r="V289" s="148"/>
      <c r="W289" s="148"/>
      <c r="X289" s="148"/>
      <c r="Y289" s="144"/>
    </row>
    <row r="290" ht="33.0" customHeight="1">
      <c r="A290" s="138">
        <v>289.0</v>
      </c>
      <c r="B290" s="173">
        <v>5657.0</v>
      </c>
      <c r="C290" s="138" t="s">
        <v>38</v>
      </c>
      <c r="D290" s="138" t="s">
        <v>2422</v>
      </c>
      <c r="E290" s="138" t="s">
        <v>2436</v>
      </c>
      <c r="F290" s="138" t="s">
        <v>2437</v>
      </c>
      <c r="G290" s="153" t="s">
        <v>2438</v>
      </c>
      <c r="H290" s="138" t="s">
        <v>131</v>
      </c>
      <c r="I290" s="138" t="s">
        <v>141</v>
      </c>
      <c r="J290" s="138">
        <v>25.0</v>
      </c>
      <c r="K290" s="173" t="s">
        <v>2361</v>
      </c>
      <c r="L290" s="138" t="s">
        <v>133</v>
      </c>
      <c r="M290" s="138" t="s">
        <v>2439</v>
      </c>
      <c r="N290" s="142">
        <v>9.176289502E9</v>
      </c>
      <c r="O290" s="142" t="s">
        <v>2440</v>
      </c>
      <c r="P290" s="145"/>
      <c r="Q290" s="173" t="s">
        <v>2441</v>
      </c>
      <c r="R290" s="160">
        <v>46023.0</v>
      </c>
      <c r="S290" s="160">
        <v>46387.0</v>
      </c>
      <c r="T290" s="142" t="s">
        <v>2442</v>
      </c>
      <c r="U290" s="142" t="s">
        <v>140</v>
      </c>
      <c r="V290" s="148"/>
      <c r="W290" s="148"/>
      <c r="X290" s="148"/>
      <c r="Y290" s="144"/>
    </row>
    <row r="291" ht="33.0" customHeight="1">
      <c r="A291" s="138">
        <v>290.0</v>
      </c>
      <c r="B291" s="173">
        <v>5147.0</v>
      </c>
      <c r="C291" s="138" t="s">
        <v>38</v>
      </c>
      <c r="D291" s="138" t="s">
        <v>2422</v>
      </c>
      <c r="E291" s="138" t="s">
        <v>2443</v>
      </c>
      <c r="F291" s="138" t="s">
        <v>2444</v>
      </c>
      <c r="G291" s="153" t="s">
        <v>2445</v>
      </c>
      <c r="H291" s="138" t="s">
        <v>131</v>
      </c>
      <c r="I291" s="138" t="s">
        <v>141</v>
      </c>
      <c r="J291" s="138">
        <v>10.0</v>
      </c>
      <c r="K291" s="173" t="s">
        <v>274</v>
      </c>
      <c r="L291" s="138" t="s">
        <v>133</v>
      </c>
      <c r="M291" s="138" t="s">
        <v>2446</v>
      </c>
      <c r="N291" s="142">
        <v>9.084105405E9</v>
      </c>
      <c r="O291" s="142" t="s">
        <v>2447</v>
      </c>
      <c r="P291" s="145"/>
      <c r="Q291" s="173" t="s">
        <v>2434</v>
      </c>
      <c r="R291" s="160">
        <v>46023.0</v>
      </c>
      <c r="S291" s="160">
        <v>46387.0</v>
      </c>
      <c r="T291" s="142" t="s">
        <v>2448</v>
      </c>
      <c r="U291" s="142" t="s">
        <v>140</v>
      </c>
      <c r="V291" s="148"/>
      <c r="W291" s="148"/>
      <c r="X291" s="148"/>
      <c r="Y291" s="144"/>
    </row>
    <row r="292" ht="33.0" customHeight="1">
      <c r="A292" s="138">
        <v>291.0</v>
      </c>
      <c r="B292" s="173">
        <v>1506.0</v>
      </c>
      <c r="C292" s="138" t="s">
        <v>40</v>
      </c>
      <c r="D292" s="138" t="s">
        <v>83</v>
      </c>
      <c r="E292" s="173" t="s">
        <v>2449</v>
      </c>
      <c r="F292" s="138" t="s">
        <v>2450</v>
      </c>
      <c r="G292" s="153" t="s">
        <v>2451</v>
      </c>
      <c r="H292" s="138" t="s">
        <v>131</v>
      </c>
      <c r="I292" s="138" t="s">
        <v>105</v>
      </c>
      <c r="J292" s="138">
        <v>25.0</v>
      </c>
      <c r="K292" s="178"/>
      <c r="L292" s="173" t="s">
        <v>133</v>
      </c>
      <c r="M292" s="142" t="s">
        <v>2452</v>
      </c>
      <c r="N292" s="142">
        <v>8.58185606E8</v>
      </c>
      <c r="O292" s="142" t="s">
        <v>2453</v>
      </c>
      <c r="P292" s="175" t="s">
        <v>2454</v>
      </c>
      <c r="Q292" s="171"/>
      <c r="R292" s="160">
        <v>46023.0</v>
      </c>
      <c r="S292" s="160">
        <v>46387.0</v>
      </c>
      <c r="T292" s="142" t="s">
        <v>2455</v>
      </c>
      <c r="U292" s="142" t="s">
        <v>140</v>
      </c>
      <c r="V292" s="148"/>
      <c r="W292" s="148"/>
      <c r="X292" s="148"/>
      <c r="Y292" s="144"/>
    </row>
    <row r="293" ht="33.0" customHeight="1">
      <c r="A293" s="138">
        <v>292.0</v>
      </c>
      <c r="B293" s="173">
        <v>37754.0</v>
      </c>
      <c r="C293" s="138" t="s">
        <v>40</v>
      </c>
      <c r="D293" s="138" t="s">
        <v>83</v>
      </c>
      <c r="E293" s="138" t="s">
        <v>2456</v>
      </c>
      <c r="F293" s="138" t="s">
        <v>2457</v>
      </c>
      <c r="G293" s="153" t="s">
        <v>2458</v>
      </c>
      <c r="H293" s="138" t="s">
        <v>131</v>
      </c>
      <c r="I293" s="138" t="s">
        <v>105</v>
      </c>
      <c r="J293" s="138">
        <v>11.0</v>
      </c>
      <c r="K293" s="178"/>
      <c r="L293" s="146"/>
      <c r="M293" s="138" t="s">
        <v>2459</v>
      </c>
      <c r="N293" s="142">
        <v>9.385940136E9</v>
      </c>
      <c r="O293" s="142" t="s">
        <v>2460</v>
      </c>
      <c r="P293" s="158"/>
      <c r="Q293" s="173" t="s">
        <v>2461</v>
      </c>
      <c r="R293" s="160">
        <v>46023.0</v>
      </c>
      <c r="S293" s="160">
        <v>46387.0</v>
      </c>
      <c r="T293" s="142" t="s">
        <v>2462</v>
      </c>
      <c r="U293" s="142" t="s">
        <v>140</v>
      </c>
      <c r="V293" s="148"/>
      <c r="W293" s="148"/>
      <c r="X293" s="148"/>
      <c r="Y293" s="144"/>
    </row>
    <row r="294" ht="33.0" customHeight="1">
      <c r="A294" s="138">
        <v>293.0</v>
      </c>
      <c r="B294" s="173">
        <v>2843.0</v>
      </c>
      <c r="C294" s="138" t="s">
        <v>40</v>
      </c>
      <c r="D294" s="142" t="s">
        <v>83</v>
      </c>
      <c r="E294" s="138" t="s">
        <v>2456</v>
      </c>
      <c r="F294" s="142" t="s">
        <v>2463</v>
      </c>
      <c r="G294" s="153" t="s">
        <v>2464</v>
      </c>
      <c r="H294" s="138" t="s">
        <v>131</v>
      </c>
      <c r="I294" s="138" t="s">
        <v>105</v>
      </c>
      <c r="J294" s="142">
        <v>10.0</v>
      </c>
      <c r="K294" s="179"/>
      <c r="L294" s="142" t="s">
        <v>158</v>
      </c>
      <c r="M294" s="142" t="s">
        <v>2465</v>
      </c>
      <c r="N294" s="142">
        <v>9.773936738E9</v>
      </c>
      <c r="O294" s="142" t="s">
        <v>2466</v>
      </c>
      <c r="P294" s="158"/>
      <c r="Q294" s="176"/>
      <c r="R294" s="160">
        <v>46023.0</v>
      </c>
      <c r="S294" s="160">
        <v>46387.0</v>
      </c>
      <c r="T294" s="142" t="s">
        <v>2467</v>
      </c>
      <c r="U294" s="142" t="s">
        <v>140</v>
      </c>
      <c r="V294" s="148"/>
      <c r="W294" s="148"/>
      <c r="X294" s="148"/>
      <c r="Y294" s="144"/>
    </row>
    <row r="295" ht="33.0" customHeight="1">
      <c r="A295" s="138">
        <v>294.0</v>
      </c>
      <c r="B295" s="173">
        <v>4449.0</v>
      </c>
      <c r="C295" s="138" t="s">
        <v>40</v>
      </c>
      <c r="D295" s="138" t="s">
        <v>83</v>
      </c>
      <c r="E295" s="138" t="s">
        <v>2468</v>
      </c>
      <c r="F295" s="138" t="s">
        <v>2469</v>
      </c>
      <c r="G295" s="153" t="s">
        <v>2470</v>
      </c>
      <c r="H295" s="138" t="s">
        <v>131</v>
      </c>
      <c r="I295" s="138" t="s">
        <v>105</v>
      </c>
      <c r="J295" s="138">
        <v>12.0</v>
      </c>
      <c r="K295" s="178"/>
      <c r="L295" s="138" t="s">
        <v>133</v>
      </c>
      <c r="M295" s="138" t="s">
        <v>2471</v>
      </c>
      <c r="N295" s="142">
        <v>9.514145385E9</v>
      </c>
      <c r="O295" s="142" t="s">
        <v>2472</v>
      </c>
      <c r="P295" s="142" t="s">
        <v>2473</v>
      </c>
      <c r="Q295" s="176"/>
      <c r="R295" s="160">
        <v>46029.0</v>
      </c>
      <c r="S295" s="160">
        <v>46387.0</v>
      </c>
      <c r="T295" s="142" t="s">
        <v>2474</v>
      </c>
      <c r="U295" s="142" t="s">
        <v>140</v>
      </c>
      <c r="V295" s="148"/>
      <c r="W295" s="148"/>
      <c r="X295" s="148"/>
      <c r="Y295" s="144"/>
    </row>
    <row r="296" ht="33.0" customHeight="1">
      <c r="A296" s="138">
        <v>295.0</v>
      </c>
      <c r="B296" s="173">
        <v>606.0</v>
      </c>
      <c r="C296" s="138" t="s">
        <v>40</v>
      </c>
      <c r="D296" s="138" t="s">
        <v>83</v>
      </c>
      <c r="E296" s="138" t="s">
        <v>2475</v>
      </c>
      <c r="F296" s="138" t="s">
        <v>2476</v>
      </c>
      <c r="G296" s="153" t="s">
        <v>2477</v>
      </c>
      <c r="H296" s="138" t="s">
        <v>131</v>
      </c>
      <c r="I296" s="138" t="s">
        <v>105</v>
      </c>
      <c r="J296" s="138">
        <v>10.0</v>
      </c>
      <c r="K296" s="178"/>
      <c r="L296" s="138" t="s">
        <v>158</v>
      </c>
      <c r="M296" s="138" t="s">
        <v>2478</v>
      </c>
      <c r="N296" s="142">
        <v>9.958595223E9</v>
      </c>
      <c r="O296" s="142" t="s">
        <v>2479</v>
      </c>
      <c r="P296" s="158"/>
      <c r="Q296" s="173" t="s">
        <v>2480</v>
      </c>
      <c r="R296" s="160">
        <v>46023.0</v>
      </c>
      <c r="S296" s="160">
        <v>46387.0</v>
      </c>
      <c r="T296" s="142" t="s">
        <v>2481</v>
      </c>
      <c r="U296" s="142" t="s">
        <v>140</v>
      </c>
      <c r="V296" s="148"/>
      <c r="W296" s="148"/>
      <c r="X296" s="148"/>
      <c r="Y296" s="144"/>
    </row>
    <row r="297" ht="33.0" customHeight="1">
      <c r="A297" s="138">
        <v>296.0</v>
      </c>
      <c r="B297" s="173">
        <v>3564.0</v>
      </c>
      <c r="C297" s="138" t="s">
        <v>40</v>
      </c>
      <c r="D297" s="138" t="s">
        <v>83</v>
      </c>
      <c r="E297" s="138" t="s">
        <v>2482</v>
      </c>
      <c r="F297" s="138" t="s">
        <v>2483</v>
      </c>
      <c r="G297" s="153" t="s">
        <v>2484</v>
      </c>
      <c r="H297" s="138" t="s">
        <v>131</v>
      </c>
      <c r="I297" s="138" t="s">
        <v>105</v>
      </c>
      <c r="J297" s="138">
        <v>15.0</v>
      </c>
      <c r="K297" s="178"/>
      <c r="L297" s="138" t="s">
        <v>133</v>
      </c>
      <c r="M297" s="138" t="s">
        <v>2485</v>
      </c>
      <c r="N297" s="142">
        <v>9.564622155E9</v>
      </c>
      <c r="O297" s="142" t="s">
        <v>2486</v>
      </c>
      <c r="P297" s="145"/>
      <c r="Q297" s="173" t="s">
        <v>2487</v>
      </c>
      <c r="R297" s="180">
        <v>46023.0</v>
      </c>
      <c r="S297" s="180">
        <v>46387.0</v>
      </c>
      <c r="T297" s="175" t="s">
        <v>2488</v>
      </c>
      <c r="U297" s="142" t="s">
        <v>140</v>
      </c>
      <c r="V297" s="143"/>
      <c r="W297" s="148"/>
      <c r="X297" s="148"/>
      <c r="Y297" s="144"/>
    </row>
    <row r="298" ht="33.0" customHeight="1">
      <c r="A298" s="138">
        <v>297.0</v>
      </c>
      <c r="B298" s="138">
        <v>3300.0</v>
      </c>
      <c r="C298" s="138" t="s">
        <v>40</v>
      </c>
      <c r="D298" s="138" t="s">
        <v>2489</v>
      </c>
      <c r="E298" s="142" t="s">
        <v>2490</v>
      </c>
      <c r="F298" s="142" t="s">
        <v>2491</v>
      </c>
      <c r="G298" s="153" t="s">
        <v>2492</v>
      </c>
      <c r="H298" s="138" t="s">
        <v>131</v>
      </c>
      <c r="I298" s="138" t="s">
        <v>105</v>
      </c>
      <c r="J298" s="142">
        <v>15.0</v>
      </c>
      <c r="K298" s="168"/>
      <c r="L298" s="142" t="s">
        <v>133</v>
      </c>
      <c r="M298" s="142" t="s">
        <v>2493</v>
      </c>
      <c r="N298" s="142" t="s">
        <v>2494</v>
      </c>
      <c r="O298" s="142" t="s">
        <v>2495</v>
      </c>
      <c r="P298" s="174"/>
      <c r="Q298" s="173" t="s">
        <v>2496</v>
      </c>
      <c r="R298" s="160">
        <v>46023.0</v>
      </c>
      <c r="S298" s="141">
        <v>46387.0</v>
      </c>
      <c r="T298" s="142" t="s">
        <v>2497</v>
      </c>
      <c r="U298" s="142" t="s">
        <v>140</v>
      </c>
      <c r="V298" s="148"/>
      <c r="W298" s="148"/>
      <c r="X298" s="143"/>
      <c r="Y298" s="144"/>
    </row>
    <row r="299" ht="33.0" customHeight="1">
      <c r="A299" s="138">
        <v>298.0</v>
      </c>
      <c r="B299" s="138">
        <v>6878.0</v>
      </c>
      <c r="C299" s="138" t="s">
        <v>40</v>
      </c>
      <c r="D299" s="138" t="s">
        <v>2489</v>
      </c>
      <c r="E299" s="142" t="s">
        <v>2498</v>
      </c>
      <c r="F299" s="142" t="s">
        <v>2499</v>
      </c>
      <c r="G299" s="153" t="s">
        <v>2500</v>
      </c>
      <c r="H299" s="138" t="s">
        <v>131</v>
      </c>
      <c r="I299" s="138" t="s">
        <v>105</v>
      </c>
      <c r="J299" s="142">
        <v>15.0</v>
      </c>
      <c r="K299" s="168"/>
      <c r="L299" s="142" t="s">
        <v>133</v>
      </c>
      <c r="M299" s="142" t="s">
        <v>2501</v>
      </c>
      <c r="N299" s="142">
        <v>9.465710129E9</v>
      </c>
      <c r="O299" s="142" t="s">
        <v>2502</v>
      </c>
      <c r="P299" s="158"/>
      <c r="Q299" s="173" t="s">
        <v>2503</v>
      </c>
      <c r="R299" s="160">
        <v>46023.0</v>
      </c>
      <c r="S299" s="141">
        <v>46387.0</v>
      </c>
      <c r="T299" s="142" t="s">
        <v>2504</v>
      </c>
      <c r="U299" s="142" t="s">
        <v>140</v>
      </c>
      <c r="V299" s="148"/>
      <c r="W299" s="148"/>
      <c r="X299" s="143"/>
      <c r="Y299" s="144"/>
    </row>
    <row r="300" ht="33.0" customHeight="1">
      <c r="A300" s="138">
        <v>299.0</v>
      </c>
      <c r="B300" s="173">
        <v>19.0</v>
      </c>
      <c r="C300" s="138" t="s">
        <v>40</v>
      </c>
      <c r="D300" s="138" t="s">
        <v>2489</v>
      </c>
      <c r="E300" s="138" t="s">
        <v>2505</v>
      </c>
      <c r="F300" s="142" t="s">
        <v>2506</v>
      </c>
      <c r="G300" s="153" t="s">
        <v>2507</v>
      </c>
      <c r="H300" s="138" t="s">
        <v>131</v>
      </c>
      <c r="I300" s="138" t="s">
        <v>105</v>
      </c>
      <c r="J300" s="142">
        <v>10.0</v>
      </c>
      <c r="K300" s="146"/>
      <c r="L300" s="138" t="s">
        <v>158</v>
      </c>
      <c r="M300" s="142" t="s">
        <v>2508</v>
      </c>
      <c r="N300" s="142">
        <v>9.306209702E9</v>
      </c>
      <c r="O300" s="142" t="s">
        <v>2509</v>
      </c>
      <c r="P300" s="145"/>
      <c r="Q300" s="153" t="s">
        <v>2510</v>
      </c>
      <c r="R300" s="181">
        <v>46023.0</v>
      </c>
      <c r="S300" s="181">
        <v>46387.0</v>
      </c>
      <c r="T300" s="142" t="s">
        <v>2511</v>
      </c>
      <c r="U300" s="175" t="s">
        <v>140</v>
      </c>
      <c r="V300" s="148"/>
      <c r="W300" s="148"/>
      <c r="X300" s="148"/>
      <c r="Y300" s="144"/>
    </row>
    <row r="301" ht="33.0" customHeight="1">
      <c r="A301" s="138">
        <v>300.0</v>
      </c>
      <c r="B301" s="173">
        <v>2154.0</v>
      </c>
      <c r="C301" s="138" t="s">
        <v>40</v>
      </c>
      <c r="D301" s="138" t="s">
        <v>2489</v>
      </c>
      <c r="E301" s="138" t="s">
        <v>2512</v>
      </c>
      <c r="F301" s="142" t="s">
        <v>2513</v>
      </c>
      <c r="G301" s="153" t="s">
        <v>2514</v>
      </c>
      <c r="H301" s="138" t="s">
        <v>131</v>
      </c>
      <c r="I301" s="138" t="s">
        <v>105</v>
      </c>
      <c r="J301" s="142">
        <v>10.0</v>
      </c>
      <c r="K301" s="146"/>
      <c r="L301" s="138" t="s">
        <v>133</v>
      </c>
      <c r="M301" s="142" t="s">
        <v>2515</v>
      </c>
      <c r="N301" s="138" t="s">
        <v>2516</v>
      </c>
      <c r="O301" s="138" t="s">
        <v>2517</v>
      </c>
      <c r="P301" s="165"/>
      <c r="Q301" s="138" t="s">
        <v>2518</v>
      </c>
      <c r="R301" s="181">
        <v>46023.0</v>
      </c>
      <c r="S301" s="181">
        <v>46387.0</v>
      </c>
      <c r="T301" s="142" t="s">
        <v>2519</v>
      </c>
      <c r="U301" s="175" t="s">
        <v>140</v>
      </c>
      <c r="V301" s="148"/>
      <c r="W301" s="148"/>
      <c r="X301" s="148"/>
      <c r="Y301" s="144"/>
    </row>
    <row r="302" ht="33.0" customHeight="1">
      <c r="A302" s="138">
        <v>301.0</v>
      </c>
      <c r="B302" s="138">
        <v>5072.0</v>
      </c>
      <c r="C302" s="138" t="s">
        <v>40</v>
      </c>
      <c r="D302" s="138" t="s">
        <v>2520</v>
      </c>
      <c r="E302" s="142" t="s">
        <v>2521</v>
      </c>
      <c r="F302" s="142" t="s">
        <v>2522</v>
      </c>
      <c r="G302" s="153" t="s">
        <v>2523</v>
      </c>
      <c r="H302" s="138" t="s">
        <v>131</v>
      </c>
      <c r="I302" s="138" t="s">
        <v>105</v>
      </c>
      <c r="J302" s="142">
        <v>10.0</v>
      </c>
      <c r="K302" s="168"/>
      <c r="L302" s="142" t="s">
        <v>133</v>
      </c>
      <c r="M302" s="142" t="s">
        <v>2524</v>
      </c>
      <c r="N302" s="142">
        <v>9.513060772E9</v>
      </c>
      <c r="O302" s="142" t="s">
        <v>2525</v>
      </c>
      <c r="P302" s="158"/>
      <c r="Q302" s="173" t="s">
        <v>2526</v>
      </c>
      <c r="R302" s="160">
        <v>46037.0</v>
      </c>
      <c r="S302" s="141">
        <v>46387.0</v>
      </c>
      <c r="T302" s="142" t="s">
        <v>2527</v>
      </c>
      <c r="U302" s="142" t="s">
        <v>140</v>
      </c>
      <c r="V302" s="148"/>
      <c r="W302" s="148"/>
      <c r="X302" s="143"/>
      <c r="Y302" s="144"/>
    </row>
    <row r="303" ht="33.0" customHeight="1">
      <c r="A303" s="138">
        <v>302.0</v>
      </c>
      <c r="B303" s="173">
        <v>5988.0</v>
      </c>
      <c r="C303" s="138" t="s">
        <v>40</v>
      </c>
      <c r="D303" s="138" t="s">
        <v>2520</v>
      </c>
      <c r="E303" s="138" t="s">
        <v>2528</v>
      </c>
      <c r="F303" s="138" t="s">
        <v>2529</v>
      </c>
      <c r="G303" s="153" t="s">
        <v>2530</v>
      </c>
      <c r="H303" s="138" t="s">
        <v>131</v>
      </c>
      <c r="I303" s="138" t="s">
        <v>105</v>
      </c>
      <c r="J303" s="138">
        <v>10.0</v>
      </c>
      <c r="K303" s="178"/>
      <c r="L303" s="138" t="s">
        <v>133</v>
      </c>
      <c r="M303" s="138" t="s">
        <v>2531</v>
      </c>
      <c r="N303" s="142">
        <v>9.090972457E9</v>
      </c>
      <c r="O303" s="142" t="s">
        <v>2532</v>
      </c>
      <c r="P303" s="145"/>
      <c r="Q303" s="175" t="s">
        <v>2526</v>
      </c>
      <c r="R303" s="160">
        <v>46037.0</v>
      </c>
      <c r="S303" s="160">
        <v>46387.0</v>
      </c>
      <c r="T303" s="142" t="s">
        <v>2533</v>
      </c>
      <c r="U303" s="142" t="s">
        <v>140</v>
      </c>
      <c r="V303" s="148"/>
      <c r="W303" s="148"/>
      <c r="X303" s="148"/>
      <c r="Y303" s="144"/>
    </row>
    <row r="304" ht="33.0" customHeight="1">
      <c r="A304" s="138">
        <v>303.0</v>
      </c>
      <c r="B304" s="138">
        <v>3415.0</v>
      </c>
      <c r="C304" s="138" t="s">
        <v>40</v>
      </c>
      <c r="D304" s="138" t="s">
        <v>2520</v>
      </c>
      <c r="E304" s="142" t="s">
        <v>2512</v>
      </c>
      <c r="F304" s="142" t="s">
        <v>2534</v>
      </c>
      <c r="G304" s="153" t="s">
        <v>2514</v>
      </c>
      <c r="H304" s="138" t="s">
        <v>131</v>
      </c>
      <c r="I304" s="138" t="s">
        <v>105</v>
      </c>
      <c r="J304" s="142">
        <v>10.0</v>
      </c>
      <c r="K304" s="168"/>
      <c r="L304" s="142" t="s">
        <v>133</v>
      </c>
      <c r="M304" s="142" t="s">
        <v>2535</v>
      </c>
      <c r="N304" s="142">
        <v>9.121590942E9</v>
      </c>
      <c r="O304" s="142" t="s">
        <v>2536</v>
      </c>
      <c r="P304" s="158"/>
      <c r="Q304" s="173" t="s">
        <v>2526</v>
      </c>
      <c r="R304" s="160">
        <v>46037.0</v>
      </c>
      <c r="S304" s="141">
        <v>46387.0</v>
      </c>
      <c r="T304" s="142" t="s">
        <v>2537</v>
      </c>
      <c r="U304" s="142" t="s">
        <v>140</v>
      </c>
      <c r="V304" s="148"/>
      <c r="W304" s="148"/>
      <c r="X304" s="143"/>
      <c r="Y304" s="144"/>
    </row>
    <row r="305" ht="33.0" customHeight="1">
      <c r="A305" s="138">
        <v>304.0</v>
      </c>
      <c r="B305" s="173">
        <v>2051.0</v>
      </c>
      <c r="C305" s="138" t="s">
        <v>40</v>
      </c>
      <c r="D305" s="138" t="s">
        <v>101</v>
      </c>
      <c r="E305" s="138" t="s">
        <v>2538</v>
      </c>
      <c r="F305" s="138" t="s">
        <v>2539</v>
      </c>
      <c r="G305" s="153" t="s">
        <v>2540</v>
      </c>
      <c r="H305" s="138" t="s">
        <v>131</v>
      </c>
      <c r="I305" s="138" t="s">
        <v>105</v>
      </c>
      <c r="J305" s="138">
        <v>10.0</v>
      </c>
      <c r="K305" s="178"/>
      <c r="L305" s="138" t="s">
        <v>133</v>
      </c>
      <c r="M305" s="138" t="s">
        <v>2541</v>
      </c>
      <c r="N305" s="142">
        <v>9.106100644E9</v>
      </c>
      <c r="O305" s="142" t="s">
        <v>2542</v>
      </c>
      <c r="P305" s="145"/>
      <c r="Q305" s="175" t="s">
        <v>2543</v>
      </c>
      <c r="R305" s="160">
        <v>46023.0</v>
      </c>
      <c r="S305" s="160">
        <v>46387.0</v>
      </c>
      <c r="T305" s="142" t="s">
        <v>2544</v>
      </c>
      <c r="U305" s="142" t="s">
        <v>140</v>
      </c>
      <c r="V305" s="148"/>
      <c r="W305" s="144"/>
      <c r="X305" s="144"/>
      <c r="Y305" s="144"/>
    </row>
    <row r="306" ht="33.0" customHeight="1">
      <c r="A306" s="138">
        <v>305.0</v>
      </c>
      <c r="B306" s="173">
        <v>643.0</v>
      </c>
      <c r="C306" s="138" t="s">
        <v>40</v>
      </c>
      <c r="D306" s="138" t="s">
        <v>101</v>
      </c>
      <c r="E306" s="138" t="s">
        <v>2545</v>
      </c>
      <c r="F306" s="138" t="s">
        <v>2546</v>
      </c>
      <c r="G306" s="153" t="s">
        <v>2547</v>
      </c>
      <c r="H306" s="138" t="s">
        <v>131</v>
      </c>
      <c r="I306" s="138" t="s">
        <v>105</v>
      </c>
      <c r="J306" s="138">
        <v>10.0</v>
      </c>
      <c r="K306" s="178"/>
      <c r="L306" s="138" t="s">
        <v>133</v>
      </c>
      <c r="M306" s="138" t="s">
        <v>2548</v>
      </c>
      <c r="N306" s="142">
        <v>9.517995442E9</v>
      </c>
      <c r="O306" s="142" t="s">
        <v>2549</v>
      </c>
      <c r="P306" s="138" t="s">
        <v>107</v>
      </c>
      <c r="Q306" s="177"/>
      <c r="R306" s="160">
        <v>46023.0</v>
      </c>
      <c r="S306" s="160">
        <v>46387.0</v>
      </c>
      <c r="T306" s="142" t="s">
        <v>2550</v>
      </c>
      <c r="U306" s="142" t="s">
        <v>140</v>
      </c>
      <c r="V306" s="148"/>
      <c r="W306" s="148"/>
      <c r="X306" s="148"/>
      <c r="Y306" s="144"/>
    </row>
    <row r="307" ht="33.0" customHeight="1">
      <c r="A307" s="138">
        <v>306.0</v>
      </c>
      <c r="B307" s="148"/>
      <c r="C307" s="138" t="s">
        <v>40</v>
      </c>
      <c r="D307" s="138" t="s">
        <v>101</v>
      </c>
      <c r="E307" s="146"/>
      <c r="F307" s="138" t="s">
        <v>2551</v>
      </c>
      <c r="G307" s="153" t="s">
        <v>2552</v>
      </c>
      <c r="H307" s="138" t="s">
        <v>131</v>
      </c>
      <c r="I307" s="138" t="s">
        <v>105</v>
      </c>
      <c r="J307" s="138">
        <v>15.0</v>
      </c>
      <c r="K307" s="178"/>
      <c r="L307" s="146"/>
      <c r="M307" s="138" t="s">
        <v>2553</v>
      </c>
      <c r="N307" s="142">
        <v>9.304520695E9</v>
      </c>
      <c r="O307" s="142" t="s">
        <v>2554</v>
      </c>
      <c r="P307" s="158"/>
      <c r="Q307" s="177"/>
      <c r="R307" s="160">
        <v>46023.0</v>
      </c>
      <c r="S307" s="160">
        <v>46387.0</v>
      </c>
      <c r="T307" s="142" t="s">
        <v>2555</v>
      </c>
      <c r="U307" s="142" t="s">
        <v>140</v>
      </c>
      <c r="V307" s="148"/>
      <c r="W307" s="148"/>
      <c r="X307" s="148"/>
      <c r="Y307" s="144"/>
    </row>
    <row r="308" ht="33.0" customHeight="1">
      <c r="A308" s="138">
        <v>307.0</v>
      </c>
      <c r="B308" s="173">
        <v>34333.0</v>
      </c>
      <c r="C308" s="138" t="s">
        <v>40</v>
      </c>
      <c r="D308" s="138" t="s">
        <v>90</v>
      </c>
      <c r="E308" s="138" t="s">
        <v>2556</v>
      </c>
      <c r="F308" s="142" t="s">
        <v>2557</v>
      </c>
      <c r="G308" s="153" t="s">
        <v>2558</v>
      </c>
      <c r="H308" s="138" t="s">
        <v>131</v>
      </c>
      <c r="I308" s="138" t="s">
        <v>105</v>
      </c>
      <c r="J308" s="142">
        <v>26.0</v>
      </c>
      <c r="K308" s="146"/>
      <c r="L308" s="138" t="s">
        <v>133</v>
      </c>
      <c r="M308" s="142" t="s">
        <v>2559</v>
      </c>
      <c r="N308" s="138">
        <v>9.338686164E9</v>
      </c>
      <c r="O308" s="138" t="s">
        <v>2560</v>
      </c>
      <c r="P308" s="165"/>
      <c r="Q308" s="138" t="s">
        <v>2561</v>
      </c>
      <c r="R308" s="181">
        <v>46023.0</v>
      </c>
      <c r="S308" s="181">
        <v>46387.0</v>
      </c>
      <c r="T308" s="142" t="s">
        <v>2562</v>
      </c>
      <c r="U308" s="175" t="s">
        <v>140</v>
      </c>
      <c r="V308" s="148"/>
      <c r="W308" s="148"/>
      <c r="X308" s="148"/>
      <c r="Y308" s="144"/>
    </row>
    <row r="309" ht="33.0" customHeight="1">
      <c r="A309" s="138">
        <v>308.0</v>
      </c>
      <c r="B309" s="173">
        <v>2961.0</v>
      </c>
      <c r="C309" s="138" t="s">
        <v>40</v>
      </c>
      <c r="D309" s="138" t="s">
        <v>90</v>
      </c>
      <c r="E309" s="138" t="s">
        <v>2563</v>
      </c>
      <c r="F309" s="142" t="s">
        <v>2564</v>
      </c>
      <c r="G309" s="153" t="s">
        <v>2565</v>
      </c>
      <c r="H309" s="138" t="s">
        <v>131</v>
      </c>
      <c r="I309" s="138" t="s">
        <v>105</v>
      </c>
      <c r="J309" s="142">
        <v>10.0</v>
      </c>
      <c r="K309" s="146"/>
      <c r="L309" s="138" t="s">
        <v>158</v>
      </c>
      <c r="M309" s="142" t="s">
        <v>2566</v>
      </c>
      <c r="N309" s="142">
        <v>9.480550881E9</v>
      </c>
      <c r="O309" s="142" t="s">
        <v>2567</v>
      </c>
      <c r="P309" s="153" t="s">
        <v>2568</v>
      </c>
      <c r="Q309" s="170"/>
      <c r="R309" s="181">
        <v>46023.0</v>
      </c>
      <c r="S309" s="181">
        <v>46387.0</v>
      </c>
      <c r="T309" s="142" t="s">
        <v>2569</v>
      </c>
      <c r="U309" s="175" t="s">
        <v>140</v>
      </c>
      <c r="V309" s="148"/>
      <c r="W309" s="148"/>
      <c r="X309" s="148"/>
      <c r="Y309" s="144"/>
    </row>
    <row r="310" ht="33.0" customHeight="1">
      <c r="A310" s="138">
        <v>309.0</v>
      </c>
      <c r="B310" s="173">
        <v>621.0</v>
      </c>
      <c r="C310" s="138" t="s">
        <v>40</v>
      </c>
      <c r="D310" s="138" t="s">
        <v>90</v>
      </c>
      <c r="E310" s="138" t="s">
        <v>2570</v>
      </c>
      <c r="F310" s="142" t="s">
        <v>2571</v>
      </c>
      <c r="G310" s="153" t="s">
        <v>2572</v>
      </c>
      <c r="H310" s="138" t="s">
        <v>131</v>
      </c>
      <c r="I310" s="138" t="s">
        <v>105</v>
      </c>
      <c r="J310" s="142">
        <v>15.0</v>
      </c>
      <c r="K310" s="146"/>
      <c r="L310" s="138" t="s">
        <v>133</v>
      </c>
      <c r="M310" s="142" t="s">
        <v>2573</v>
      </c>
      <c r="N310" s="138">
        <v>9.175166769E9</v>
      </c>
      <c r="O310" s="164" t="s">
        <v>2574</v>
      </c>
      <c r="P310" s="153" t="s">
        <v>2575</v>
      </c>
      <c r="Q310" s="170"/>
      <c r="R310" s="181">
        <v>46090.0</v>
      </c>
      <c r="S310" s="181">
        <v>46387.0</v>
      </c>
      <c r="T310" s="142" t="s">
        <v>2576</v>
      </c>
      <c r="U310" s="175" t="s">
        <v>140</v>
      </c>
      <c r="V310" s="148"/>
      <c r="W310" s="148"/>
      <c r="X310" s="148"/>
      <c r="Y310" s="144"/>
    </row>
    <row r="311" ht="33.0" customHeight="1">
      <c r="A311" s="138">
        <v>310.0</v>
      </c>
      <c r="B311" s="173">
        <v>3787.0</v>
      </c>
      <c r="C311" s="138" t="s">
        <v>40</v>
      </c>
      <c r="D311" s="138" t="s">
        <v>90</v>
      </c>
      <c r="E311" s="138" t="s">
        <v>1467</v>
      </c>
      <c r="F311" s="142" t="s">
        <v>2577</v>
      </c>
      <c r="G311" s="153" t="s">
        <v>2578</v>
      </c>
      <c r="H311" s="138" t="s">
        <v>131</v>
      </c>
      <c r="I311" s="138" t="s">
        <v>105</v>
      </c>
      <c r="J311" s="142">
        <v>14.0</v>
      </c>
      <c r="K311" s="146"/>
      <c r="L311" s="138" t="s">
        <v>158</v>
      </c>
      <c r="M311" s="142" t="s">
        <v>2579</v>
      </c>
      <c r="N311" s="138">
        <v>9.190041208E9</v>
      </c>
      <c r="O311" s="142" t="s">
        <v>2580</v>
      </c>
      <c r="P311" s="165"/>
      <c r="Q311" s="138" t="s">
        <v>2581</v>
      </c>
      <c r="R311" s="181">
        <v>46023.0</v>
      </c>
      <c r="S311" s="181">
        <v>46387.0</v>
      </c>
      <c r="T311" s="142" t="s">
        <v>2582</v>
      </c>
      <c r="U311" s="175" t="s">
        <v>140</v>
      </c>
      <c r="V311" s="148"/>
      <c r="W311" s="148"/>
      <c r="X311" s="148"/>
      <c r="Y311" s="144"/>
    </row>
    <row r="312" ht="33.0" customHeight="1">
      <c r="A312" s="138">
        <v>311.0</v>
      </c>
      <c r="B312" s="173" t="s">
        <v>2583</v>
      </c>
      <c r="C312" s="138" t="s">
        <v>12</v>
      </c>
      <c r="D312" s="138" t="s">
        <v>2584</v>
      </c>
      <c r="E312" s="138" t="s">
        <v>2585</v>
      </c>
      <c r="F312" s="142" t="s">
        <v>2586</v>
      </c>
      <c r="G312" s="153" t="s">
        <v>2587</v>
      </c>
      <c r="H312" s="138" t="s">
        <v>131</v>
      </c>
      <c r="I312" s="138" t="s">
        <v>353</v>
      </c>
      <c r="J312" s="142">
        <v>20.0</v>
      </c>
      <c r="K312" s="138" t="s">
        <v>2588</v>
      </c>
      <c r="L312" s="138" t="s">
        <v>133</v>
      </c>
      <c r="M312" s="142" t="s">
        <v>2589</v>
      </c>
      <c r="N312" s="138" t="s">
        <v>2590</v>
      </c>
      <c r="O312" s="142" t="s">
        <v>2591</v>
      </c>
      <c r="P312" s="153" t="s">
        <v>2592</v>
      </c>
      <c r="Q312" s="170"/>
      <c r="R312" s="181">
        <v>46043.0</v>
      </c>
      <c r="S312" s="181">
        <v>46387.0</v>
      </c>
      <c r="T312" s="142" t="s">
        <v>2593</v>
      </c>
      <c r="U312" s="175" t="s">
        <v>140</v>
      </c>
      <c r="V312" s="148"/>
      <c r="W312" s="148"/>
      <c r="X312" s="148"/>
      <c r="Y312" s="144"/>
    </row>
    <row r="313" ht="33.0" customHeight="1">
      <c r="A313" s="138">
        <v>312.0</v>
      </c>
      <c r="B313" s="173" t="s">
        <v>2594</v>
      </c>
      <c r="C313" s="138" t="s">
        <v>12</v>
      </c>
      <c r="D313" s="138" t="s">
        <v>2584</v>
      </c>
      <c r="E313" s="138" t="s">
        <v>2595</v>
      </c>
      <c r="F313" s="142" t="s">
        <v>2596</v>
      </c>
      <c r="G313" s="153" t="s">
        <v>2597</v>
      </c>
      <c r="H313" s="138" t="s">
        <v>131</v>
      </c>
      <c r="I313" s="138" t="s">
        <v>587</v>
      </c>
      <c r="J313" s="142">
        <v>19.0</v>
      </c>
      <c r="K313" s="138" t="s">
        <v>2598</v>
      </c>
      <c r="L313" s="138" t="s">
        <v>158</v>
      </c>
      <c r="M313" s="142" t="s">
        <v>2599</v>
      </c>
      <c r="N313" s="138" t="s">
        <v>2600</v>
      </c>
      <c r="O313" s="142" t="s">
        <v>2601</v>
      </c>
      <c r="P313" s="153" t="s">
        <v>2602</v>
      </c>
      <c r="Q313" s="170"/>
      <c r="R313" s="181">
        <v>46023.0</v>
      </c>
      <c r="S313" s="181">
        <v>46387.0</v>
      </c>
      <c r="T313" s="142" t="s">
        <v>2603</v>
      </c>
      <c r="U313" s="175" t="s">
        <v>140</v>
      </c>
      <c r="V313" s="148"/>
      <c r="W313" s="148"/>
      <c r="X313" s="148"/>
      <c r="Y313" s="144"/>
    </row>
    <row r="314" ht="33.0" customHeight="1">
      <c r="A314" s="138">
        <v>313.0</v>
      </c>
      <c r="B314" s="173" t="s">
        <v>2604</v>
      </c>
      <c r="C314" s="138" t="s">
        <v>12</v>
      </c>
      <c r="D314" s="138" t="s">
        <v>2584</v>
      </c>
      <c r="E314" s="138" t="s">
        <v>2595</v>
      </c>
      <c r="F314" s="142" t="s">
        <v>2605</v>
      </c>
      <c r="G314" s="153" t="s">
        <v>2606</v>
      </c>
      <c r="H314" s="138" t="s">
        <v>131</v>
      </c>
      <c r="I314" s="138" t="s">
        <v>189</v>
      </c>
      <c r="J314" s="142">
        <v>25.0</v>
      </c>
      <c r="K314" s="138" t="s">
        <v>2607</v>
      </c>
      <c r="L314" s="138" t="s">
        <v>133</v>
      </c>
      <c r="M314" s="142" t="s">
        <v>2608</v>
      </c>
      <c r="N314" s="138" t="s">
        <v>2609</v>
      </c>
      <c r="O314" s="142" t="s">
        <v>2610</v>
      </c>
      <c r="P314" s="182"/>
      <c r="Q314" s="170"/>
      <c r="R314" s="181">
        <v>46023.0</v>
      </c>
      <c r="S314" s="181">
        <v>46387.0</v>
      </c>
      <c r="T314" s="142" t="s">
        <v>2611</v>
      </c>
      <c r="U314" s="175" t="s">
        <v>140</v>
      </c>
      <c r="V314" s="148"/>
      <c r="W314" s="148"/>
      <c r="X314" s="148"/>
      <c r="Y314" s="144"/>
    </row>
    <row r="315" ht="33.0" customHeight="1">
      <c r="A315" s="138">
        <v>314.0</v>
      </c>
      <c r="B315" s="173" t="s">
        <v>2612</v>
      </c>
      <c r="C315" s="138" t="s">
        <v>12</v>
      </c>
      <c r="D315" s="138" t="s">
        <v>2584</v>
      </c>
      <c r="E315" s="138" t="s">
        <v>2613</v>
      </c>
      <c r="F315" s="142" t="s">
        <v>2614</v>
      </c>
      <c r="G315" s="153" t="s">
        <v>2615</v>
      </c>
      <c r="H315" s="138" t="s">
        <v>131</v>
      </c>
      <c r="I315" s="138" t="s">
        <v>105</v>
      </c>
      <c r="J315" s="142">
        <v>20.0</v>
      </c>
      <c r="K315" s="138" t="s">
        <v>2616</v>
      </c>
      <c r="L315" s="138" t="s">
        <v>133</v>
      </c>
      <c r="M315" s="142" t="s">
        <v>2617</v>
      </c>
      <c r="N315" s="138">
        <v>8.3526E7</v>
      </c>
      <c r="O315" s="142" t="s">
        <v>2618</v>
      </c>
      <c r="P315" s="153" t="s">
        <v>2619</v>
      </c>
      <c r="Q315" s="170"/>
      <c r="R315" s="181">
        <v>46023.0</v>
      </c>
      <c r="S315" s="181">
        <v>46387.0</v>
      </c>
      <c r="T315" s="142" t="s">
        <v>2620</v>
      </c>
      <c r="U315" s="175" t="s">
        <v>140</v>
      </c>
      <c r="V315" s="148"/>
      <c r="W315" s="148"/>
      <c r="X315" s="173" t="s">
        <v>142</v>
      </c>
      <c r="Y315" s="144"/>
    </row>
    <row r="316" ht="33.0" customHeight="1">
      <c r="A316" s="138">
        <v>315.0</v>
      </c>
      <c r="B316" s="173">
        <v>3073.0</v>
      </c>
      <c r="C316" s="138" t="s">
        <v>118</v>
      </c>
      <c r="D316" s="138" t="s">
        <v>2621</v>
      </c>
      <c r="E316" s="138" t="s">
        <v>2622</v>
      </c>
      <c r="F316" s="142" t="s">
        <v>2623</v>
      </c>
      <c r="G316" s="153" t="s">
        <v>2624</v>
      </c>
      <c r="H316" s="138" t="s">
        <v>131</v>
      </c>
      <c r="I316" s="138" t="s">
        <v>105</v>
      </c>
      <c r="J316" s="142">
        <v>25.0</v>
      </c>
      <c r="K316" s="138" t="s">
        <v>2625</v>
      </c>
      <c r="L316" s="138" t="s">
        <v>133</v>
      </c>
      <c r="M316" s="142" t="s">
        <v>2626</v>
      </c>
      <c r="N316" s="138" t="s">
        <v>2627</v>
      </c>
      <c r="O316" s="142" t="s">
        <v>2628</v>
      </c>
      <c r="P316" s="153" t="s">
        <v>2629</v>
      </c>
      <c r="Q316" s="138" t="s">
        <v>141</v>
      </c>
      <c r="R316" s="181">
        <v>46023.0</v>
      </c>
      <c r="S316" s="181">
        <v>46387.0</v>
      </c>
      <c r="T316" s="142" t="s">
        <v>2630</v>
      </c>
      <c r="U316" s="175" t="s">
        <v>140</v>
      </c>
      <c r="V316" s="148"/>
      <c r="W316" s="148"/>
      <c r="X316" s="148"/>
      <c r="Y316" s="144"/>
    </row>
    <row r="317" ht="33.0" customHeight="1">
      <c r="A317" s="138">
        <v>316.0</v>
      </c>
      <c r="B317" s="173">
        <v>7503.0</v>
      </c>
      <c r="C317" s="138" t="s">
        <v>118</v>
      </c>
      <c r="D317" s="138" t="s">
        <v>2621</v>
      </c>
      <c r="E317" s="138" t="s">
        <v>2631</v>
      </c>
      <c r="F317" s="142" t="s">
        <v>2632</v>
      </c>
      <c r="G317" s="153" t="s">
        <v>2633</v>
      </c>
      <c r="H317" s="138" t="s">
        <v>131</v>
      </c>
      <c r="I317" s="138" t="s">
        <v>105</v>
      </c>
      <c r="J317" s="142">
        <v>10.0</v>
      </c>
      <c r="K317" s="138" t="s">
        <v>2634</v>
      </c>
      <c r="L317" s="138" t="s">
        <v>133</v>
      </c>
      <c r="M317" s="142" t="s">
        <v>2635</v>
      </c>
      <c r="N317" s="138" t="s">
        <v>2636</v>
      </c>
      <c r="O317" s="142" t="s">
        <v>2637</v>
      </c>
      <c r="P317" s="153" t="s">
        <v>1268</v>
      </c>
      <c r="Q317" s="138" t="s">
        <v>2638</v>
      </c>
      <c r="R317" s="181">
        <v>46023.0</v>
      </c>
      <c r="S317" s="181">
        <v>46387.0</v>
      </c>
      <c r="T317" s="142" t="s">
        <v>2639</v>
      </c>
      <c r="U317" s="175" t="s">
        <v>140</v>
      </c>
      <c r="V317" s="148"/>
      <c r="W317" s="148"/>
      <c r="X317" s="148"/>
      <c r="Y317" s="144"/>
    </row>
    <row r="318" ht="33.0" customHeight="1">
      <c r="A318" s="138">
        <v>317.0</v>
      </c>
      <c r="B318" s="173">
        <v>13113.0</v>
      </c>
      <c r="C318" s="138" t="s">
        <v>118</v>
      </c>
      <c r="D318" s="138" t="s">
        <v>2621</v>
      </c>
      <c r="E318" s="138" t="s">
        <v>2640</v>
      </c>
      <c r="F318" s="142" t="s">
        <v>2641</v>
      </c>
      <c r="G318" s="153" t="s">
        <v>2642</v>
      </c>
      <c r="H318" s="138" t="s">
        <v>131</v>
      </c>
      <c r="I318" s="138" t="s">
        <v>105</v>
      </c>
      <c r="J318" s="142">
        <v>25.0</v>
      </c>
      <c r="K318" s="138" t="s">
        <v>2643</v>
      </c>
      <c r="L318" s="138" t="s">
        <v>158</v>
      </c>
      <c r="M318" s="161" t="s">
        <v>2644</v>
      </c>
      <c r="N318" s="139" t="s">
        <v>2645</v>
      </c>
      <c r="O318" s="142" t="s">
        <v>2646</v>
      </c>
      <c r="P318" s="153" t="s">
        <v>2647</v>
      </c>
      <c r="Q318" s="138" t="s">
        <v>141</v>
      </c>
      <c r="R318" s="181">
        <v>46023.0</v>
      </c>
      <c r="S318" s="181">
        <v>46387.0</v>
      </c>
      <c r="T318" s="142" t="s">
        <v>2648</v>
      </c>
      <c r="U318" s="175" t="s">
        <v>140</v>
      </c>
      <c r="V318" s="148"/>
      <c r="W318" s="148"/>
      <c r="X318" s="148"/>
      <c r="Y318" s="144"/>
    </row>
    <row r="319" ht="33.0" customHeight="1">
      <c r="A319" s="138">
        <v>318.0</v>
      </c>
      <c r="B319" s="173">
        <v>4584.0</v>
      </c>
      <c r="C319" s="138" t="s">
        <v>118</v>
      </c>
      <c r="D319" s="138" t="s">
        <v>2621</v>
      </c>
      <c r="E319" s="138" t="s">
        <v>2649</v>
      </c>
      <c r="F319" s="142" t="s">
        <v>2650</v>
      </c>
      <c r="G319" s="153" t="s">
        <v>2651</v>
      </c>
      <c r="H319" s="138" t="s">
        <v>131</v>
      </c>
      <c r="I319" s="138" t="s">
        <v>105</v>
      </c>
      <c r="J319" s="142">
        <v>20.0</v>
      </c>
      <c r="K319" s="138" t="s">
        <v>2652</v>
      </c>
      <c r="L319" s="138" t="s">
        <v>133</v>
      </c>
      <c r="M319" s="142" t="s">
        <v>2653</v>
      </c>
      <c r="N319" s="138" t="s">
        <v>2654</v>
      </c>
      <c r="O319" s="142" t="s">
        <v>2655</v>
      </c>
      <c r="P319" s="153" t="s">
        <v>211</v>
      </c>
      <c r="Q319" s="138" t="s">
        <v>2656</v>
      </c>
      <c r="R319" s="181">
        <v>46023.0</v>
      </c>
      <c r="S319" s="181">
        <v>46387.0</v>
      </c>
      <c r="T319" s="142" t="s">
        <v>2657</v>
      </c>
      <c r="U319" s="175" t="s">
        <v>140</v>
      </c>
      <c r="V319" s="148"/>
      <c r="W319" s="148"/>
      <c r="X319" s="148"/>
      <c r="Y319" s="144"/>
    </row>
    <row r="320" ht="33.0" customHeight="1">
      <c r="A320" s="138">
        <v>319.0</v>
      </c>
      <c r="B320" s="173">
        <v>544.0</v>
      </c>
      <c r="C320" s="138" t="s">
        <v>118</v>
      </c>
      <c r="D320" s="138" t="s">
        <v>2621</v>
      </c>
      <c r="E320" s="138" t="s">
        <v>2658</v>
      </c>
      <c r="F320" s="142" t="s">
        <v>2659</v>
      </c>
      <c r="G320" s="153" t="s">
        <v>2660</v>
      </c>
      <c r="H320" s="138" t="s">
        <v>131</v>
      </c>
      <c r="I320" s="138" t="s">
        <v>105</v>
      </c>
      <c r="J320" s="142">
        <v>10.0</v>
      </c>
      <c r="K320" s="138" t="s">
        <v>2661</v>
      </c>
      <c r="L320" s="138" t="s">
        <v>133</v>
      </c>
      <c r="M320" s="142" t="s">
        <v>2662</v>
      </c>
      <c r="N320" s="139" t="s">
        <v>2663</v>
      </c>
      <c r="O320" s="142" t="s">
        <v>2664</v>
      </c>
      <c r="P320" s="153" t="s">
        <v>2665</v>
      </c>
      <c r="Q320" s="138" t="s">
        <v>141</v>
      </c>
      <c r="R320" s="181">
        <v>46023.0</v>
      </c>
      <c r="S320" s="181">
        <v>46387.0</v>
      </c>
      <c r="T320" s="142" t="s">
        <v>2666</v>
      </c>
      <c r="U320" s="175" t="s">
        <v>140</v>
      </c>
      <c r="V320" s="148"/>
      <c r="W320" s="148"/>
      <c r="X320" s="148"/>
      <c r="Y320" s="144"/>
    </row>
    <row r="321" ht="33.0" customHeight="1">
      <c r="A321" s="138">
        <v>320.0</v>
      </c>
      <c r="B321" s="173">
        <v>4502.0</v>
      </c>
      <c r="C321" s="138" t="s">
        <v>118</v>
      </c>
      <c r="D321" s="138" t="s">
        <v>2621</v>
      </c>
      <c r="E321" s="138" t="s">
        <v>314</v>
      </c>
      <c r="F321" s="142" t="s">
        <v>2667</v>
      </c>
      <c r="G321" s="153" t="s">
        <v>2668</v>
      </c>
      <c r="H321" s="138" t="s">
        <v>131</v>
      </c>
      <c r="I321" s="138" t="s">
        <v>105</v>
      </c>
      <c r="J321" s="142">
        <v>25.0</v>
      </c>
      <c r="K321" s="138" t="s">
        <v>2669</v>
      </c>
      <c r="L321" s="138" t="s">
        <v>133</v>
      </c>
      <c r="M321" s="142" t="s">
        <v>2670</v>
      </c>
      <c r="N321" s="139" t="s">
        <v>2671</v>
      </c>
      <c r="O321" s="142" t="s">
        <v>2672</v>
      </c>
      <c r="P321" s="153" t="s">
        <v>2673</v>
      </c>
      <c r="Q321" s="138" t="s">
        <v>141</v>
      </c>
      <c r="R321" s="181">
        <v>46023.0</v>
      </c>
      <c r="S321" s="181">
        <v>46387.0</v>
      </c>
      <c r="T321" s="142" t="s">
        <v>2674</v>
      </c>
      <c r="U321" s="175" t="s">
        <v>140</v>
      </c>
      <c r="V321" s="148"/>
      <c r="W321" s="148"/>
      <c r="X321" s="148"/>
      <c r="Y321" s="144"/>
    </row>
    <row r="322" ht="33.0" customHeight="1">
      <c r="A322" s="138">
        <v>321.0</v>
      </c>
      <c r="B322" s="173">
        <v>26178.0</v>
      </c>
      <c r="C322" s="138" t="s">
        <v>118</v>
      </c>
      <c r="D322" s="138" t="s">
        <v>2621</v>
      </c>
      <c r="E322" s="138" t="s">
        <v>2675</v>
      </c>
      <c r="F322" s="142" t="s">
        <v>2676</v>
      </c>
      <c r="G322" s="153" t="s">
        <v>2677</v>
      </c>
      <c r="H322" s="138" t="s">
        <v>131</v>
      </c>
      <c r="I322" s="138" t="s">
        <v>105</v>
      </c>
      <c r="J322" s="142">
        <v>10.0</v>
      </c>
      <c r="K322" s="138" t="s">
        <v>2678</v>
      </c>
      <c r="L322" s="138" t="s">
        <v>133</v>
      </c>
      <c r="M322" s="161" t="s">
        <v>2679</v>
      </c>
      <c r="N322" s="139" t="s">
        <v>2680</v>
      </c>
      <c r="O322" s="142" t="s">
        <v>2681</v>
      </c>
      <c r="P322" s="153" t="s">
        <v>1268</v>
      </c>
      <c r="Q322" s="138" t="s">
        <v>2682</v>
      </c>
      <c r="R322" s="181">
        <v>46023.0</v>
      </c>
      <c r="S322" s="181">
        <v>46387.0</v>
      </c>
      <c r="T322" s="142" t="s">
        <v>2683</v>
      </c>
      <c r="U322" s="175" t="s">
        <v>140</v>
      </c>
      <c r="V322" s="148"/>
      <c r="W322" s="148"/>
      <c r="X322" s="148"/>
      <c r="Y322" s="144"/>
    </row>
    <row r="323" ht="33.0" customHeight="1">
      <c r="A323" s="138">
        <v>322.0</v>
      </c>
      <c r="B323" s="173">
        <v>26525.0</v>
      </c>
      <c r="C323" s="138" t="s">
        <v>118</v>
      </c>
      <c r="D323" s="138" t="s">
        <v>2684</v>
      </c>
      <c r="E323" s="138" t="s">
        <v>2685</v>
      </c>
      <c r="F323" s="142" t="s">
        <v>2686</v>
      </c>
      <c r="G323" s="153" t="s">
        <v>2687</v>
      </c>
      <c r="H323" s="138" t="s">
        <v>131</v>
      </c>
      <c r="I323" s="138" t="s">
        <v>105</v>
      </c>
      <c r="J323" s="142">
        <v>10.0</v>
      </c>
      <c r="K323" s="138" t="s">
        <v>428</v>
      </c>
      <c r="L323" s="138" t="s">
        <v>200</v>
      </c>
      <c r="M323" s="142" t="s">
        <v>2688</v>
      </c>
      <c r="N323" s="139" t="s">
        <v>2689</v>
      </c>
      <c r="O323" s="142" t="s">
        <v>2690</v>
      </c>
      <c r="P323" s="153" t="s">
        <v>141</v>
      </c>
      <c r="Q323" s="138" t="s">
        <v>2691</v>
      </c>
      <c r="R323" s="181">
        <v>46023.0</v>
      </c>
      <c r="S323" s="181">
        <v>46387.0</v>
      </c>
      <c r="T323" s="142" t="s">
        <v>2692</v>
      </c>
      <c r="U323" s="175" t="s">
        <v>140</v>
      </c>
      <c r="V323" s="148"/>
      <c r="W323" s="148"/>
      <c r="X323" s="148"/>
      <c r="Y323" s="144"/>
    </row>
    <row r="324" ht="33.0" customHeight="1">
      <c r="A324" s="138">
        <v>323.0</v>
      </c>
      <c r="B324" s="173">
        <v>3983.0</v>
      </c>
      <c r="C324" s="138" t="s">
        <v>118</v>
      </c>
      <c r="D324" s="138" t="s">
        <v>2684</v>
      </c>
      <c r="E324" s="138" t="s">
        <v>2685</v>
      </c>
      <c r="F324" s="142" t="s">
        <v>2693</v>
      </c>
      <c r="G324" s="153" t="s">
        <v>2694</v>
      </c>
      <c r="H324" s="138" t="s">
        <v>131</v>
      </c>
      <c r="I324" s="138" t="s">
        <v>105</v>
      </c>
      <c r="J324" s="142">
        <v>10.0</v>
      </c>
      <c r="K324" s="138" t="s">
        <v>428</v>
      </c>
      <c r="L324" s="138" t="s">
        <v>200</v>
      </c>
      <c r="M324" s="142" t="s">
        <v>2695</v>
      </c>
      <c r="N324" s="139" t="s">
        <v>2696</v>
      </c>
      <c r="O324" s="142" t="s">
        <v>2697</v>
      </c>
      <c r="P324" s="153" t="s">
        <v>141</v>
      </c>
      <c r="Q324" s="138" t="s">
        <v>2691</v>
      </c>
      <c r="R324" s="181">
        <v>46023.0</v>
      </c>
      <c r="S324" s="181">
        <v>46387.0</v>
      </c>
      <c r="T324" s="142" t="s">
        <v>2698</v>
      </c>
      <c r="U324" s="175" t="s">
        <v>140</v>
      </c>
      <c r="V324" s="148"/>
      <c r="W324" s="148"/>
      <c r="X324" s="148"/>
      <c r="Y324" s="144"/>
    </row>
    <row r="325" ht="33.0" customHeight="1">
      <c r="A325" s="138">
        <v>324.0</v>
      </c>
      <c r="B325" s="173">
        <v>223.0</v>
      </c>
      <c r="C325" s="138" t="s">
        <v>118</v>
      </c>
      <c r="D325" s="138" t="s">
        <v>2684</v>
      </c>
      <c r="E325" s="138" t="s">
        <v>2699</v>
      </c>
      <c r="F325" s="142" t="s">
        <v>2700</v>
      </c>
      <c r="G325" s="153" t="s">
        <v>2701</v>
      </c>
      <c r="H325" s="138" t="s">
        <v>131</v>
      </c>
      <c r="I325" s="138" t="s">
        <v>105</v>
      </c>
      <c r="J325" s="142">
        <v>10.0</v>
      </c>
      <c r="K325" s="138" t="s">
        <v>274</v>
      </c>
      <c r="L325" s="138" t="s">
        <v>133</v>
      </c>
      <c r="M325" s="142" t="s">
        <v>2702</v>
      </c>
      <c r="N325" s="139" t="s">
        <v>2703</v>
      </c>
      <c r="O325" s="142" t="s">
        <v>2704</v>
      </c>
      <c r="P325" s="153" t="s">
        <v>141</v>
      </c>
      <c r="Q325" s="138" t="s">
        <v>2705</v>
      </c>
      <c r="R325" s="181">
        <v>46023.0</v>
      </c>
      <c r="S325" s="181">
        <v>46387.0</v>
      </c>
      <c r="T325" s="142" t="s">
        <v>2706</v>
      </c>
      <c r="U325" s="175" t="s">
        <v>140</v>
      </c>
      <c r="V325" s="148"/>
      <c r="W325" s="148"/>
      <c r="X325" s="148"/>
      <c r="Y325" s="144"/>
    </row>
    <row r="326" ht="33.0" customHeight="1">
      <c r="A326" s="138">
        <v>325.0</v>
      </c>
      <c r="B326" s="173">
        <v>3278.0</v>
      </c>
      <c r="C326" s="138" t="s">
        <v>118</v>
      </c>
      <c r="D326" s="138" t="s">
        <v>2684</v>
      </c>
      <c r="E326" s="138" t="s">
        <v>2707</v>
      </c>
      <c r="F326" s="142" t="s">
        <v>2708</v>
      </c>
      <c r="G326" s="153" t="s">
        <v>2709</v>
      </c>
      <c r="H326" s="138" t="s">
        <v>131</v>
      </c>
      <c r="I326" s="138" t="s">
        <v>105</v>
      </c>
      <c r="J326" s="142">
        <v>10.0</v>
      </c>
      <c r="K326" s="138" t="s">
        <v>428</v>
      </c>
      <c r="L326" s="138" t="s">
        <v>200</v>
      </c>
      <c r="M326" s="142" t="s">
        <v>2710</v>
      </c>
      <c r="N326" s="139" t="s">
        <v>2711</v>
      </c>
      <c r="O326" s="142" t="s">
        <v>2712</v>
      </c>
      <c r="P326" s="153" t="s">
        <v>141</v>
      </c>
      <c r="Q326" s="138" t="s">
        <v>2705</v>
      </c>
      <c r="R326" s="181">
        <v>46023.0</v>
      </c>
      <c r="S326" s="181">
        <v>46387.0</v>
      </c>
      <c r="T326" s="142" t="s">
        <v>2713</v>
      </c>
      <c r="U326" s="175" t="s">
        <v>140</v>
      </c>
      <c r="V326" s="148"/>
      <c r="W326" s="148"/>
      <c r="X326" s="148"/>
      <c r="Y326" s="144"/>
    </row>
    <row r="327" ht="33.0" customHeight="1">
      <c r="A327" s="138">
        <v>326.0</v>
      </c>
      <c r="B327" s="173">
        <v>51295.0</v>
      </c>
      <c r="C327" s="138" t="s">
        <v>118</v>
      </c>
      <c r="D327" s="138" t="s">
        <v>2684</v>
      </c>
      <c r="E327" s="138" t="s">
        <v>2714</v>
      </c>
      <c r="F327" s="142" t="s">
        <v>2715</v>
      </c>
      <c r="G327" s="153" t="s">
        <v>2716</v>
      </c>
      <c r="H327" s="138" t="s">
        <v>131</v>
      </c>
      <c r="I327" s="138" t="s">
        <v>105</v>
      </c>
      <c r="J327" s="142">
        <v>10.0</v>
      </c>
      <c r="K327" s="138" t="s">
        <v>428</v>
      </c>
      <c r="L327" s="138" t="s">
        <v>200</v>
      </c>
      <c r="M327" s="161" t="s">
        <v>2717</v>
      </c>
      <c r="N327" s="139" t="s">
        <v>2718</v>
      </c>
      <c r="O327" s="142" t="s">
        <v>2719</v>
      </c>
      <c r="P327" s="153" t="s">
        <v>141</v>
      </c>
      <c r="Q327" s="138" t="s">
        <v>2705</v>
      </c>
      <c r="R327" s="181">
        <v>46023.0</v>
      </c>
      <c r="S327" s="181">
        <v>46387.0</v>
      </c>
      <c r="T327" s="142" t="s">
        <v>2720</v>
      </c>
      <c r="U327" s="175" t="s">
        <v>140</v>
      </c>
      <c r="V327" s="148"/>
      <c r="W327" s="148"/>
      <c r="X327" s="148"/>
      <c r="Y327" s="144"/>
    </row>
    <row r="328" ht="33.0" customHeight="1">
      <c r="A328" s="138">
        <v>327.0</v>
      </c>
      <c r="B328" s="173">
        <v>3131.0</v>
      </c>
      <c r="C328" s="138" t="s">
        <v>118</v>
      </c>
      <c r="D328" s="138" t="s">
        <v>2684</v>
      </c>
      <c r="E328" s="138" t="s">
        <v>2714</v>
      </c>
      <c r="F328" s="142" t="s">
        <v>2721</v>
      </c>
      <c r="G328" s="153" t="s">
        <v>2722</v>
      </c>
      <c r="H328" s="138" t="s">
        <v>131</v>
      </c>
      <c r="I328" s="138" t="s">
        <v>105</v>
      </c>
      <c r="J328" s="142">
        <v>10.0</v>
      </c>
      <c r="K328" s="138" t="s">
        <v>428</v>
      </c>
      <c r="L328" s="138" t="s">
        <v>200</v>
      </c>
      <c r="M328" s="142" t="s">
        <v>2723</v>
      </c>
      <c r="N328" s="139" t="s">
        <v>2724</v>
      </c>
      <c r="O328" s="142" t="s">
        <v>2725</v>
      </c>
      <c r="P328" s="153" t="s">
        <v>141</v>
      </c>
      <c r="Q328" s="138" t="s">
        <v>2705</v>
      </c>
      <c r="R328" s="181">
        <v>46023.0</v>
      </c>
      <c r="S328" s="181">
        <v>46387.0</v>
      </c>
      <c r="T328" s="142" t="s">
        <v>2726</v>
      </c>
      <c r="U328" s="175" t="s">
        <v>140</v>
      </c>
      <c r="V328" s="148"/>
      <c r="W328" s="148"/>
      <c r="X328" s="148"/>
      <c r="Y328" s="144"/>
    </row>
    <row r="329" ht="33.0" customHeight="1">
      <c r="A329" s="138">
        <v>328.0</v>
      </c>
      <c r="B329" s="173">
        <v>1666.0</v>
      </c>
      <c r="C329" s="138" t="s">
        <v>118</v>
      </c>
      <c r="D329" s="138" t="s">
        <v>2684</v>
      </c>
      <c r="E329" s="138" t="s">
        <v>2727</v>
      </c>
      <c r="F329" s="142" t="s">
        <v>2728</v>
      </c>
      <c r="G329" s="153" t="s">
        <v>2729</v>
      </c>
      <c r="H329" s="138" t="s">
        <v>131</v>
      </c>
      <c r="I329" s="138" t="s">
        <v>105</v>
      </c>
      <c r="J329" s="142">
        <v>10.0</v>
      </c>
      <c r="K329" s="138" t="s">
        <v>428</v>
      </c>
      <c r="L329" s="138" t="s">
        <v>200</v>
      </c>
      <c r="M329" s="142" t="s">
        <v>2730</v>
      </c>
      <c r="N329" s="139" t="s">
        <v>2731</v>
      </c>
      <c r="O329" s="142" t="s">
        <v>2732</v>
      </c>
      <c r="P329" s="153" t="s">
        <v>141</v>
      </c>
      <c r="Q329" s="138" t="s">
        <v>2705</v>
      </c>
      <c r="R329" s="181">
        <v>46023.0</v>
      </c>
      <c r="S329" s="181">
        <v>46387.0</v>
      </c>
      <c r="T329" s="142" t="s">
        <v>2733</v>
      </c>
      <c r="U329" s="175" t="s">
        <v>140</v>
      </c>
      <c r="V329" s="148"/>
      <c r="W329" s="148"/>
      <c r="X329" s="148"/>
      <c r="Y329" s="144"/>
    </row>
    <row r="330" ht="33.0" customHeight="1">
      <c r="A330" s="138">
        <v>329.0</v>
      </c>
      <c r="B330" s="173">
        <v>5931.0</v>
      </c>
      <c r="C330" s="138" t="s">
        <v>118</v>
      </c>
      <c r="D330" s="138" t="s">
        <v>2684</v>
      </c>
      <c r="E330" s="138" t="s">
        <v>2727</v>
      </c>
      <c r="F330" s="142" t="s">
        <v>2734</v>
      </c>
      <c r="G330" s="153" t="s">
        <v>2735</v>
      </c>
      <c r="H330" s="138" t="s">
        <v>131</v>
      </c>
      <c r="I330" s="138" t="s">
        <v>105</v>
      </c>
      <c r="J330" s="142">
        <v>15.0</v>
      </c>
      <c r="K330" s="138" t="s">
        <v>428</v>
      </c>
      <c r="L330" s="138" t="s">
        <v>158</v>
      </c>
      <c r="M330" s="142" t="s">
        <v>2736</v>
      </c>
      <c r="N330" s="139" t="s">
        <v>2737</v>
      </c>
      <c r="O330" s="142" t="s">
        <v>2738</v>
      </c>
      <c r="P330" s="153" t="s">
        <v>2739</v>
      </c>
      <c r="Q330" s="138" t="s">
        <v>2691</v>
      </c>
      <c r="R330" s="181">
        <v>46023.0</v>
      </c>
      <c r="S330" s="181">
        <v>46387.0</v>
      </c>
      <c r="T330" s="142" t="s">
        <v>2740</v>
      </c>
      <c r="U330" s="175" t="s">
        <v>140</v>
      </c>
      <c r="V330" s="148"/>
      <c r="W330" s="148"/>
      <c r="X330" s="148"/>
      <c r="Y330" s="144"/>
    </row>
    <row r="331" ht="33.0" customHeight="1">
      <c r="A331" s="138">
        <v>330.0</v>
      </c>
      <c r="B331" s="173">
        <v>1662.0</v>
      </c>
      <c r="C331" s="138" t="s">
        <v>118</v>
      </c>
      <c r="D331" s="138" t="s">
        <v>2684</v>
      </c>
      <c r="E331" s="138" t="s">
        <v>2741</v>
      </c>
      <c r="F331" s="142" t="s">
        <v>2742</v>
      </c>
      <c r="G331" s="153" t="s">
        <v>2743</v>
      </c>
      <c r="H331" s="138" t="s">
        <v>131</v>
      </c>
      <c r="I331" s="138" t="s">
        <v>105</v>
      </c>
      <c r="J331" s="142">
        <v>10.0</v>
      </c>
      <c r="K331" s="138" t="s">
        <v>428</v>
      </c>
      <c r="L331" s="138" t="s">
        <v>200</v>
      </c>
      <c r="M331" s="142" t="s">
        <v>2744</v>
      </c>
      <c r="N331" s="138">
        <v>9.275781955E9</v>
      </c>
      <c r="O331" s="142" t="s">
        <v>2745</v>
      </c>
      <c r="P331" s="153" t="s">
        <v>141</v>
      </c>
      <c r="Q331" s="138" t="s">
        <v>2746</v>
      </c>
      <c r="R331" s="181">
        <v>46023.0</v>
      </c>
      <c r="S331" s="181">
        <v>46387.0</v>
      </c>
      <c r="T331" s="142" t="s">
        <v>2630</v>
      </c>
      <c r="U331" s="175" t="s">
        <v>140</v>
      </c>
      <c r="V331" s="148"/>
      <c r="W331" s="148"/>
      <c r="X331" s="148"/>
      <c r="Y331" s="144"/>
    </row>
    <row r="332" ht="33.0" customHeight="1">
      <c r="A332" s="138">
        <v>331.0</v>
      </c>
      <c r="B332" s="173">
        <v>6490.0</v>
      </c>
      <c r="C332" s="138" t="s">
        <v>118</v>
      </c>
      <c r="D332" s="138" t="s">
        <v>2684</v>
      </c>
      <c r="E332" s="138" t="s">
        <v>2747</v>
      </c>
      <c r="F332" s="142" t="s">
        <v>2748</v>
      </c>
      <c r="G332" s="153" t="s">
        <v>2749</v>
      </c>
      <c r="H332" s="138" t="s">
        <v>131</v>
      </c>
      <c r="I332" s="138" t="s">
        <v>105</v>
      </c>
      <c r="J332" s="142">
        <v>10.0</v>
      </c>
      <c r="K332" s="138" t="s">
        <v>428</v>
      </c>
      <c r="L332" s="138" t="s">
        <v>200</v>
      </c>
      <c r="M332" s="161" t="s">
        <v>2750</v>
      </c>
      <c r="N332" s="139" t="s">
        <v>2751</v>
      </c>
      <c r="O332" s="142" t="s">
        <v>2752</v>
      </c>
      <c r="P332" s="153" t="s">
        <v>141</v>
      </c>
      <c r="Q332" s="138" t="s">
        <v>2705</v>
      </c>
      <c r="R332" s="181">
        <v>46023.0</v>
      </c>
      <c r="S332" s="181">
        <v>46387.0</v>
      </c>
      <c r="T332" s="142" t="s">
        <v>2753</v>
      </c>
      <c r="U332" s="175" t="s">
        <v>140</v>
      </c>
      <c r="V332" s="148"/>
      <c r="W332" s="148"/>
      <c r="X332" s="148"/>
      <c r="Y332" s="144"/>
    </row>
    <row r="333" ht="33.0" customHeight="1">
      <c r="A333" s="138">
        <v>332.0</v>
      </c>
      <c r="B333" s="173">
        <v>7480.0</v>
      </c>
      <c r="C333" s="138" t="s">
        <v>118</v>
      </c>
      <c r="D333" s="138" t="s">
        <v>2754</v>
      </c>
      <c r="E333" s="138" t="s">
        <v>2754</v>
      </c>
      <c r="F333" s="142" t="s">
        <v>2755</v>
      </c>
      <c r="G333" s="153" t="s">
        <v>2756</v>
      </c>
      <c r="H333" s="138" t="s">
        <v>131</v>
      </c>
      <c r="I333" s="138" t="s">
        <v>105</v>
      </c>
      <c r="J333" s="142">
        <v>10.0</v>
      </c>
      <c r="K333" s="138" t="s">
        <v>428</v>
      </c>
      <c r="L333" s="138" t="s">
        <v>158</v>
      </c>
      <c r="M333" s="142" t="s">
        <v>2757</v>
      </c>
      <c r="N333" s="139" t="s">
        <v>2758</v>
      </c>
      <c r="O333" s="142" t="s">
        <v>2759</v>
      </c>
      <c r="P333" s="153" t="s">
        <v>2760</v>
      </c>
      <c r="Q333" s="138" t="s">
        <v>141</v>
      </c>
      <c r="R333" s="181">
        <v>46023.0</v>
      </c>
      <c r="S333" s="181">
        <v>46387.0</v>
      </c>
      <c r="T333" s="142" t="s">
        <v>2761</v>
      </c>
      <c r="U333" s="175" t="s">
        <v>140</v>
      </c>
      <c r="V333" s="148"/>
      <c r="W333" s="148"/>
      <c r="X333" s="148"/>
      <c r="Y333" s="144"/>
    </row>
    <row r="334" ht="33.0" customHeight="1">
      <c r="A334" s="138">
        <v>333.0</v>
      </c>
      <c r="B334" s="138">
        <v>2120.0</v>
      </c>
      <c r="C334" s="138" t="s">
        <v>42</v>
      </c>
      <c r="D334" s="138" t="s">
        <v>2762</v>
      </c>
      <c r="E334" s="138" t="s">
        <v>2763</v>
      </c>
      <c r="F334" s="138" t="s">
        <v>2764</v>
      </c>
      <c r="G334" s="153" t="s">
        <v>2765</v>
      </c>
      <c r="H334" s="138" t="s">
        <v>131</v>
      </c>
      <c r="I334" s="138" t="s">
        <v>105</v>
      </c>
      <c r="J334" s="138">
        <v>10.0</v>
      </c>
      <c r="K334" s="138" t="s">
        <v>2095</v>
      </c>
      <c r="L334" s="138" t="s">
        <v>158</v>
      </c>
      <c r="M334" s="138" t="s">
        <v>2766</v>
      </c>
      <c r="N334" s="139" t="s">
        <v>2767</v>
      </c>
      <c r="O334" s="138" t="s">
        <v>2768</v>
      </c>
      <c r="P334" s="138" t="s">
        <v>200</v>
      </c>
      <c r="Q334" s="138" t="s">
        <v>2769</v>
      </c>
      <c r="R334" s="141">
        <v>46023.0</v>
      </c>
      <c r="S334" s="141">
        <v>46387.0</v>
      </c>
      <c r="T334" s="138" t="s">
        <v>2770</v>
      </c>
      <c r="U334" s="142" t="s">
        <v>140</v>
      </c>
      <c r="V334" s="148"/>
      <c r="W334" s="148"/>
      <c r="X334" s="148"/>
      <c r="Y334" s="148"/>
    </row>
    <row r="335" ht="33.0" customHeight="1">
      <c r="A335" s="138">
        <v>334.0</v>
      </c>
      <c r="B335" s="138">
        <v>248.0</v>
      </c>
      <c r="C335" s="138" t="s">
        <v>42</v>
      </c>
      <c r="D335" s="138" t="s">
        <v>2762</v>
      </c>
      <c r="E335" s="138" t="s">
        <v>2505</v>
      </c>
      <c r="F335" s="173" t="s">
        <v>434</v>
      </c>
      <c r="G335" s="153" t="s">
        <v>2771</v>
      </c>
      <c r="H335" s="138" t="s">
        <v>131</v>
      </c>
      <c r="I335" s="138" t="s">
        <v>105</v>
      </c>
      <c r="J335" s="138">
        <v>12.0</v>
      </c>
      <c r="K335" s="138" t="s">
        <v>200</v>
      </c>
      <c r="L335" s="138" t="s">
        <v>682</v>
      </c>
      <c r="M335" s="138" t="s">
        <v>2772</v>
      </c>
      <c r="N335" s="139" t="s">
        <v>2773</v>
      </c>
      <c r="O335" s="138" t="s">
        <v>2774</v>
      </c>
      <c r="P335" s="138" t="s">
        <v>200</v>
      </c>
      <c r="Q335" s="138" t="s">
        <v>2769</v>
      </c>
      <c r="R335" s="141">
        <v>46023.0</v>
      </c>
      <c r="S335" s="141">
        <v>46387.0</v>
      </c>
      <c r="T335" s="138" t="s">
        <v>2775</v>
      </c>
      <c r="U335" s="142" t="s">
        <v>140</v>
      </c>
      <c r="V335" s="148"/>
      <c r="W335" s="148"/>
      <c r="X335" s="148"/>
      <c r="Y335" s="148"/>
    </row>
    <row r="336" ht="33.0" customHeight="1">
      <c r="A336" s="138">
        <v>335.0</v>
      </c>
      <c r="B336" s="138">
        <v>2730.0</v>
      </c>
      <c r="C336" s="138" t="s">
        <v>42</v>
      </c>
      <c r="D336" s="138" t="s">
        <v>2762</v>
      </c>
      <c r="E336" s="138" t="s">
        <v>2776</v>
      </c>
      <c r="F336" s="138" t="s">
        <v>2777</v>
      </c>
      <c r="G336" s="153" t="s">
        <v>2778</v>
      </c>
      <c r="H336" s="138" t="s">
        <v>131</v>
      </c>
      <c r="I336" s="138" t="s">
        <v>105</v>
      </c>
      <c r="J336" s="138">
        <v>12.0</v>
      </c>
      <c r="K336" s="138" t="s">
        <v>200</v>
      </c>
      <c r="L336" s="138" t="s">
        <v>682</v>
      </c>
      <c r="M336" s="138" t="s">
        <v>2779</v>
      </c>
      <c r="N336" s="139" t="s">
        <v>2780</v>
      </c>
      <c r="O336" s="138" t="s">
        <v>2781</v>
      </c>
      <c r="P336" s="138" t="s">
        <v>200</v>
      </c>
      <c r="Q336" s="138" t="s">
        <v>2769</v>
      </c>
      <c r="R336" s="141">
        <v>46023.0</v>
      </c>
      <c r="S336" s="141">
        <v>46387.0</v>
      </c>
      <c r="T336" s="138" t="s">
        <v>2782</v>
      </c>
      <c r="U336" s="142" t="s">
        <v>140</v>
      </c>
      <c r="V336" s="148"/>
      <c r="W336" s="148"/>
      <c r="X336" s="148"/>
      <c r="Y336" s="143"/>
    </row>
    <row r="337" ht="49.5" customHeight="1">
      <c r="A337" s="138">
        <v>336.0</v>
      </c>
      <c r="B337" s="138">
        <v>6685.0</v>
      </c>
      <c r="C337" s="138" t="s">
        <v>42</v>
      </c>
      <c r="D337" s="138" t="s">
        <v>2783</v>
      </c>
      <c r="E337" s="138" t="s">
        <v>2784</v>
      </c>
      <c r="F337" s="138" t="s">
        <v>434</v>
      </c>
      <c r="G337" s="153" t="s">
        <v>2785</v>
      </c>
      <c r="H337" s="138" t="s">
        <v>131</v>
      </c>
      <c r="I337" s="138" t="s">
        <v>105</v>
      </c>
      <c r="J337" s="138">
        <v>12.0</v>
      </c>
      <c r="K337" s="138" t="s">
        <v>2786</v>
      </c>
      <c r="L337" s="138" t="s">
        <v>133</v>
      </c>
      <c r="M337" s="138" t="s">
        <v>2787</v>
      </c>
      <c r="N337" s="139" t="s">
        <v>2788</v>
      </c>
      <c r="O337" s="138" t="s">
        <v>2789</v>
      </c>
      <c r="P337" s="138" t="s">
        <v>2790</v>
      </c>
      <c r="Q337" s="138" t="s">
        <v>141</v>
      </c>
      <c r="R337" s="141">
        <v>46023.0</v>
      </c>
      <c r="S337" s="141">
        <v>46387.0</v>
      </c>
      <c r="T337" s="138" t="s">
        <v>2791</v>
      </c>
      <c r="U337" s="142" t="s">
        <v>140</v>
      </c>
      <c r="V337" s="148"/>
      <c r="W337" s="148"/>
      <c r="X337" s="148"/>
      <c r="Y337" s="143"/>
    </row>
    <row r="338" ht="33.0" customHeight="1">
      <c r="A338" s="138">
        <v>337.0</v>
      </c>
      <c r="B338" s="138">
        <v>4477.0</v>
      </c>
      <c r="C338" s="138" t="s">
        <v>42</v>
      </c>
      <c r="D338" s="138" t="s">
        <v>2783</v>
      </c>
      <c r="E338" s="138" t="s">
        <v>2792</v>
      </c>
      <c r="F338" s="138" t="s">
        <v>2793</v>
      </c>
      <c r="G338" s="153" t="s">
        <v>2794</v>
      </c>
      <c r="H338" s="138" t="s">
        <v>131</v>
      </c>
      <c r="I338" s="138" t="s">
        <v>105</v>
      </c>
      <c r="J338" s="138">
        <v>18.0</v>
      </c>
      <c r="K338" s="138" t="s">
        <v>2795</v>
      </c>
      <c r="L338" s="138" t="s">
        <v>133</v>
      </c>
      <c r="M338" s="138" t="s">
        <v>2796</v>
      </c>
      <c r="N338" s="139" t="s">
        <v>2797</v>
      </c>
      <c r="O338" s="138" t="s">
        <v>2798</v>
      </c>
      <c r="P338" s="138" t="s">
        <v>2799</v>
      </c>
      <c r="Q338" s="138" t="s">
        <v>141</v>
      </c>
      <c r="R338" s="141">
        <v>46023.0</v>
      </c>
      <c r="S338" s="141">
        <v>46387.0</v>
      </c>
      <c r="T338" s="138" t="s">
        <v>2800</v>
      </c>
      <c r="U338" s="142" t="s">
        <v>140</v>
      </c>
      <c r="V338" s="148"/>
      <c r="W338" s="148"/>
      <c r="X338" s="148"/>
      <c r="Y338" s="148"/>
    </row>
    <row r="339" ht="33.0" customHeight="1">
      <c r="A339" s="138">
        <v>338.0</v>
      </c>
      <c r="B339" s="138">
        <v>255.0</v>
      </c>
      <c r="C339" s="138" t="s">
        <v>42</v>
      </c>
      <c r="D339" s="138" t="s">
        <v>2783</v>
      </c>
      <c r="E339" s="138" t="s">
        <v>2801</v>
      </c>
      <c r="F339" s="138" t="s">
        <v>434</v>
      </c>
      <c r="G339" s="153" t="s">
        <v>2802</v>
      </c>
      <c r="H339" s="138" t="s">
        <v>131</v>
      </c>
      <c r="I339" s="138" t="s">
        <v>105</v>
      </c>
      <c r="J339" s="138">
        <v>12.0</v>
      </c>
      <c r="K339" s="138" t="s">
        <v>2803</v>
      </c>
      <c r="L339" s="138" t="s">
        <v>158</v>
      </c>
      <c r="M339" s="138" t="s">
        <v>2804</v>
      </c>
      <c r="N339" s="139" t="s">
        <v>2805</v>
      </c>
      <c r="O339" s="138" t="s">
        <v>2806</v>
      </c>
      <c r="P339" s="138" t="s">
        <v>2807</v>
      </c>
      <c r="Q339" s="138" t="s">
        <v>141</v>
      </c>
      <c r="R339" s="141">
        <v>46023.0</v>
      </c>
      <c r="S339" s="141">
        <v>46387.0</v>
      </c>
      <c r="T339" s="138" t="s">
        <v>2808</v>
      </c>
      <c r="U339" s="142" t="s">
        <v>140</v>
      </c>
      <c r="V339" s="148"/>
      <c r="W339" s="148"/>
      <c r="X339" s="148"/>
      <c r="Y339" s="149"/>
    </row>
    <row r="340" ht="33.0" customHeight="1">
      <c r="A340" s="138">
        <v>339.0</v>
      </c>
      <c r="B340" s="138">
        <v>4453.0</v>
      </c>
      <c r="C340" s="138" t="s">
        <v>42</v>
      </c>
      <c r="D340" s="138" t="s">
        <v>2783</v>
      </c>
      <c r="E340" s="138" t="s">
        <v>2809</v>
      </c>
      <c r="F340" s="138" t="s">
        <v>434</v>
      </c>
      <c r="G340" s="153" t="s">
        <v>2810</v>
      </c>
      <c r="H340" s="138" t="s">
        <v>131</v>
      </c>
      <c r="I340" s="138" t="s">
        <v>105</v>
      </c>
      <c r="J340" s="138">
        <v>18.0</v>
      </c>
      <c r="K340" s="138" t="s">
        <v>2811</v>
      </c>
      <c r="L340" s="138" t="s">
        <v>133</v>
      </c>
      <c r="M340" s="138" t="s">
        <v>2812</v>
      </c>
      <c r="N340" s="139" t="s">
        <v>2813</v>
      </c>
      <c r="O340" s="138" t="s">
        <v>2814</v>
      </c>
      <c r="P340" s="138" t="s">
        <v>2815</v>
      </c>
      <c r="Q340" s="138" t="s">
        <v>141</v>
      </c>
      <c r="R340" s="141">
        <v>46023.0</v>
      </c>
      <c r="S340" s="141">
        <v>46387.0</v>
      </c>
      <c r="T340" s="138" t="s">
        <v>2816</v>
      </c>
      <c r="U340" s="142" t="s">
        <v>140</v>
      </c>
      <c r="V340" s="148"/>
      <c r="W340" s="148"/>
      <c r="X340" s="148"/>
      <c r="Y340" s="143"/>
    </row>
    <row r="341" ht="33.0" customHeight="1">
      <c r="A341" s="138">
        <v>340.0</v>
      </c>
      <c r="B341" s="138">
        <v>4590.0</v>
      </c>
      <c r="C341" s="138" t="s">
        <v>42</v>
      </c>
      <c r="D341" s="138" t="s">
        <v>2783</v>
      </c>
      <c r="E341" s="138" t="s">
        <v>2817</v>
      </c>
      <c r="F341" s="138" t="s">
        <v>2818</v>
      </c>
      <c r="G341" s="153" t="s">
        <v>2819</v>
      </c>
      <c r="H341" s="138" t="s">
        <v>131</v>
      </c>
      <c r="I341" s="138" t="s">
        <v>105</v>
      </c>
      <c r="J341" s="138">
        <v>12.0</v>
      </c>
      <c r="K341" s="138" t="s">
        <v>2820</v>
      </c>
      <c r="L341" s="138" t="s">
        <v>158</v>
      </c>
      <c r="M341" s="138" t="s">
        <v>2821</v>
      </c>
      <c r="N341" s="139" t="s">
        <v>2822</v>
      </c>
      <c r="O341" s="138" t="s">
        <v>2823</v>
      </c>
      <c r="P341" s="138" t="s">
        <v>2824</v>
      </c>
      <c r="Q341" s="138" t="s">
        <v>141</v>
      </c>
      <c r="R341" s="141">
        <v>46023.0</v>
      </c>
      <c r="S341" s="141">
        <v>46387.0</v>
      </c>
      <c r="T341" s="138" t="s">
        <v>2825</v>
      </c>
      <c r="U341" s="142" t="s">
        <v>140</v>
      </c>
      <c r="V341" s="148"/>
      <c r="W341" s="148"/>
      <c r="X341" s="148"/>
      <c r="Y341" s="143"/>
    </row>
    <row r="342" ht="33.0" customHeight="1">
      <c r="A342" s="138">
        <v>341.0</v>
      </c>
      <c r="B342" s="138">
        <v>3493.0</v>
      </c>
      <c r="C342" s="138" t="s">
        <v>42</v>
      </c>
      <c r="D342" s="138" t="s">
        <v>2826</v>
      </c>
      <c r="E342" s="138" t="s">
        <v>2827</v>
      </c>
      <c r="F342" s="138" t="s">
        <v>2828</v>
      </c>
      <c r="G342" s="153" t="s">
        <v>2829</v>
      </c>
      <c r="H342" s="138" t="s">
        <v>131</v>
      </c>
      <c r="I342" s="138" t="s">
        <v>353</v>
      </c>
      <c r="J342" s="138">
        <v>12.0</v>
      </c>
      <c r="K342" s="138" t="s">
        <v>2830</v>
      </c>
      <c r="L342" s="138" t="s">
        <v>133</v>
      </c>
      <c r="M342" s="138" t="s">
        <v>2831</v>
      </c>
      <c r="N342" s="139" t="s">
        <v>2832</v>
      </c>
      <c r="O342" s="138" t="s">
        <v>2833</v>
      </c>
      <c r="P342" s="138" t="s">
        <v>2834</v>
      </c>
      <c r="Q342" s="138" t="s">
        <v>141</v>
      </c>
      <c r="R342" s="141">
        <v>46023.0</v>
      </c>
      <c r="S342" s="141">
        <v>46387.0</v>
      </c>
      <c r="T342" s="138" t="s">
        <v>2835</v>
      </c>
      <c r="U342" s="142" t="s">
        <v>140</v>
      </c>
      <c r="V342" s="148"/>
      <c r="W342" s="148"/>
      <c r="X342" s="148"/>
      <c r="Y342" s="143"/>
    </row>
    <row r="343" ht="33.0" customHeight="1">
      <c r="A343" s="138">
        <v>342.0</v>
      </c>
      <c r="B343" s="138">
        <v>5733.0</v>
      </c>
      <c r="C343" s="138" t="s">
        <v>42</v>
      </c>
      <c r="D343" s="138" t="s">
        <v>2826</v>
      </c>
      <c r="E343" s="138" t="s">
        <v>2836</v>
      </c>
      <c r="F343" s="138" t="s">
        <v>2837</v>
      </c>
      <c r="G343" s="153" t="s">
        <v>2838</v>
      </c>
      <c r="H343" s="138" t="s">
        <v>131</v>
      </c>
      <c r="I343" s="138" t="s">
        <v>105</v>
      </c>
      <c r="J343" s="138">
        <v>10.0</v>
      </c>
      <c r="K343" s="138" t="s">
        <v>2839</v>
      </c>
      <c r="L343" s="138" t="s">
        <v>133</v>
      </c>
      <c r="M343" s="138" t="s">
        <v>2840</v>
      </c>
      <c r="N343" s="139" t="s">
        <v>2841</v>
      </c>
      <c r="O343" s="138" t="s">
        <v>2842</v>
      </c>
      <c r="P343" s="138" t="s">
        <v>2843</v>
      </c>
      <c r="Q343" s="138" t="s">
        <v>141</v>
      </c>
      <c r="R343" s="141">
        <v>46023.0</v>
      </c>
      <c r="S343" s="141">
        <v>46387.0</v>
      </c>
      <c r="T343" s="138" t="s">
        <v>2844</v>
      </c>
      <c r="U343" s="142" t="s">
        <v>140</v>
      </c>
      <c r="V343" s="148"/>
      <c r="W343" s="148"/>
      <c r="X343" s="148"/>
      <c r="Y343" s="148"/>
    </row>
    <row r="344" ht="33.0" customHeight="1">
      <c r="A344" s="138">
        <v>343.0</v>
      </c>
      <c r="B344" s="138">
        <v>5734.0</v>
      </c>
      <c r="C344" s="138" t="s">
        <v>42</v>
      </c>
      <c r="D344" s="138" t="s">
        <v>2826</v>
      </c>
      <c r="E344" s="138" t="s">
        <v>2845</v>
      </c>
      <c r="F344" s="146"/>
      <c r="G344" s="153" t="s">
        <v>2846</v>
      </c>
      <c r="H344" s="138" t="s">
        <v>131</v>
      </c>
      <c r="I344" s="138" t="s">
        <v>105</v>
      </c>
      <c r="J344" s="138">
        <v>15.0</v>
      </c>
      <c r="K344" s="138" t="s">
        <v>2847</v>
      </c>
      <c r="L344" s="138" t="s">
        <v>133</v>
      </c>
      <c r="M344" s="138" t="s">
        <v>2848</v>
      </c>
      <c r="N344" s="139" t="s">
        <v>2849</v>
      </c>
      <c r="O344" s="138" t="s">
        <v>2850</v>
      </c>
      <c r="P344" s="138" t="s">
        <v>2851</v>
      </c>
      <c r="Q344" s="138" t="s">
        <v>141</v>
      </c>
      <c r="R344" s="141">
        <v>46023.0</v>
      </c>
      <c r="S344" s="141">
        <v>46387.0</v>
      </c>
      <c r="T344" s="138" t="s">
        <v>2852</v>
      </c>
      <c r="U344" s="142" t="s">
        <v>140</v>
      </c>
      <c r="V344" s="148"/>
      <c r="W344" s="148"/>
      <c r="X344" s="148"/>
      <c r="Y344" s="148"/>
    </row>
    <row r="345" ht="33.0" customHeight="1">
      <c r="A345" s="138">
        <v>344.0</v>
      </c>
      <c r="B345" s="138">
        <v>33714.0</v>
      </c>
      <c r="C345" s="138" t="s">
        <v>42</v>
      </c>
      <c r="D345" s="138" t="s">
        <v>2826</v>
      </c>
      <c r="E345" s="138" t="s">
        <v>2853</v>
      </c>
      <c r="F345" s="138" t="s">
        <v>2854</v>
      </c>
      <c r="G345" s="153" t="s">
        <v>2855</v>
      </c>
      <c r="H345" s="138" t="s">
        <v>131</v>
      </c>
      <c r="I345" s="138" t="s">
        <v>76</v>
      </c>
      <c r="J345" s="138">
        <v>10.0</v>
      </c>
      <c r="K345" s="138" t="s">
        <v>274</v>
      </c>
      <c r="L345" s="138" t="s">
        <v>682</v>
      </c>
      <c r="M345" s="138" t="s">
        <v>2856</v>
      </c>
      <c r="N345" s="139" t="s">
        <v>2857</v>
      </c>
      <c r="O345" s="138" t="s">
        <v>2858</v>
      </c>
      <c r="P345" s="138" t="s">
        <v>2859</v>
      </c>
      <c r="Q345" s="138" t="s">
        <v>141</v>
      </c>
      <c r="R345" s="141">
        <v>46023.0</v>
      </c>
      <c r="S345" s="141">
        <v>46387.0</v>
      </c>
      <c r="T345" s="138" t="s">
        <v>2860</v>
      </c>
      <c r="U345" s="142" t="s">
        <v>140</v>
      </c>
      <c r="V345" s="148"/>
      <c r="W345" s="148"/>
      <c r="X345" s="148"/>
      <c r="Y345" s="143"/>
    </row>
    <row r="346" ht="33.0" customHeight="1">
      <c r="A346" s="138">
        <v>345.0</v>
      </c>
      <c r="B346" s="138">
        <v>5519.0</v>
      </c>
      <c r="C346" s="138" t="s">
        <v>42</v>
      </c>
      <c r="D346" s="138" t="s">
        <v>2861</v>
      </c>
      <c r="E346" s="138" t="s">
        <v>2862</v>
      </c>
      <c r="F346" s="138" t="s">
        <v>2863</v>
      </c>
      <c r="G346" s="153" t="s">
        <v>2864</v>
      </c>
      <c r="H346" s="138" t="s">
        <v>131</v>
      </c>
      <c r="I346" s="138" t="s">
        <v>105</v>
      </c>
      <c r="J346" s="138">
        <v>10.0</v>
      </c>
      <c r="K346" s="138" t="s">
        <v>274</v>
      </c>
      <c r="L346" s="138" t="s">
        <v>133</v>
      </c>
      <c r="M346" s="138" t="s">
        <v>2865</v>
      </c>
      <c r="N346" s="139" t="s">
        <v>2866</v>
      </c>
      <c r="O346" s="138" t="s">
        <v>2867</v>
      </c>
      <c r="P346" s="138" t="s">
        <v>2868</v>
      </c>
      <c r="Q346" s="138" t="s">
        <v>141</v>
      </c>
      <c r="R346" s="141">
        <v>46023.0</v>
      </c>
      <c r="S346" s="141">
        <v>46387.0</v>
      </c>
      <c r="T346" s="138" t="s">
        <v>2869</v>
      </c>
      <c r="U346" s="142" t="s">
        <v>140</v>
      </c>
      <c r="V346" s="148"/>
      <c r="W346" s="148"/>
      <c r="X346" s="148"/>
      <c r="Y346" s="148"/>
    </row>
    <row r="347" ht="33.0" customHeight="1">
      <c r="A347" s="138">
        <v>346.0</v>
      </c>
      <c r="B347" s="138">
        <v>3223.0</v>
      </c>
      <c r="C347" s="138" t="s">
        <v>42</v>
      </c>
      <c r="D347" s="138" t="s">
        <v>2861</v>
      </c>
      <c r="E347" s="138" t="s">
        <v>2870</v>
      </c>
      <c r="F347" s="138" t="s">
        <v>2871</v>
      </c>
      <c r="G347" s="153" t="s">
        <v>2872</v>
      </c>
      <c r="H347" s="138" t="s">
        <v>131</v>
      </c>
      <c r="I347" s="138" t="s">
        <v>105</v>
      </c>
      <c r="J347" s="138">
        <v>10.0</v>
      </c>
      <c r="K347" s="138" t="s">
        <v>2873</v>
      </c>
      <c r="L347" s="138" t="s">
        <v>133</v>
      </c>
      <c r="M347" s="138" t="s">
        <v>2874</v>
      </c>
      <c r="N347" s="139" t="s">
        <v>2875</v>
      </c>
      <c r="O347" s="138" t="s">
        <v>2876</v>
      </c>
      <c r="P347" s="138" t="s">
        <v>2877</v>
      </c>
      <c r="Q347" s="138" t="s">
        <v>141</v>
      </c>
      <c r="R347" s="141">
        <v>46023.0</v>
      </c>
      <c r="S347" s="141">
        <v>46387.0</v>
      </c>
      <c r="T347" s="138" t="s">
        <v>2878</v>
      </c>
      <c r="U347" s="142" t="s">
        <v>140</v>
      </c>
      <c r="V347" s="148"/>
      <c r="W347" s="148"/>
      <c r="X347" s="148"/>
      <c r="Y347" s="143"/>
    </row>
    <row r="348" ht="33.0" customHeight="1">
      <c r="A348" s="138">
        <v>347.0</v>
      </c>
      <c r="B348" s="138">
        <v>3874.0</v>
      </c>
      <c r="C348" s="138" t="s">
        <v>42</v>
      </c>
      <c r="D348" s="138" t="s">
        <v>2861</v>
      </c>
      <c r="E348" s="138" t="s">
        <v>2879</v>
      </c>
      <c r="F348" s="138" t="s">
        <v>2880</v>
      </c>
      <c r="G348" s="140" t="s">
        <v>2881</v>
      </c>
      <c r="H348" s="138" t="s">
        <v>131</v>
      </c>
      <c r="I348" s="138" t="s">
        <v>105</v>
      </c>
      <c r="J348" s="138">
        <v>30.0</v>
      </c>
      <c r="K348" s="138" t="s">
        <v>2873</v>
      </c>
      <c r="L348" s="138" t="s">
        <v>133</v>
      </c>
      <c r="M348" s="138" t="s">
        <v>2882</v>
      </c>
      <c r="N348" s="138">
        <v>9.97344335E9</v>
      </c>
      <c r="O348" s="138" t="s">
        <v>2883</v>
      </c>
      <c r="P348" s="138" t="s">
        <v>2884</v>
      </c>
      <c r="Q348" s="138" t="s">
        <v>141</v>
      </c>
      <c r="R348" s="141">
        <v>46023.0</v>
      </c>
      <c r="S348" s="141">
        <v>46387.0</v>
      </c>
      <c r="T348" s="142" t="s">
        <v>2885</v>
      </c>
      <c r="U348" s="175" t="s">
        <v>140</v>
      </c>
      <c r="V348" s="148"/>
      <c r="W348" s="148"/>
      <c r="X348" s="143"/>
      <c r="Y348" s="148"/>
    </row>
    <row r="349" ht="33.0" customHeight="1">
      <c r="A349" s="138">
        <v>348.0</v>
      </c>
      <c r="B349" s="138">
        <v>5230.0</v>
      </c>
      <c r="C349" s="138" t="s">
        <v>42</v>
      </c>
      <c r="D349" s="138" t="s">
        <v>2861</v>
      </c>
      <c r="E349" s="138" t="s">
        <v>2886</v>
      </c>
      <c r="F349" s="138" t="s">
        <v>2887</v>
      </c>
      <c r="G349" s="140" t="s">
        <v>2888</v>
      </c>
      <c r="H349" s="138" t="s">
        <v>131</v>
      </c>
      <c r="I349" s="138" t="s">
        <v>105</v>
      </c>
      <c r="J349" s="138">
        <v>18.0</v>
      </c>
      <c r="K349" s="138" t="s">
        <v>2889</v>
      </c>
      <c r="L349" s="138" t="s">
        <v>133</v>
      </c>
      <c r="M349" s="142" t="s">
        <v>2890</v>
      </c>
      <c r="N349" s="138">
        <v>9.068759701E9</v>
      </c>
      <c r="O349" s="138" t="s">
        <v>2891</v>
      </c>
      <c r="P349" s="138" t="s">
        <v>2892</v>
      </c>
      <c r="Q349" s="138" t="s">
        <v>141</v>
      </c>
      <c r="R349" s="141">
        <v>46023.0</v>
      </c>
      <c r="S349" s="141">
        <v>46387.0</v>
      </c>
      <c r="T349" s="138" t="s">
        <v>2893</v>
      </c>
      <c r="U349" s="175" t="s">
        <v>140</v>
      </c>
      <c r="V349" s="148"/>
      <c r="W349" s="148"/>
      <c r="X349" s="143"/>
      <c r="Y349" s="148"/>
    </row>
    <row r="350" ht="33.0" customHeight="1">
      <c r="A350" s="138">
        <v>349.0</v>
      </c>
      <c r="B350" s="183">
        <v>3871.0</v>
      </c>
      <c r="C350" s="138" t="s">
        <v>42</v>
      </c>
      <c r="D350" s="138" t="s">
        <v>2894</v>
      </c>
      <c r="E350" s="138" t="s">
        <v>2895</v>
      </c>
      <c r="F350" s="184" t="s">
        <v>2896</v>
      </c>
      <c r="G350" s="185" t="s">
        <v>2897</v>
      </c>
      <c r="H350" s="138" t="s">
        <v>131</v>
      </c>
      <c r="I350" s="138" t="s">
        <v>105</v>
      </c>
      <c r="J350" s="184">
        <v>18.0</v>
      </c>
      <c r="K350" s="183" t="s">
        <v>2898</v>
      </c>
      <c r="L350" s="183" t="s">
        <v>158</v>
      </c>
      <c r="M350" s="184" t="s">
        <v>2899</v>
      </c>
      <c r="N350" s="183">
        <v>9.175611029E9</v>
      </c>
      <c r="O350" s="183" t="s">
        <v>2900</v>
      </c>
      <c r="P350" s="184" t="s">
        <v>2901</v>
      </c>
      <c r="Q350" s="183" t="s">
        <v>141</v>
      </c>
      <c r="R350" s="186">
        <v>46023.0</v>
      </c>
      <c r="S350" s="186">
        <v>46387.0</v>
      </c>
      <c r="T350" s="187" t="s">
        <v>2902</v>
      </c>
      <c r="U350" s="175" t="s">
        <v>140</v>
      </c>
      <c r="V350" s="148"/>
      <c r="W350" s="188"/>
      <c r="X350" s="169"/>
      <c r="Y350" s="143"/>
    </row>
    <row r="351" ht="33.0" customHeight="1">
      <c r="A351" s="138">
        <v>350.0</v>
      </c>
      <c r="B351" s="138">
        <v>2987.0</v>
      </c>
      <c r="C351" s="138" t="s">
        <v>42</v>
      </c>
      <c r="D351" s="138" t="s">
        <v>2894</v>
      </c>
      <c r="E351" s="138" t="s">
        <v>2903</v>
      </c>
      <c r="F351" s="138" t="s">
        <v>2904</v>
      </c>
      <c r="G351" s="140" t="s">
        <v>2905</v>
      </c>
      <c r="H351" s="138" t="s">
        <v>131</v>
      </c>
      <c r="I351" s="138" t="s">
        <v>105</v>
      </c>
      <c r="J351" s="138">
        <v>18.0</v>
      </c>
      <c r="K351" s="138" t="s">
        <v>2906</v>
      </c>
      <c r="L351" s="138" t="s">
        <v>158</v>
      </c>
      <c r="M351" s="142" t="s">
        <v>2907</v>
      </c>
      <c r="N351" s="138">
        <v>9.175134313E9</v>
      </c>
      <c r="O351" s="138" t="s">
        <v>2908</v>
      </c>
      <c r="P351" s="138" t="s">
        <v>200</v>
      </c>
      <c r="Q351" s="138" t="s">
        <v>2909</v>
      </c>
      <c r="R351" s="141">
        <v>46023.0</v>
      </c>
      <c r="S351" s="141">
        <v>46387.0</v>
      </c>
      <c r="T351" s="138" t="s">
        <v>2910</v>
      </c>
      <c r="U351" s="175" t="s">
        <v>140</v>
      </c>
      <c r="V351" s="148"/>
      <c r="W351" s="143"/>
      <c r="X351" s="148"/>
      <c r="Y351" s="143"/>
    </row>
    <row r="352" ht="33.0" customHeight="1">
      <c r="A352" s="138">
        <v>351.0</v>
      </c>
      <c r="B352" s="138">
        <v>3869.0</v>
      </c>
      <c r="C352" s="138" t="s">
        <v>42</v>
      </c>
      <c r="D352" s="138" t="s">
        <v>2894</v>
      </c>
      <c r="E352" s="138" t="s">
        <v>2911</v>
      </c>
      <c r="F352" s="138" t="s">
        <v>2912</v>
      </c>
      <c r="G352" s="140" t="s">
        <v>2913</v>
      </c>
      <c r="H352" s="138" t="s">
        <v>131</v>
      </c>
      <c r="I352" s="138" t="s">
        <v>105</v>
      </c>
      <c r="J352" s="138">
        <v>18.0</v>
      </c>
      <c r="K352" s="138" t="s">
        <v>1753</v>
      </c>
      <c r="L352" s="138" t="s">
        <v>158</v>
      </c>
      <c r="M352" s="138" t="s">
        <v>2914</v>
      </c>
      <c r="N352" s="138">
        <v>9.194875424E9</v>
      </c>
      <c r="O352" s="138" t="s">
        <v>2915</v>
      </c>
      <c r="P352" s="138" t="s">
        <v>200</v>
      </c>
      <c r="Q352" s="138" t="s">
        <v>2909</v>
      </c>
      <c r="R352" s="141">
        <v>46023.0</v>
      </c>
      <c r="S352" s="141">
        <v>46387.0</v>
      </c>
      <c r="T352" s="142" t="s">
        <v>2916</v>
      </c>
      <c r="U352" s="175" t="s">
        <v>140</v>
      </c>
      <c r="V352" s="148"/>
      <c r="W352" s="143"/>
      <c r="X352" s="143"/>
      <c r="Y352" s="148"/>
    </row>
    <row r="353" ht="33.0" customHeight="1">
      <c r="A353" s="138">
        <v>352.0</v>
      </c>
      <c r="B353" s="138">
        <v>6854.0</v>
      </c>
      <c r="C353" s="138" t="s">
        <v>42</v>
      </c>
      <c r="D353" s="138" t="s">
        <v>2894</v>
      </c>
      <c r="E353" s="138" t="s">
        <v>784</v>
      </c>
      <c r="F353" s="138" t="s">
        <v>2917</v>
      </c>
      <c r="G353" s="140" t="s">
        <v>2918</v>
      </c>
      <c r="H353" s="138" t="s">
        <v>131</v>
      </c>
      <c r="I353" s="138" t="s">
        <v>105</v>
      </c>
      <c r="J353" s="138">
        <v>18.0</v>
      </c>
      <c r="K353" s="173" t="s">
        <v>2919</v>
      </c>
      <c r="L353" s="173" t="s">
        <v>158</v>
      </c>
      <c r="M353" s="138" t="s">
        <v>2920</v>
      </c>
      <c r="N353" s="173">
        <v>9.272803388E9</v>
      </c>
      <c r="O353" s="173" t="s">
        <v>2921</v>
      </c>
      <c r="P353" s="138" t="s">
        <v>2922</v>
      </c>
      <c r="Q353" s="138" t="s">
        <v>141</v>
      </c>
      <c r="R353" s="141">
        <v>46023.0</v>
      </c>
      <c r="S353" s="141">
        <v>46387.0</v>
      </c>
      <c r="T353" s="142" t="s">
        <v>2923</v>
      </c>
      <c r="U353" s="175" t="s">
        <v>140</v>
      </c>
      <c r="V353" s="148"/>
      <c r="W353" s="148"/>
      <c r="X353" s="143"/>
      <c r="Y353" s="143"/>
    </row>
    <row r="354" ht="33.0" customHeight="1">
      <c r="A354" s="138">
        <v>353.0</v>
      </c>
      <c r="B354" s="138">
        <v>33717.0</v>
      </c>
      <c r="C354" s="138" t="s">
        <v>42</v>
      </c>
      <c r="D354" s="138" t="s">
        <v>2894</v>
      </c>
      <c r="E354" s="138" t="s">
        <v>2924</v>
      </c>
      <c r="F354" s="138" t="s">
        <v>2925</v>
      </c>
      <c r="G354" s="140" t="s">
        <v>2926</v>
      </c>
      <c r="H354" s="138" t="s">
        <v>131</v>
      </c>
      <c r="I354" s="138" t="s">
        <v>105</v>
      </c>
      <c r="J354" s="138">
        <v>18.0</v>
      </c>
      <c r="K354" s="138" t="s">
        <v>1753</v>
      </c>
      <c r="L354" s="138" t="s">
        <v>158</v>
      </c>
      <c r="M354" s="138" t="s">
        <v>2927</v>
      </c>
      <c r="N354" s="138" t="s">
        <v>2928</v>
      </c>
      <c r="O354" s="138" t="s">
        <v>2929</v>
      </c>
      <c r="P354" s="138" t="s">
        <v>2930</v>
      </c>
      <c r="Q354" s="138" t="s">
        <v>141</v>
      </c>
      <c r="R354" s="141">
        <v>46023.0</v>
      </c>
      <c r="S354" s="141">
        <v>46387.0</v>
      </c>
      <c r="T354" s="142" t="s">
        <v>2931</v>
      </c>
      <c r="U354" s="175" t="s">
        <v>140</v>
      </c>
      <c r="V354" s="148"/>
      <c r="W354" s="148"/>
      <c r="X354" s="143"/>
      <c r="Y354" s="148"/>
    </row>
    <row r="355" ht="33.0" customHeight="1">
      <c r="A355" s="138">
        <v>354.0</v>
      </c>
      <c r="B355" s="138">
        <v>5946.0</v>
      </c>
      <c r="C355" s="138" t="s">
        <v>42</v>
      </c>
      <c r="D355" s="138" t="s">
        <v>2932</v>
      </c>
      <c r="E355" s="138" t="s">
        <v>2933</v>
      </c>
      <c r="F355" s="138" t="s">
        <v>2934</v>
      </c>
      <c r="G355" s="140" t="s">
        <v>2935</v>
      </c>
      <c r="H355" s="138" t="s">
        <v>131</v>
      </c>
      <c r="I355" s="138" t="s">
        <v>105</v>
      </c>
      <c r="J355" s="138">
        <v>17.0</v>
      </c>
      <c r="K355" s="138" t="s">
        <v>2936</v>
      </c>
      <c r="L355" s="138" t="s">
        <v>133</v>
      </c>
      <c r="M355" s="142" t="s">
        <v>2937</v>
      </c>
      <c r="N355" s="138">
        <v>9.058139502E9</v>
      </c>
      <c r="O355" s="138" t="s">
        <v>2938</v>
      </c>
      <c r="P355" s="138" t="s">
        <v>2939</v>
      </c>
      <c r="Q355" s="138" t="s">
        <v>141</v>
      </c>
      <c r="R355" s="141">
        <v>46023.0</v>
      </c>
      <c r="S355" s="141">
        <v>46387.0</v>
      </c>
      <c r="T355" s="138" t="s">
        <v>2940</v>
      </c>
      <c r="U355" s="179"/>
      <c r="V355" s="148"/>
      <c r="W355" s="148"/>
      <c r="X355" s="143"/>
      <c r="Y355" s="148"/>
    </row>
    <row r="356" ht="33.0" customHeight="1">
      <c r="A356" s="138">
        <v>355.0</v>
      </c>
      <c r="B356" s="138">
        <v>2296.0</v>
      </c>
      <c r="C356" s="138" t="s">
        <v>42</v>
      </c>
      <c r="D356" s="138" t="s">
        <v>2932</v>
      </c>
      <c r="E356" s="138" t="s">
        <v>2941</v>
      </c>
      <c r="F356" s="138" t="s">
        <v>2942</v>
      </c>
      <c r="G356" s="140" t="s">
        <v>2943</v>
      </c>
      <c r="H356" s="138" t="s">
        <v>131</v>
      </c>
      <c r="I356" s="138" t="s">
        <v>105</v>
      </c>
      <c r="J356" s="138">
        <v>10.0</v>
      </c>
      <c r="K356" s="138" t="s">
        <v>2944</v>
      </c>
      <c r="L356" s="138" t="s">
        <v>158</v>
      </c>
      <c r="M356" s="138" t="s">
        <v>2945</v>
      </c>
      <c r="N356" s="138">
        <v>9.169798145E9</v>
      </c>
      <c r="O356" s="138" t="s">
        <v>2946</v>
      </c>
      <c r="P356" s="138" t="s">
        <v>2947</v>
      </c>
      <c r="Q356" s="138" t="s">
        <v>141</v>
      </c>
      <c r="R356" s="141">
        <v>46023.0</v>
      </c>
      <c r="S356" s="141">
        <v>46387.0</v>
      </c>
      <c r="T356" s="142" t="s">
        <v>2948</v>
      </c>
      <c r="U356" s="179"/>
      <c r="V356" s="148"/>
      <c r="W356" s="143"/>
      <c r="X356" s="143"/>
      <c r="Y356" s="143"/>
    </row>
    <row r="357" ht="33.0" customHeight="1">
      <c r="A357" s="138">
        <v>356.0</v>
      </c>
      <c r="B357" s="138">
        <v>32922.0</v>
      </c>
      <c r="C357" s="138" t="s">
        <v>44</v>
      </c>
      <c r="D357" s="138" t="s">
        <v>2949</v>
      </c>
      <c r="E357" s="138" t="s">
        <v>2950</v>
      </c>
      <c r="F357" s="138" t="s">
        <v>2950</v>
      </c>
      <c r="G357" s="140" t="s">
        <v>2951</v>
      </c>
      <c r="H357" s="138" t="s">
        <v>131</v>
      </c>
      <c r="I357" s="138" t="s">
        <v>1890</v>
      </c>
      <c r="J357" s="138">
        <v>10.0</v>
      </c>
      <c r="K357" s="138" t="s">
        <v>141</v>
      </c>
      <c r="L357" s="138" t="s">
        <v>133</v>
      </c>
      <c r="M357" s="138" t="s">
        <v>2952</v>
      </c>
      <c r="N357" s="138" t="s">
        <v>2953</v>
      </c>
      <c r="O357" s="138" t="s">
        <v>2954</v>
      </c>
      <c r="P357" s="138" t="s">
        <v>2955</v>
      </c>
      <c r="Q357" s="138" t="s">
        <v>141</v>
      </c>
      <c r="R357" s="141">
        <v>46023.0</v>
      </c>
      <c r="S357" s="141">
        <v>46387.0</v>
      </c>
      <c r="T357" s="138" t="s">
        <v>2956</v>
      </c>
      <c r="U357" s="175" t="s">
        <v>140</v>
      </c>
      <c r="V357" s="173" t="s">
        <v>2106</v>
      </c>
      <c r="W357" s="173" t="s">
        <v>2957</v>
      </c>
      <c r="X357" s="143"/>
      <c r="Y357" s="173"/>
    </row>
    <row r="358" ht="33.0" customHeight="1">
      <c r="A358" s="138">
        <v>357.0</v>
      </c>
      <c r="B358" s="138">
        <v>44596.0</v>
      </c>
      <c r="C358" s="138" t="s">
        <v>44</v>
      </c>
      <c r="D358" s="138" t="s">
        <v>2958</v>
      </c>
      <c r="E358" s="138" t="s">
        <v>2959</v>
      </c>
      <c r="F358" s="138" t="s">
        <v>2960</v>
      </c>
      <c r="G358" s="140" t="s">
        <v>2961</v>
      </c>
      <c r="H358" s="138" t="s">
        <v>131</v>
      </c>
      <c r="I358" s="138" t="s">
        <v>2962</v>
      </c>
      <c r="J358" s="138">
        <v>25.0</v>
      </c>
      <c r="K358" s="138" t="s">
        <v>141</v>
      </c>
      <c r="L358" s="138" t="s">
        <v>141</v>
      </c>
      <c r="M358" s="138" t="s">
        <v>2963</v>
      </c>
      <c r="N358" s="138" t="s">
        <v>2964</v>
      </c>
      <c r="O358" s="138" t="s">
        <v>2965</v>
      </c>
      <c r="P358" s="138" t="s">
        <v>2966</v>
      </c>
      <c r="Q358" s="138" t="s">
        <v>141</v>
      </c>
      <c r="R358" s="141">
        <v>46023.0</v>
      </c>
      <c r="S358" s="141">
        <v>46387.0</v>
      </c>
      <c r="T358" s="138" t="s">
        <v>2967</v>
      </c>
      <c r="U358" s="175" t="s">
        <v>140</v>
      </c>
      <c r="V358" s="173" t="s">
        <v>241</v>
      </c>
      <c r="W358" s="173" t="s">
        <v>2968</v>
      </c>
      <c r="X358" s="143"/>
      <c r="Y358" s="173"/>
    </row>
    <row r="359" ht="33.0" customHeight="1">
      <c r="A359" s="138">
        <v>358.0</v>
      </c>
      <c r="B359" s="143"/>
      <c r="C359" s="138" t="s">
        <v>44</v>
      </c>
      <c r="D359" s="138" t="s">
        <v>2958</v>
      </c>
      <c r="E359" s="138" t="s">
        <v>2959</v>
      </c>
      <c r="F359" s="138" t="s">
        <v>2969</v>
      </c>
      <c r="G359" s="140" t="s">
        <v>2970</v>
      </c>
      <c r="H359" s="138" t="s">
        <v>131</v>
      </c>
      <c r="I359" s="138" t="s">
        <v>105</v>
      </c>
      <c r="J359" s="138">
        <v>15.0</v>
      </c>
      <c r="K359" s="138" t="s">
        <v>141</v>
      </c>
      <c r="L359" s="138" t="s">
        <v>141</v>
      </c>
      <c r="M359" s="138" t="s">
        <v>2971</v>
      </c>
      <c r="N359" s="138" t="s">
        <v>2972</v>
      </c>
      <c r="O359" s="138" t="s">
        <v>2973</v>
      </c>
      <c r="P359" s="138" t="s">
        <v>2974</v>
      </c>
      <c r="Q359" s="138" t="s">
        <v>141</v>
      </c>
      <c r="R359" s="141">
        <v>46141.0</v>
      </c>
      <c r="S359" s="141">
        <v>46387.0</v>
      </c>
      <c r="T359" s="138" t="s">
        <v>2975</v>
      </c>
      <c r="U359" s="175" t="s">
        <v>348</v>
      </c>
      <c r="V359" s="173" t="s">
        <v>141</v>
      </c>
      <c r="W359" s="148"/>
      <c r="X359" s="143"/>
      <c r="Y359" s="173"/>
    </row>
    <row r="360" ht="33.0" customHeight="1">
      <c r="A360" s="138">
        <v>359.0</v>
      </c>
      <c r="B360" s="143"/>
      <c r="C360" s="138" t="s">
        <v>44</v>
      </c>
      <c r="D360" s="138" t="s">
        <v>2976</v>
      </c>
      <c r="E360" s="138" t="s">
        <v>2977</v>
      </c>
      <c r="F360" s="138" t="s">
        <v>2978</v>
      </c>
      <c r="G360" s="140" t="s">
        <v>2979</v>
      </c>
      <c r="H360" s="138" t="s">
        <v>131</v>
      </c>
      <c r="I360" s="138" t="s">
        <v>2962</v>
      </c>
      <c r="J360" s="138">
        <v>25.0</v>
      </c>
      <c r="K360" s="138" t="s">
        <v>141</v>
      </c>
      <c r="L360" s="138" t="s">
        <v>141</v>
      </c>
      <c r="M360" s="138" t="s">
        <v>2980</v>
      </c>
      <c r="N360" s="145"/>
      <c r="O360" s="145"/>
      <c r="P360" s="138" t="s">
        <v>141</v>
      </c>
      <c r="Q360" s="145"/>
      <c r="R360" s="141">
        <v>46023.0</v>
      </c>
      <c r="S360" s="141">
        <v>46387.0</v>
      </c>
      <c r="T360" s="138" t="s">
        <v>2981</v>
      </c>
      <c r="U360" s="175" t="s">
        <v>140</v>
      </c>
      <c r="V360" s="173" t="s">
        <v>141</v>
      </c>
      <c r="W360" s="148"/>
      <c r="X360" s="143"/>
      <c r="Y360" s="173"/>
    </row>
    <row r="361" ht="33.0" customHeight="1">
      <c r="A361" s="138">
        <v>360.0</v>
      </c>
      <c r="B361" s="138">
        <v>23634.0</v>
      </c>
      <c r="C361" s="138" t="s">
        <v>44</v>
      </c>
      <c r="D361" s="138" t="s">
        <v>2976</v>
      </c>
      <c r="E361" s="138" t="s">
        <v>2982</v>
      </c>
      <c r="F361" s="138" t="s">
        <v>2983</v>
      </c>
      <c r="G361" s="140" t="s">
        <v>2984</v>
      </c>
      <c r="H361" s="138" t="s">
        <v>131</v>
      </c>
      <c r="I361" s="138" t="s">
        <v>76</v>
      </c>
      <c r="J361" s="138">
        <v>10.0</v>
      </c>
      <c r="K361" s="138" t="s">
        <v>141</v>
      </c>
      <c r="L361" s="138" t="s">
        <v>141</v>
      </c>
      <c r="M361" s="142" t="s">
        <v>2985</v>
      </c>
      <c r="N361" s="138" t="s">
        <v>2986</v>
      </c>
      <c r="O361" s="138" t="s">
        <v>2987</v>
      </c>
      <c r="P361" s="138" t="s">
        <v>141</v>
      </c>
      <c r="Q361" s="138" t="s">
        <v>2988</v>
      </c>
      <c r="R361" s="141">
        <v>46023.0</v>
      </c>
      <c r="S361" s="141">
        <v>46387.0</v>
      </c>
      <c r="T361" s="138" t="s">
        <v>2989</v>
      </c>
      <c r="U361" s="175" t="s">
        <v>140</v>
      </c>
      <c r="V361" s="173" t="s">
        <v>141</v>
      </c>
      <c r="W361" s="148"/>
      <c r="X361" s="143"/>
      <c r="Y361" s="173"/>
    </row>
    <row r="362" ht="33.0" customHeight="1">
      <c r="A362" s="138">
        <v>361.0</v>
      </c>
      <c r="B362" s="138">
        <v>594.0</v>
      </c>
      <c r="C362" s="138" t="s">
        <v>44</v>
      </c>
      <c r="D362" s="138" t="s">
        <v>2990</v>
      </c>
      <c r="E362" s="138" t="s">
        <v>2991</v>
      </c>
      <c r="F362" s="138" t="s">
        <v>2992</v>
      </c>
      <c r="G362" s="140" t="s">
        <v>2993</v>
      </c>
      <c r="H362" s="138" t="s">
        <v>131</v>
      </c>
      <c r="I362" s="138" t="s">
        <v>1890</v>
      </c>
      <c r="J362" s="138">
        <v>10.0</v>
      </c>
      <c r="K362" s="138" t="s">
        <v>141</v>
      </c>
      <c r="L362" s="138" t="s">
        <v>141</v>
      </c>
      <c r="M362" s="142" t="s">
        <v>2994</v>
      </c>
      <c r="N362" s="138" t="s">
        <v>2995</v>
      </c>
      <c r="O362" s="138" t="s">
        <v>2996</v>
      </c>
      <c r="P362" s="138" t="s">
        <v>141</v>
      </c>
      <c r="Q362" s="145"/>
      <c r="R362" s="141">
        <v>46041.0</v>
      </c>
      <c r="S362" s="141">
        <v>46387.0</v>
      </c>
      <c r="T362" s="138" t="s">
        <v>2997</v>
      </c>
      <c r="U362" s="175" t="s">
        <v>140</v>
      </c>
      <c r="V362" s="148"/>
      <c r="W362" s="173" t="s">
        <v>2998</v>
      </c>
      <c r="X362" s="143"/>
      <c r="Y362" s="173"/>
    </row>
    <row r="363" ht="33.0" customHeight="1">
      <c r="A363" s="138">
        <v>362.0</v>
      </c>
      <c r="B363" s="138">
        <v>6000.0</v>
      </c>
      <c r="C363" s="138" t="s">
        <v>44</v>
      </c>
      <c r="D363" s="138" t="s">
        <v>2990</v>
      </c>
      <c r="E363" s="138" t="s">
        <v>2999</v>
      </c>
      <c r="F363" s="138" t="s">
        <v>3000</v>
      </c>
      <c r="G363" s="140" t="s">
        <v>3001</v>
      </c>
      <c r="H363" s="138" t="s">
        <v>131</v>
      </c>
      <c r="I363" s="138" t="s">
        <v>1890</v>
      </c>
      <c r="J363" s="138">
        <v>25.0</v>
      </c>
      <c r="K363" s="138" t="s">
        <v>274</v>
      </c>
      <c r="L363" s="138" t="s">
        <v>158</v>
      </c>
      <c r="M363" s="142" t="s">
        <v>3002</v>
      </c>
      <c r="N363" s="138" t="s">
        <v>3003</v>
      </c>
      <c r="O363" s="138" t="s">
        <v>3004</v>
      </c>
      <c r="P363" s="138" t="s">
        <v>3005</v>
      </c>
      <c r="Q363" s="138" t="s">
        <v>141</v>
      </c>
      <c r="R363" s="141">
        <v>46023.0</v>
      </c>
      <c r="S363" s="141">
        <v>46387.0</v>
      </c>
      <c r="T363" s="142" t="s">
        <v>3006</v>
      </c>
      <c r="U363" s="175" t="s">
        <v>140</v>
      </c>
      <c r="V363" s="148"/>
      <c r="W363" s="148"/>
      <c r="X363" s="143"/>
      <c r="Y363" s="173"/>
    </row>
    <row r="364" ht="33.0" customHeight="1">
      <c r="A364" s="138">
        <v>363.0</v>
      </c>
      <c r="B364" s="138">
        <v>5763.0</v>
      </c>
      <c r="C364" s="138" t="s">
        <v>44</v>
      </c>
      <c r="D364" s="138" t="s">
        <v>2990</v>
      </c>
      <c r="E364" s="138" t="s">
        <v>3007</v>
      </c>
      <c r="F364" s="138" t="s">
        <v>3008</v>
      </c>
      <c r="G364" s="140" t="s">
        <v>3009</v>
      </c>
      <c r="H364" s="138" t="s">
        <v>131</v>
      </c>
      <c r="I364" s="138" t="s">
        <v>1890</v>
      </c>
      <c r="J364" s="138">
        <v>20.0</v>
      </c>
      <c r="K364" s="138" t="s">
        <v>274</v>
      </c>
      <c r="L364" s="138" t="s">
        <v>133</v>
      </c>
      <c r="M364" s="138" t="s">
        <v>3010</v>
      </c>
      <c r="N364" s="138" t="s">
        <v>3011</v>
      </c>
      <c r="O364" s="138" t="s">
        <v>3012</v>
      </c>
      <c r="P364" s="138" t="s">
        <v>3013</v>
      </c>
      <c r="Q364" s="138" t="s">
        <v>141</v>
      </c>
      <c r="R364" s="141">
        <v>46023.0</v>
      </c>
      <c r="S364" s="141">
        <v>46387.0</v>
      </c>
      <c r="T364" s="138" t="s">
        <v>3014</v>
      </c>
      <c r="U364" s="175" t="s">
        <v>140</v>
      </c>
      <c r="V364" s="173" t="s">
        <v>141</v>
      </c>
      <c r="W364" s="148"/>
      <c r="X364" s="143"/>
      <c r="Y364" s="173"/>
    </row>
    <row r="365" ht="33.0" customHeight="1">
      <c r="A365" s="138">
        <v>364.0</v>
      </c>
      <c r="B365" s="138">
        <v>7714.0</v>
      </c>
      <c r="C365" s="138" t="s">
        <v>44</v>
      </c>
      <c r="D365" s="138" t="s">
        <v>2990</v>
      </c>
      <c r="E365" s="138" t="s">
        <v>3015</v>
      </c>
      <c r="F365" s="138" t="s">
        <v>3016</v>
      </c>
      <c r="G365" s="140" t="s">
        <v>3017</v>
      </c>
      <c r="H365" s="138" t="s">
        <v>131</v>
      </c>
      <c r="I365" s="138" t="s">
        <v>1890</v>
      </c>
      <c r="J365" s="138">
        <v>10.0</v>
      </c>
      <c r="K365" s="138" t="s">
        <v>274</v>
      </c>
      <c r="L365" s="138" t="s">
        <v>158</v>
      </c>
      <c r="M365" s="138" t="s">
        <v>3018</v>
      </c>
      <c r="N365" s="138" t="s">
        <v>3019</v>
      </c>
      <c r="O365" s="138" t="s">
        <v>3020</v>
      </c>
      <c r="P365" s="138" t="s">
        <v>3021</v>
      </c>
      <c r="Q365" s="138" t="s">
        <v>141</v>
      </c>
      <c r="R365" s="141">
        <v>46023.0</v>
      </c>
      <c r="S365" s="141">
        <v>46387.0</v>
      </c>
      <c r="T365" s="138" t="s">
        <v>3022</v>
      </c>
      <c r="U365" s="175" t="s">
        <v>140</v>
      </c>
      <c r="V365" s="173" t="s">
        <v>141</v>
      </c>
      <c r="W365" s="148"/>
      <c r="X365" s="143"/>
      <c r="Y365" s="148"/>
    </row>
  </sheetData>
  <dataValidations>
    <dataValidation type="custom" allowBlank="1" showDropDown="1" showErrorMessage="1" sqref="R350:S350">
      <formula1>OR(NOT(ISERROR(DATEVALUE(R350))), AND(ISNUMBER(R350), LEFT(CELL("format", R350))="D"))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hidden="1" min="2" max="2" width="15.13"/>
    <col customWidth="1" min="3" max="5" width="18.88"/>
    <col customWidth="1" min="6" max="7" width="37.63"/>
    <col customWidth="1" min="8" max="8" width="18.88"/>
    <col customWidth="1" hidden="1" min="9" max="9" width="18.88"/>
    <col customWidth="1" min="10" max="10" width="18.88"/>
    <col customWidth="1" hidden="1" min="11" max="17" width="18.88"/>
    <col customWidth="1" min="18" max="19" width="18.88"/>
    <col customWidth="1" hidden="1" min="20" max="20" width="15.13"/>
    <col customWidth="1" hidden="1" min="21" max="21" width="18.25"/>
    <col customWidth="1" hidden="1" min="22" max="25" width="15.13"/>
  </cols>
  <sheetData>
    <row r="1" ht="50.25" customHeight="1">
      <c r="A1" s="135" t="s">
        <v>47</v>
      </c>
      <c r="B1" s="134" t="s">
        <v>120</v>
      </c>
      <c r="C1" s="134" t="s">
        <v>0</v>
      </c>
      <c r="D1" s="135" t="s">
        <v>48</v>
      </c>
      <c r="E1" s="135" t="s">
        <v>121</v>
      </c>
      <c r="F1" s="135" t="s">
        <v>50</v>
      </c>
      <c r="G1" s="134" t="s">
        <v>51</v>
      </c>
      <c r="H1" s="135" t="s">
        <v>52</v>
      </c>
      <c r="I1" s="134" t="s">
        <v>53</v>
      </c>
      <c r="J1" s="134" t="s">
        <v>9</v>
      </c>
      <c r="K1" s="135" t="s">
        <v>54</v>
      </c>
      <c r="L1" s="135" t="s">
        <v>3023</v>
      </c>
      <c r="M1" s="134" t="s">
        <v>123</v>
      </c>
      <c r="N1" s="136" t="s">
        <v>57</v>
      </c>
      <c r="O1" s="136" t="s">
        <v>58</v>
      </c>
      <c r="P1" s="134" t="s">
        <v>59</v>
      </c>
      <c r="Q1" s="135" t="s">
        <v>60</v>
      </c>
      <c r="R1" s="135" t="s">
        <v>61</v>
      </c>
      <c r="S1" s="135" t="s">
        <v>62</v>
      </c>
      <c r="T1" s="135" t="s">
        <v>63</v>
      </c>
      <c r="U1" s="135" t="s">
        <v>124</v>
      </c>
      <c r="V1" s="137" t="s">
        <v>125</v>
      </c>
      <c r="W1" s="135" t="s">
        <v>64</v>
      </c>
      <c r="X1" s="135"/>
      <c r="Y1" s="189"/>
    </row>
    <row r="2" ht="33.0" customHeight="1">
      <c r="A2" s="138">
        <v>1.0</v>
      </c>
      <c r="B2" s="138">
        <v>32062.0</v>
      </c>
      <c r="C2" s="138" t="s">
        <v>14</v>
      </c>
      <c r="D2" s="138" t="s">
        <v>127</v>
      </c>
      <c r="E2" s="138" t="s">
        <v>3024</v>
      </c>
      <c r="F2" s="138" t="s">
        <v>3025</v>
      </c>
      <c r="G2" s="190" t="s">
        <v>3026</v>
      </c>
      <c r="H2" s="138" t="s">
        <v>70</v>
      </c>
      <c r="I2" s="138" t="s">
        <v>141</v>
      </c>
      <c r="J2" s="138">
        <v>5.0</v>
      </c>
      <c r="K2" s="138" t="s">
        <v>169</v>
      </c>
      <c r="L2" s="138" t="s">
        <v>133</v>
      </c>
      <c r="M2" s="138" t="s">
        <v>3027</v>
      </c>
      <c r="N2" s="138" t="s">
        <v>3028</v>
      </c>
      <c r="O2" s="138" t="s">
        <v>3029</v>
      </c>
      <c r="P2" s="145"/>
      <c r="Q2" s="138" t="s">
        <v>3030</v>
      </c>
      <c r="R2" s="141">
        <v>46023.0</v>
      </c>
      <c r="S2" s="141">
        <v>46387.0</v>
      </c>
      <c r="T2" s="138" t="s">
        <v>3031</v>
      </c>
      <c r="U2" s="142" t="s">
        <v>140</v>
      </c>
      <c r="V2" s="191" t="s">
        <v>141</v>
      </c>
      <c r="W2" s="138" t="s">
        <v>3032</v>
      </c>
      <c r="X2" s="138" t="s">
        <v>142</v>
      </c>
      <c r="Y2" s="191"/>
    </row>
    <row r="3" ht="33.0" customHeight="1">
      <c r="A3" s="138">
        <v>2.0</v>
      </c>
      <c r="B3" s="139" t="s">
        <v>3033</v>
      </c>
      <c r="C3" s="138" t="s">
        <v>14</v>
      </c>
      <c r="D3" s="138" t="s">
        <v>127</v>
      </c>
      <c r="E3" s="138" t="s">
        <v>3034</v>
      </c>
      <c r="F3" s="138" t="s">
        <v>3035</v>
      </c>
      <c r="G3" s="190" t="s">
        <v>3036</v>
      </c>
      <c r="H3" s="138" t="s">
        <v>70</v>
      </c>
      <c r="I3" s="138" t="s">
        <v>141</v>
      </c>
      <c r="J3" s="138">
        <v>10.0</v>
      </c>
      <c r="K3" s="146"/>
      <c r="L3" s="146"/>
      <c r="M3" s="138" t="s">
        <v>3037</v>
      </c>
      <c r="N3" s="138" t="s">
        <v>3038</v>
      </c>
      <c r="O3" s="138" t="s">
        <v>3039</v>
      </c>
      <c r="P3" s="145"/>
      <c r="Q3" s="138" t="s">
        <v>3040</v>
      </c>
      <c r="R3" s="141">
        <v>46023.0</v>
      </c>
      <c r="S3" s="141">
        <v>46387.0</v>
      </c>
      <c r="T3" s="138" t="s">
        <v>3041</v>
      </c>
      <c r="U3" s="142" t="s">
        <v>140</v>
      </c>
      <c r="V3" s="191" t="s">
        <v>141</v>
      </c>
      <c r="W3" s="146"/>
      <c r="X3" s="138" t="s">
        <v>142</v>
      </c>
      <c r="Y3" s="191"/>
    </row>
    <row r="4" ht="33.0" customHeight="1">
      <c r="A4" s="138">
        <v>3.0</v>
      </c>
      <c r="B4" s="139" t="s">
        <v>3042</v>
      </c>
      <c r="C4" s="138" t="s">
        <v>14</v>
      </c>
      <c r="D4" s="138" t="s">
        <v>127</v>
      </c>
      <c r="E4" s="138" t="s">
        <v>3043</v>
      </c>
      <c r="F4" s="138" t="s">
        <v>3044</v>
      </c>
      <c r="G4" s="190" t="s">
        <v>3045</v>
      </c>
      <c r="H4" s="138" t="s">
        <v>70</v>
      </c>
      <c r="I4" s="138" t="s">
        <v>141</v>
      </c>
      <c r="J4" s="138">
        <v>15.0</v>
      </c>
      <c r="K4" s="138" t="s">
        <v>3046</v>
      </c>
      <c r="L4" s="138" t="s">
        <v>133</v>
      </c>
      <c r="M4" s="138" t="s">
        <v>3047</v>
      </c>
      <c r="N4" s="138" t="s">
        <v>3048</v>
      </c>
      <c r="O4" s="138" t="s">
        <v>3049</v>
      </c>
      <c r="P4" s="145"/>
      <c r="Q4" s="138" t="s">
        <v>3050</v>
      </c>
      <c r="R4" s="141">
        <v>46023.0</v>
      </c>
      <c r="S4" s="141">
        <v>46387.0</v>
      </c>
      <c r="T4" s="138" t="s">
        <v>3051</v>
      </c>
      <c r="U4" s="142" t="s">
        <v>140</v>
      </c>
      <c r="V4" s="191" t="s">
        <v>141</v>
      </c>
      <c r="W4" s="146"/>
      <c r="X4" s="138" t="s">
        <v>142</v>
      </c>
      <c r="Y4" s="191"/>
    </row>
    <row r="5" ht="33.0" customHeight="1">
      <c r="A5" s="138">
        <v>4.0</v>
      </c>
      <c r="B5" s="139" t="s">
        <v>3052</v>
      </c>
      <c r="C5" s="138" t="s">
        <v>14</v>
      </c>
      <c r="D5" s="138" t="s">
        <v>127</v>
      </c>
      <c r="E5" s="138" t="s">
        <v>3043</v>
      </c>
      <c r="F5" s="138" t="s">
        <v>3053</v>
      </c>
      <c r="G5" s="190" t="s">
        <v>3054</v>
      </c>
      <c r="H5" s="138" t="s">
        <v>70</v>
      </c>
      <c r="I5" s="138" t="s">
        <v>141</v>
      </c>
      <c r="J5" s="138">
        <v>29.0</v>
      </c>
      <c r="K5" s="138" t="s">
        <v>3055</v>
      </c>
      <c r="L5" s="138" t="s">
        <v>133</v>
      </c>
      <c r="M5" s="138" t="s">
        <v>3056</v>
      </c>
      <c r="N5" s="138" t="s">
        <v>3057</v>
      </c>
      <c r="O5" s="138" t="s">
        <v>3058</v>
      </c>
      <c r="P5" s="145"/>
      <c r="Q5" s="138" t="s">
        <v>3059</v>
      </c>
      <c r="R5" s="141">
        <v>46023.0</v>
      </c>
      <c r="S5" s="141">
        <v>46387.0</v>
      </c>
      <c r="T5" s="138" t="s">
        <v>3060</v>
      </c>
      <c r="U5" s="142" t="s">
        <v>140</v>
      </c>
      <c r="V5" s="191" t="s">
        <v>141</v>
      </c>
      <c r="W5" s="146"/>
      <c r="X5" s="138" t="s">
        <v>142</v>
      </c>
      <c r="Y5" s="191"/>
    </row>
    <row r="6" ht="33.0" customHeight="1">
      <c r="A6" s="138">
        <v>5.0</v>
      </c>
      <c r="B6" s="139" t="s">
        <v>3061</v>
      </c>
      <c r="C6" s="138" t="s">
        <v>14</v>
      </c>
      <c r="D6" s="138" t="s">
        <v>127</v>
      </c>
      <c r="E6" s="138" t="s">
        <v>3062</v>
      </c>
      <c r="F6" s="138" t="s">
        <v>3063</v>
      </c>
      <c r="G6" s="190" t="s">
        <v>3064</v>
      </c>
      <c r="H6" s="138" t="s">
        <v>70</v>
      </c>
      <c r="I6" s="138" t="s">
        <v>141</v>
      </c>
      <c r="J6" s="138">
        <v>27.0</v>
      </c>
      <c r="K6" s="138" t="s">
        <v>3065</v>
      </c>
      <c r="L6" s="138" t="s">
        <v>133</v>
      </c>
      <c r="M6" s="138" t="s">
        <v>3066</v>
      </c>
      <c r="N6" s="138" t="s">
        <v>3067</v>
      </c>
      <c r="O6" s="138" t="s">
        <v>3068</v>
      </c>
      <c r="P6" s="145"/>
      <c r="Q6" s="138" t="s">
        <v>3069</v>
      </c>
      <c r="R6" s="141">
        <v>46023.0</v>
      </c>
      <c r="S6" s="141">
        <v>46387.0</v>
      </c>
      <c r="T6" s="138" t="s">
        <v>3070</v>
      </c>
      <c r="U6" s="142" t="s">
        <v>140</v>
      </c>
      <c r="V6" s="191" t="s">
        <v>141</v>
      </c>
      <c r="W6" s="146"/>
      <c r="X6" s="138" t="s">
        <v>142</v>
      </c>
      <c r="Y6" s="191"/>
    </row>
    <row r="7" ht="33.0" customHeight="1">
      <c r="A7" s="138">
        <v>6.0</v>
      </c>
      <c r="B7" s="139" t="s">
        <v>3071</v>
      </c>
      <c r="C7" s="138" t="s">
        <v>14</v>
      </c>
      <c r="D7" s="138" t="s">
        <v>127</v>
      </c>
      <c r="E7" s="138" t="s">
        <v>3072</v>
      </c>
      <c r="F7" s="138" t="s">
        <v>3073</v>
      </c>
      <c r="G7" s="190" t="s">
        <v>3074</v>
      </c>
      <c r="H7" s="138" t="s">
        <v>70</v>
      </c>
      <c r="I7" s="138" t="s">
        <v>141</v>
      </c>
      <c r="J7" s="138">
        <v>10.0</v>
      </c>
      <c r="K7" s="138" t="s">
        <v>3075</v>
      </c>
      <c r="L7" s="138" t="s">
        <v>133</v>
      </c>
      <c r="M7" s="138" t="s">
        <v>3076</v>
      </c>
      <c r="N7" s="138" t="s">
        <v>3077</v>
      </c>
      <c r="O7" s="138" t="s">
        <v>3078</v>
      </c>
      <c r="P7" s="145"/>
      <c r="Q7" s="138" t="s">
        <v>3079</v>
      </c>
      <c r="R7" s="141">
        <v>46023.0</v>
      </c>
      <c r="S7" s="141">
        <v>46387.0</v>
      </c>
      <c r="T7" s="138" t="s">
        <v>3080</v>
      </c>
      <c r="U7" s="142" t="s">
        <v>140</v>
      </c>
      <c r="V7" s="191" t="s">
        <v>141</v>
      </c>
      <c r="W7" s="146"/>
      <c r="X7" s="138" t="s">
        <v>142</v>
      </c>
      <c r="Y7" s="191"/>
    </row>
    <row r="8" ht="33.0" customHeight="1">
      <c r="A8" s="138">
        <v>7.0</v>
      </c>
      <c r="B8" s="139" t="s">
        <v>3081</v>
      </c>
      <c r="C8" s="138" t="s">
        <v>14</v>
      </c>
      <c r="D8" s="138" t="s">
        <v>127</v>
      </c>
      <c r="E8" s="138" t="s">
        <v>3082</v>
      </c>
      <c r="F8" s="138" t="s">
        <v>3083</v>
      </c>
      <c r="G8" s="190" t="s">
        <v>3084</v>
      </c>
      <c r="H8" s="138" t="s">
        <v>70</v>
      </c>
      <c r="I8" s="138" t="s">
        <v>141</v>
      </c>
      <c r="J8" s="138">
        <v>10.0</v>
      </c>
      <c r="K8" s="138" t="s">
        <v>3085</v>
      </c>
      <c r="L8" s="138" t="s">
        <v>133</v>
      </c>
      <c r="M8" s="138" t="s">
        <v>3086</v>
      </c>
      <c r="N8" s="138" t="s">
        <v>3087</v>
      </c>
      <c r="O8" s="138" t="s">
        <v>3088</v>
      </c>
      <c r="P8" s="145"/>
      <c r="Q8" s="138" t="s">
        <v>3059</v>
      </c>
      <c r="R8" s="141">
        <v>46023.0</v>
      </c>
      <c r="S8" s="141">
        <v>46387.0</v>
      </c>
      <c r="T8" s="138" t="s">
        <v>3089</v>
      </c>
      <c r="U8" s="142" t="s">
        <v>140</v>
      </c>
      <c r="V8" s="191" t="s">
        <v>141</v>
      </c>
      <c r="W8" s="146"/>
      <c r="X8" s="138" t="s">
        <v>142</v>
      </c>
      <c r="Y8" s="191"/>
    </row>
    <row r="9" ht="33.0" customHeight="1">
      <c r="A9" s="138">
        <v>8.0</v>
      </c>
      <c r="B9" s="139"/>
      <c r="C9" s="138" t="s">
        <v>14</v>
      </c>
      <c r="D9" s="138" t="s">
        <v>165</v>
      </c>
      <c r="E9" s="138" t="s">
        <v>3090</v>
      </c>
      <c r="F9" s="138" t="s">
        <v>3091</v>
      </c>
      <c r="G9" s="190" t="s">
        <v>3092</v>
      </c>
      <c r="H9" s="138" t="s">
        <v>70</v>
      </c>
      <c r="I9" s="138" t="s">
        <v>141</v>
      </c>
      <c r="J9" s="138">
        <v>16.0</v>
      </c>
      <c r="K9" s="138" t="s">
        <v>3093</v>
      </c>
      <c r="L9" s="138" t="s">
        <v>133</v>
      </c>
      <c r="M9" s="138" t="s">
        <v>3094</v>
      </c>
      <c r="N9" s="138">
        <v>9.668177962E9</v>
      </c>
      <c r="O9" s="138" t="s">
        <v>3095</v>
      </c>
      <c r="P9" s="138" t="s">
        <v>211</v>
      </c>
      <c r="Q9" s="138" t="s">
        <v>3096</v>
      </c>
      <c r="R9" s="141">
        <v>46091.0</v>
      </c>
      <c r="S9" s="141">
        <v>46023.0</v>
      </c>
      <c r="T9" s="138" t="s">
        <v>3097</v>
      </c>
      <c r="U9" s="142" t="s">
        <v>3098</v>
      </c>
      <c r="V9" s="191" t="s">
        <v>2106</v>
      </c>
      <c r="W9" s="138" t="s">
        <v>3099</v>
      </c>
      <c r="X9" s="138"/>
      <c r="Y9" s="191"/>
    </row>
    <row r="10" ht="33.0" customHeight="1">
      <c r="A10" s="138">
        <v>9.0</v>
      </c>
      <c r="B10" s="139" t="s">
        <v>3100</v>
      </c>
      <c r="C10" s="138" t="s">
        <v>14</v>
      </c>
      <c r="D10" s="138" t="s">
        <v>165</v>
      </c>
      <c r="E10" s="138" t="s">
        <v>3101</v>
      </c>
      <c r="F10" s="138" t="s">
        <v>3102</v>
      </c>
      <c r="G10" s="190" t="s">
        <v>3103</v>
      </c>
      <c r="H10" s="138" t="s">
        <v>70</v>
      </c>
      <c r="I10" s="138" t="s">
        <v>141</v>
      </c>
      <c r="J10" s="138">
        <v>10.0</v>
      </c>
      <c r="K10" s="138" t="s">
        <v>3104</v>
      </c>
      <c r="L10" s="138" t="s">
        <v>133</v>
      </c>
      <c r="M10" s="138" t="s">
        <v>3105</v>
      </c>
      <c r="N10" s="138" t="s">
        <v>3106</v>
      </c>
      <c r="O10" s="138" t="s">
        <v>3107</v>
      </c>
      <c r="P10" s="145"/>
      <c r="Q10" s="138" t="s">
        <v>3108</v>
      </c>
      <c r="R10" s="141">
        <v>46023.0</v>
      </c>
      <c r="S10" s="141">
        <v>46387.0</v>
      </c>
      <c r="T10" s="138" t="s">
        <v>3109</v>
      </c>
      <c r="U10" s="142" t="s">
        <v>140</v>
      </c>
      <c r="V10" s="191" t="s">
        <v>141</v>
      </c>
      <c r="W10" s="146"/>
      <c r="X10" s="138" t="s">
        <v>142</v>
      </c>
      <c r="Y10" s="191"/>
    </row>
    <row r="11" ht="33.0" customHeight="1">
      <c r="A11" s="138">
        <v>10.0</v>
      </c>
      <c r="B11" s="139" t="s">
        <v>3110</v>
      </c>
      <c r="C11" s="138" t="s">
        <v>14</v>
      </c>
      <c r="D11" s="138" t="s">
        <v>165</v>
      </c>
      <c r="E11" s="138" t="s">
        <v>408</v>
      </c>
      <c r="F11" s="138" t="s">
        <v>3111</v>
      </c>
      <c r="G11" s="190" t="s">
        <v>3112</v>
      </c>
      <c r="H11" s="138" t="s">
        <v>70</v>
      </c>
      <c r="I11" s="138" t="s">
        <v>141</v>
      </c>
      <c r="J11" s="138">
        <v>8.0</v>
      </c>
      <c r="K11" s="138" t="s">
        <v>3113</v>
      </c>
      <c r="L11" s="138" t="s">
        <v>133</v>
      </c>
      <c r="M11" s="138" t="s">
        <v>3114</v>
      </c>
      <c r="N11" s="138">
        <v>9.262574986E9</v>
      </c>
      <c r="O11" s="138" t="s">
        <v>3115</v>
      </c>
      <c r="P11" s="145"/>
      <c r="Q11" s="138" t="s">
        <v>3116</v>
      </c>
      <c r="R11" s="141">
        <v>46023.0</v>
      </c>
      <c r="S11" s="141">
        <v>46387.0</v>
      </c>
      <c r="T11" s="138" t="s">
        <v>3117</v>
      </c>
      <c r="U11" s="142" t="s">
        <v>140</v>
      </c>
      <c r="V11" s="191" t="s">
        <v>141</v>
      </c>
      <c r="W11" s="146"/>
      <c r="X11" s="138" t="s">
        <v>142</v>
      </c>
      <c r="Y11" s="191"/>
    </row>
    <row r="12" ht="33.0" customHeight="1">
      <c r="A12" s="138">
        <v>11.0</v>
      </c>
      <c r="B12" s="139" t="s">
        <v>3118</v>
      </c>
      <c r="C12" s="138" t="s">
        <v>14</v>
      </c>
      <c r="D12" s="138" t="s">
        <v>165</v>
      </c>
      <c r="E12" s="138" t="s">
        <v>408</v>
      </c>
      <c r="F12" s="138" t="s">
        <v>3119</v>
      </c>
      <c r="G12" s="190" t="s">
        <v>3120</v>
      </c>
      <c r="H12" s="138" t="s">
        <v>70</v>
      </c>
      <c r="I12" s="138" t="s">
        <v>141</v>
      </c>
      <c r="J12" s="138">
        <v>18.0</v>
      </c>
      <c r="K12" s="138" t="s">
        <v>3121</v>
      </c>
      <c r="L12" s="138" t="s">
        <v>133</v>
      </c>
      <c r="M12" s="138" t="s">
        <v>3122</v>
      </c>
      <c r="N12" s="139" t="s">
        <v>3123</v>
      </c>
      <c r="O12" s="138" t="s">
        <v>3124</v>
      </c>
      <c r="P12" s="145"/>
      <c r="Q12" s="138" t="s">
        <v>3116</v>
      </c>
      <c r="R12" s="141">
        <v>46023.0</v>
      </c>
      <c r="S12" s="141">
        <v>46387.0</v>
      </c>
      <c r="T12" s="138" t="s">
        <v>3125</v>
      </c>
      <c r="U12" s="142" t="s">
        <v>140</v>
      </c>
      <c r="V12" s="191" t="s">
        <v>141</v>
      </c>
      <c r="W12" s="146"/>
      <c r="X12" s="138" t="s">
        <v>142</v>
      </c>
      <c r="Y12" s="191"/>
    </row>
    <row r="13" ht="33.0" customHeight="1">
      <c r="A13" s="138">
        <v>12.0</v>
      </c>
      <c r="B13" s="139" t="s">
        <v>3126</v>
      </c>
      <c r="C13" s="138" t="s">
        <v>14</v>
      </c>
      <c r="D13" s="138" t="s">
        <v>165</v>
      </c>
      <c r="E13" s="138" t="s">
        <v>3127</v>
      </c>
      <c r="F13" s="138" t="s">
        <v>3128</v>
      </c>
      <c r="G13" s="190" t="s">
        <v>3129</v>
      </c>
      <c r="H13" s="138" t="s">
        <v>70</v>
      </c>
      <c r="I13" s="138" t="s">
        <v>141</v>
      </c>
      <c r="J13" s="138">
        <v>10.0</v>
      </c>
      <c r="K13" s="138" t="s">
        <v>3130</v>
      </c>
      <c r="L13" s="138" t="s">
        <v>133</v>
      </c>
      <c r="M13" s="138" t="s">
        <v>3131</v>
      </c>
      <c r="N13" s="139" t="s">
        <v>3132</v>
      </c>
      <c r="O13" s="138" t="s">
        <v>3133</v>
      </c>
      <c r="P13" s="145"/>
      <c r="Q13" s="145"/>
      <c r="R13" s="141">
        <v>46023.0</v>
      </c>
      <c r="S13" s="141">
        <v>46387.0</v>
      </c>
      <c r="T13" s="138" t="s">
        <v>3134</v>
      </c>
      <c r="U13" s="142" t="s">
        <v>140</v>
      </c>
      <c r="V13" s="191" t="s">
        <v>141</v>
      </c>
      <c r="W13" s="146"/>
      <c r="X13" s="138" t="s">
        <v>142</v>
      </c>
      <c r="Y13" s="191"/>
    </row>
    <row r="14" ht="33.0" customHeight="1">
      <c r="A14" s="138">
        <v>13.0</v>
      </c>
      <c r="B14" s="139" t="s">
        <v>3135</v>
      </c>
      <c r="C14" s="138" t="s">
        <v>14</v>
      </c>
      <c r="D14" s="138" t="s">
        <v>165</v>
      </c>
      <c r="E14" s="138" t="s">
        <v>186</v>
      </c>
      <c r="F14" s="138" t="s">
        <v>3136</v>
      </c>
      <c r="G14" s="190" t="s">
        <v>3137</v>
      </c>
      <c r="H14" s="138" t="s">
        <v>70</v>
      </c>
      <c r="I14" s="138" t="s">
        <v>141</v>
      </c>
      <c r="J14" s="138">
        <v>10.0</v>
      </c>
      <c r="K14" s="138" t="s">
        <v>3138</v>
      </c>
      <c r="L14" s="138" t="s">
        <v>133</v>
      </c>
      <c r="M14" s="138" t="s">
        <v>3139</v>
      </c>
      <c r="N14" s="139" t="s">
        <v>3140</v>
      </c>
      <c r="O14" s="138" t="s">
        <v>3141</v>
      </c>
      <c r="P14" s="145"/>
      <c r="Q14" s="138" t="s">
        <v>3142</v>
      </c>
      <c r="R14" s="141">
        <v>46023.0</v>
      </c>
      <c r="S14" s="141">
        <v>46387.0</v>
      </c>
      <c r="T14" s="138" t="s">
        <v>3143</v>
      </c>
      <c r="U14" s="142" t="s">
        <v>140</v>
      </c>
      <c r="V14" s="191" t="s">
        <v>141</v>
      </c>
      <c r="W14" s="146"/>
      <c r="X14" s="138" t="s">
        <v>142</v>
      </c>
      <c r="Y14" s="191"/>
    </row>
    <row r="15" ht="33.0" customHeight="1">
      <c r="A15" s="138">
        <v>14.0</v>
      </c>
      <c r="B15" s="139" t="s">
        <v>3144</v>
      </c>
      <c r="C15" s="138" t="s">
        <v>14</v>
      </c>
      <c r="D15" s="138" t="s">
        <v>3145</v>
      </c>
      <c r="E15" s="138" t="s">
        <v>3146</v>
      </c>
      <c r="F15" s="138" t="s">
        <v>3147</v>
      </c>
      <c r="G15" s="190" t="s">
        <v>3148</v>
      </c>
      <c r="H15" s="138" t="s">
        <v>70</v>
      </c>
      <c r="I15" s="138" t="s">
        <v>141</v>
      </c>
      <c r="J15" s="138">
        <v>17.0</v>
      </c>
      <c r="K15" s="138" t="s">
        <v>3149</v>
      </c>
      <c r="L15" s="138" t="s">
        <v>133</v>
      </c>
      <c r="M15" s="138" t="s">
        <v>3150</v>
      </c>
      <c r="N15" s="138" t="s">
        <v>3151</v>
      </c>
      <c r="O15" s="138" t="s">
        <v>3152</v>
      </c>
      <c r="P15" s="138" t="s">
        <v>3153</v>
      </c>
      <c r="Q15" s="138" t="s">
        <v>141</v>
      </c>
      <c r="R15" s="141">
        <v>46023.0</v>
      </c>
      <c r="S15" s="141">
        <v>46387.0</v>
      </c>
      <c r="T15" s="138" t="s">
        <v>3154</v>
      </c>
      <c r="U15" s="142" t="s">
        <v>140</v>
      </c>
      <c r="V15" s="191" t="s">
        <v>141</v>
      </c>
      <c r="W15" s="146"/>
      <c r="X15" s="138" t="s">
        <v>142</v>
      </c>
      <c r="Y15" s="191"/>
    </row>
    <row r="16" ht="33.0" customHeight="1">
      <c r="A16" s="138">
        <v>15.0</v>
      </c>
      <c r="B16" s="139" t="s">
        <v>3155</v>
      </c>
      <c r="C16" s="138" t="s">
        <v>14</v>
      </c>
      <c r="D16" s="138" t="s">
        <v>196</v>
      </c>
      <c r="E16" s="138" t="s">
        <v>3156</v>
      </c>
      <c r="F16" s="138" t="s">
        <v>3157</v>
      </c>
      <c r="G16" s="190" t="s">
        <v>3158</v>
      </c>
      <c r="H16" s="138" t="s">
        <v>70</v>
      </c>
      <c r="I16" s="138" t="s">
        <v>141</v>
      </c>
      <c r="J16" s="138">
        <v>7.0</v>
      </c>
      <c r="K16" s="138" t="s">
        <v>3159</v>
      </c>
      <c r="L16" s="138" t="s">
        <v>158</v>
      </c>
      <c r="M16" s="138" t="s">
        <v>3160</v>
      </c>
      <c r="N16" s="138" t="s">
        <v>3161</v>
      </c>
      <c r="O16" s="138" t="s">
        <v>3162</v>
      </c>
      <c r="P16" s="145"/>
      <c r="Q16" s="138" t="s">
        <v>3163</v>
      </c>
      <c r="R16" s="141">
        <v>46023.0</v>
      </c>
      <c r="S16" s="141">
        <v>46387.0</v>
      </c>
      <c r="T16" s="138" t="s">
        <v>3164</v>
      </c>
      <c r="U16" s="142" t="s">
        <v>140</v>
      </c>
      <c r="V16" s="191" t="s">
        <v>141</v>
      </c>
      <c r="W16" s="146"/>
      <c r="X16" s="138" t="s">
        <v>142</v>
      </c>
      <c r="Y16" s="191"/>
    </row>
    <row r="17" ht="33.0" customHeight="1">
      <c r="A17" s="138">
        <v>16.0</v>
      </c>
      <c r="B17" s="139" t="s">
        <v>3165</v>
      </c>
      <c r="C17" s="138" t="s">
        <v>14</v>
      </c>
      <c r="D17" s="138" t="s">
        <v>196</v>
      </c>
      <c r="E17" s="138" t="s">
        <v>3166</v>
      </c>
      <c r="F17" s="138" t="s">
        <v>3167</v>
      </c>
      <c r="G17" s="190" t="s">
        <v>3168</v>
      </c>
      <c r="H17" s="138" t="s">
        <v>70</v>
      </c>
      <c r="I17" s="138" t="s">
        <v>141</v>
      </c>
      <c r="J17" s="138">
        <v>15.0</v>
      </c>
      <c r="K17" s="138" t="s">
        <v>3149</v>
      </c>
      <c r="L17" s="138" t="s">
        <v>133</v>
      </c>
      <c r="M17" s="138" t="s">
        <v>3169</v>
      </c>
      <c r="N17" s="139" t="s">
        <v>3170</v>
      </c>
      <c r="O17" s="138" t="s">
        <v>3171</v>
      </c>
      <c r="P17" s="145"/>
      <c r="Q17" s="138" t="s">
        <v>3172</v>
      </c>
      <c r="R17" s="141">
        <v>46023.0</v>
      </c>
      <c r="S17" s="141">
        <v>46387.0</v>
      </c>
      <c r="T17" s="138" t="s">
        <v>3173</v>
      </c>
      <c r="U17" s="142" t="s">
        <v>140</v>
      </c>
      <c r="V17" s="191" t="s">
        <v>141</v>
      </c>
      <c r="W17" s="146"/>
      <c r="X17" s="138" t="s">
        <v>142</v>
      </c>
      <c r="Y17" s="191"/>
    </row>
    <row r="18" ht="33.0" customHeight="1">
      <c r="A18" s="138">
        <v>17.0</v>
      </c>
      <c r="B18" s="139" t="s">
        <v>3174</v>
      </c>
      <c r="C18" s="138" t="s">
        <v>14</v>
      </c>
      <c r="D18" s="138" t="s">
        <v>196</v>
      </c>
      <c r="E18" s="138" t="s">
        <v>3175</v>
      </c>
      <c r="F18" s="138" t="s">
        <v>3176</v>
      </c>
      <c r="G18" s="190" t="s">
        <v>3177</v>
      </c>
      <c r="H18" s="138" t="s">
        <v>70</v>
      </c>
      <c r="I18" s="138" t="s">
        <v>141</v>
      </c>
      <c r="J18" s="138">
        <v>10.0</v>
      </c>
      <c r="K18" s="138" t="s">
        <v>3178</v>
      </c>
      <c r="L18" s="138" t="s">
        <v>133</v>
      </c>
      <c r="M18" s="138" t="s">
        <v>3179</v>
      </c>
      <c r="N18" s="138" t="s">
        <v>3180</v>
      </c>
      <c r="O18" s="138" t="s">
        <v>3181</v>
      </c>
      <c r="P18" s="145"/>
      <c r="Q18" s="138" t="s">
        <v>3182</v>
      </c>
      <c r="R18" s="141">
        <v>46023.0</v>
      </c>
      <c r="S18" s="141">
        <v>46387.0</v>
      </c>
      <c r="T18" s="138" t="s">
        <v>3183</v>
      </c>
      <c r="U18" s="142" t="s">
        <v>140</v>
      </c>
      <c r="V18" s="191" t="s">
        <v>141</v>
      </c>
      <c r="W18" s="146"/>
      <c r="X18" s="138" t="s">
        <v>142</v>
      </c>
      <c r="Y18" s="191"/>
    </row>
    <row r="19" ht="33.0" customHeight="1">
      <c r="A19" s="138">
        <v>18.0</v>
      </c>
      <c r="B19" s="139"/>
      <c r="C19" s="138" t="s">
        <v>14</v>
      </c>
      <c r="D19" s="138" t="s">
        <v>196</v>
      </c>
      <c r="E19" s="138" t="s">
        <v>3184</v>
      </c>
      <c r="F19" s="138" t="s">
        <v>3185</v>
      </c>
      <c r="G19" s="190" t="s">
        <v>3186</v>
      </c>
      <c r="H19" s="138" t="s">
        <v>70</v>
      </c>
      <c r="I19" s="138" t="s">
        <v>141</v>
      </c>
      <c r="J19" s="138">
        <v>18.0</v>
      </c>
      <c r="K19" s="138" t="s">
        <v>3187</v>
      </c>
      <c r="L19" s="138"/>
      <c r="M19" s="138" t="s">
        <v>3188</v>
      </c>
      <c r="N19" s="139" t="s">
        <v>3189</v>
      </c>
      <c r="O19" s="138" t="s">
        <v>3190</v>
      </c>
      <c r="P19" s="138" t="s">
        <v>211</v>
      </c>
      <c r="Q19" s="138" t="s">
        <v>3191</v>
      </c>
      <c r="R19" s="141">
        <v>46023.0</v>
      </c>
      <c r="S19" s="141">
        <v>46387.0</v>
      </c>
      <c r="T19" s="138" t="s">
        <v>3192</v>
      </c>
      <c r="U19" s="142" t="s">
        <v>3098</v>
      </c>
      <c r="V19" s="191" t="s">
        <v>241</v>
      </c>
      <c r="W19" s="146"/>
      <c r="X19" s="138"/>
      <c r="Y19" s="191"/>
    </row>
    <row r="20" ht="33.0" customHeight="1">
      <c r="A20" s="138">
        <v>19.0</v>
      </c>
      <c r="B20" s="139" t="s">
        <v>3193</v>
      </c>
      <c r="C20" s="138" t="s">
        <v>14</v>
      </c>
      <c r="D20" s="138" t="s">
        <v>196</v>
      </c>
      <c r="E20" s="138" t="s">
        <v>3194</v>
      </c>
      <c r="F20" s="138" t="s">
        <v>3195</v>
      </c>
      <c r="G20" s="190" t="s">
        <v>3196</v>
      </c>
      <c r="H20" s="138" t="s">
        <v>70</v>
      </c>
      <c r="I20" s="138" t="s">
        <v>141</v>
      </c>
      <c r="J20" s="138">
        <v>14.0</v>
      </c>
      <c r="K20" s="138" t="s">
        <v>3149</v>
      </c>
      <c r="L20" s="138" t="s">
        <v>133</v>
      </c>
      <c r="M20" s="138" t="s">
        <v>3197</v>
      </c>
      <c r="N20" s="139" t="s">
        <v>3198</v>
      </c>
      <c r="O20" s="138" t="s">
        <v>3199</v>
      </c>
      <c r="P20" s="145"/>
      <c r="Q20" s="138" t="s">
        <v>3200</v>
      </c>
      <c r="R20" s="141">
        <v>46023.0</v>
      </c>
      <c r="S20" s="141">
        <v>46387.0</v>
      </c>
      <c r="T20" s="138" t="s">
        <v>3201</v>
      </c>
      <c r="U20" s="142" t="s">
        <v>140</v>
      </c>
      <c r="V20" s="191" t="s">
        <v>141</v>
      </c>
      <c r="W20" s="146"/>
      <c r="X20" s="138" t="s">
        <v>142</v>
      </c>
      <c r="Y20" s="191"/>
    </row>
    <row r="21" ht="33.0" customHeight="1">
      <c r="A21" s="138">
        <v>20.0</v>
      </c>
      <c r="B21" s="139" t="s">
        <v>3202</v>
      </c>
      <c r="C21" s="138" t="s">
        <v>14</v>
      </c>
      <c r="D21" s="138" t="s">
        <v>196</v>
      </c>
      <c r="E21" s="138" t="s">
        <v>3203</v>
      </c>
      <c r="F21" s="138" t="s">
        <v>3204</v>
      </c>
      <c r="G21" s="190" t="s">
        <v>3205</v>
      </c>
      <c r="H21" s="138" t="s">
        <v>70</v>
      </c>
      <c r="I21" s="138" t="s">
        <v>141</v>
      </c>
      <c r="J21" s="138">
        <v>11.0</v>
      </c>
      <c r="K21" s="138" t="s">
        <v>3206</v>
      </c>
      <c r="L21" s="138" t="s">
        <v>133</v>
      </c>
      <c r="M21" s="138" t="s">
        <v>3207</v>
      </c>
      <c r="N21" s="138" t="s">
        <v>3208</v>
      </c>
      <c r="O21" s="138" t="s">
        <v>3209</v>
      </c>
      <c r="P21" s="145"/>
      <c r="Q21" s="138" t="s">
        <v>3210</v>
      </c>
      <c r="R21" s="141">
        <v>46023.0</v>
      </c>
      <c r="S21" s="141">
        <v>46387.0</v>
      </c>
      <c r="T21" s="138" t="s">
        <v>3211</v>
      </c>
      <c r="U21" s="142" t="s">
        <v>140</v>
      </c>
      <c r="V21" s="191" t="s">
        <v>141</v>
      </c>
      <c r="W21" s="146"/>
      <c r="X21" s="138" t="s">
        <v>142</v>
      </c>
      <c r="Y21" s="191"/>
    </row>
    <row r="22" ht="33.0" customHeight="1">
      <c r="A22" s="138">
        <v>21.0</v>
      </c>
      <c r="B22" s="139" t="s">
        <v>3212</v>
      </c>
      <c r="C22" s="138" t="s">
        <v>14</v>
      </c>
      <c r="D22" s="138" t="s">
        <v>196</v>
      </c>
      <c r="E22" s="138" t="s">
        <v>3213</v>
      </c>
      <c r="F22" s="138" t="s">
        <v>3214</v>
      </c>
      <c r="G22" s="190" t="s">
        <v>3215</v>
      </c>
      <c r="H22" s="138" t="s">
        <v>70</v>
      </c>
      <c r="I22" s="138" t="s">
        <v>141</v>
      </c>
      <c r="J22" s="138">
        <v>18.0</v>
      </c>
      <c r="K22" s="138" t="s">
        <v>3216</v>
      </c>
      <c r="L22" s="138" t="s">
        <v>133</v>
      </c>
      <c r="M22" s="138" t="s">
        <v>3217</v>
      </c>
      <c r="N22" s="138" t="s">
        <v>3218</v>
      </c>
      <c r="O22" s="138" t="s">
        <v>3219</v>
      </c>
      <c r="P22" s="138" t="s">
        <v>3220</v>
      </c>
      <c r="Q22" s="138" t="s">
        <v>141</v>
      </c>
      <c r="R22" s="141">
        <v>46023.0</v>
      </c>
      <c r="S22" s="141">
        <v>46387.0</v>
      </c>
      <c r="T22" s="138" t="s">
        <v>3221</v>
      </c>
      <c r="U22" s="142" t="s">
        <v>140</v>
      </c>
      <c r="V22" s="191" t="s">
        <v>141</v>
      </c>
      <c r="W22" s="146"/>
      <c r="X22" s="138" t="s">
        <v>142</v>
      </c>
      <c r="Y22" s="191"/>
    </row>
    <row r="23" ht="33.0" customHeight="1">
      <c r="A23" s="138">
        <v>22.0</v>
      </c>
      <c r="B23" s="139" t="s">
        <v>3222</v>
      </c>
      <c r="C23" s="138" t="s">
        <v>14</v>
      </c>
      <c r="D23" s="138" t="s">
        <v>196</v>
      </c>
      <c r="E23" s="138" t="s">
        <v>3223</v>
      </c>
      <c r="F23" s="138" t="s">
        <v>3224</v>
      </c>
      <c r="G23" s="190" t="s">
        <v>3225</v>
      </c>
      <c r="H23" s="138" t="s">
        <v>70</v>
      </c>
      <c r="I23" s="138" t="s">
        <v>141</v>
      </c>
      <c r="J23" s="138">
        <v>6.0</v>
      </c>
      <c r="K23" s="138" t="s">
        <v>3149</v>
      </c>
      <c r="L23" s="138" t="s">
        <v>158</v>
      </c>
      <c r="M23" s="138" t="s">
        <v>3226</v>
      </c>
      <c r="N23" s="138">
        <v>9.464687091E9</v>
      </c>
      <c r="O23" s="138" t="s">
        <v>3227</v>
      </c>
      <c r="P23" s="145"/>
      <c r="Q23" s="145"/>
      <c r="R23" s="141">
        <v>46023.0</v>
      </c>
      <c r="S23" s="141">
        <v>46387.0</v>
      </c>
      <c r="T23" s="138" t="s">
        <v>3228</v>
      </c>
      <c r="U23" s="142" t="s">
        <v>140</v>
      </c>
      <c r="V23" s="191" t="s">
        <v>141</v>
      </c>
      <c r="W23" s="146"/>
      <c r="X23" s="138" t="s">
        <v>142</v>
      </c>
      <c r="Y23" s="191"/>
    </row>
    <row r="24" ht="33.0" customHeight="1">
      <c r="A24" s="138">
        <v>23.0</v>
      </c>
      <c r="B24" s="139"/>
      <c r="C24" s="138" t="s">
        <v>14</v>
      </c>
      <c r="D24" s="138" t="s">
        <v>196</v>
      </c>
      <c r="E24" s="138" t="s">
        <v>3223</v>
      </c>
      <c r="F24" s="138" t="s">
        <v>3229</v>
      </c>
      <c r="G24" s="190" t="s">
        <v>3230</v>
      </c>
      <c r="H24" s="138" t="s">
        <v>70</v>
      </c>
      <c r="I24" s="138" t="s">
        <v>141</v>
      </c>
      <c r="J24" s="138">
        <v>8.0</v>
      </c>
      <c r="K24" s="138" t="s">
        <v>3231</v>
      </c>
      <c r="L24" s="138" t="s">
        <v>133</v>
      </c>
      <c r="M24" s="138" t="s">
        <v>3232</v>
      </c>
      <c r="N24" s="138">
        <v>9.064615569E9</v>
      </c>
      <c r="O24" s="138" t="s">
        <v>3233</v>
      </c>
      <c r="P24" s="138" t="s">
        <v>211</v>
      </c>
      <c r="Q24" s="138" t="s">
        <v>3234</v>
      </c>
      <c r="R24" s="141">
        <v>46080.0</v>
      </c>
      <c r="S24" s="141">
        <v>46023.0</v>
      </c>
      <c r="T24" s="138" t="s">
        <v>3235</v>
      </c>
      <c r="U24" s="142" t="s">
        <v>3098</v>
      </c>
      <c r="V24" s="191" t="s">
        <v>2106</v>
      </c>
      <c r="W24" s="138" t="s">
        <v>3236</v>
      </c>
      <c r="X24" s="138"/>
      <c r="Y24" s="191"/>
    </row>
    <row r="25" ht="33.0" customHeight="1">
      <c r="A25" s="138">
        <v>24.0</v>
      </c>
      <c r="B25" s="139" t="s">
        <v>3237</v>
      </c>
      <c r="C25" s="138" t="s">
        <v>14</v>
      </c>
      <c r="D25" s="138" t="s">
        <v>196</v>
      </c>
      <c r="E25" s="138" t="s">
        <v>3238</v>
      </c>
      <c r="F25" s="138" t="s">
        <v>3239</v>
      </c>
      <c r="G25" s="190" t="s">
        <v>3240</v>
      </c>
      <c r="H25" s="138" t="s">
        <v>70</v>
      </c>
      <c r="I25" s="138" t="s">
        <v>141</v>
      </c>
      <c r="J25" s="138">
        <v>12.0</v>
      </c>
      <c r="K25" s="138" t="s">
        <v>3241</v>
      </c>
      <c r="L25" s="138" t="s">
        <v>133</v>
      </c>
      <c r="M25" s="138" t="s">
        <v>3242</v>
      </c>
      <c r="N25" s="138" t="s">
        <v>3243</v>
      </c>
      <c r="O25" s="138" t="s">
        <v>3244</v>
      </c>
      <c r="P25" s="145"/>
      <c r="Q25" s="138" t="s">
        <v>3245</v>
      </c>
      <c r="R25" s="141">
        <v>46023.0</v>
      </c>
      <c r="S25" s="141">
        <v>46387.0</v>
      </c>
      <c r="T25" s="138" t="s">
        <v>3246</v>
      </c>
      <c r="U25" s="142" t="s">
        <v>140</v>
      </c>
      <c r="V25" s="191" t="s">
        <v>141</v>
      </c>
      <c r="W25" s="146"/>
      <c r="X25" s="138" t="s">
        <v>142</v>
      </c>
      <c r="Y25" s="191"/>
    </row>
    <row r="26" ht="33.0" customHeight="1">
      <c r="A26" s="138">
        <v>25.0</v>
      </c>
      <c r="B26" s="139" t="s">
        <v>3247</v>
      </c>
      <c r="C26" s="138" t="s">
        <v>14</v>
      </c>
      <c r="D26" s="138" t="s">
        <v>196</v>
      </c>
      <c r="E26" s="138" t="s">
        <v>3248</v>
      </c>
      <c r="F26" s="138" t="s">
        <v>3249</v>
      </c>
      <c r="G26" s="190" t="s">
        <v>3250</v>
      </c>
      <c r="H26" s="138" t="s">
        <v>70</v>
      </c>
      <c r="I26" s="138" t="s">
        <v>141</v>
      </c>
      <c r="J26" s="138">
        <v>10.0</v>
      </c>
      <c r="K26" s="138" t="s">
        <v>3206</v>
      </c>
      <c r="L26" s="138" t="s">
        <v>133</v>
      </c>
      <c r="M26" s="138" t="s">
        <v>3251</v>
      </c>
      <c r="N26" s="138" t="s">
        <v>3252</v>
      </c>
      <c r="O26" s="138" t="s">
        <v>3253</v>
      </c>
      <c r="P26" s="145"/>
      <c r="Q26" s="138" t="s">
        <v>3254</v>
      </c>
      <c r="R26" s="141">
        <v>46023.0</v>
      </c>
      <c r="S26" s="141">
        <v>46387.0</v>
      </c>
      <c r="T26" s="138" t="s">
        <v>3255</v>
      </c>
      <c r="U26" s="142" t="s">
        <v>140</v>
      </c>
      <c r="V26" s="191" t="s">
        <v>141</v>
      </c>
      <c r="W26" s="146"/>
      <c r="X26" s="138" t="s">
        <v>142</v>
      </c>
      <c r="Y26" s="191"/>
    </row>
    <row r="27" ht="33.0" customHeight="1">
      <c r="A27" s="138">
        <v>26.0</v>
      </c>
      <c r="B27" s="139" t="s">
        <v>3256</v>
      </c>
      <c r="C27" s="138" t="s">
        <v>14</v>
      </c>
      <c r="D27" s="138" t="s">
        <v>196</v>
      </c>
      <c r="E27" s="138" t="s">
        <v>3248</v>
      </c>
      <c r="F27" s="138" t="s">
        <v>3257</v>
      </c>
      <c r="G27" s="190" t="s">
        <v>3258</v>
      </c>
      <c r="H27" s="138" t="s">
        <v>70</v>
      </c>
      <c r="I27" s="138" t="s">
        <v>141</v>
      </c>
      <c r="J27" s="138">
        <v>10.0</v>
      </c>
      <c r="K27" s="138" t="s">
        <v>3259</v>
      </c>
      <c r="L27" s="146"/>
      <c r="M27" s="138" t="s">
        <v>3260</v>
      </c>
      <c r="N27" s="138" t="s">
        <v>3261</v>
      </c>
      <c r="O27" s="138" t="s">
        <v>3262</v>
      </c>
      <c r="P27" s="145"/>
      <c r="Q27" s="138" t="s">
        <v>3263</v>
      </c>
      <c r="R27" s="141">
        <v>46023.0</v>
      </c>
      <c r="S27" s="141">
        <v>46387.0</v>
      </c>
      <c r="T27" s="138" t="s">
        <v>3264</v>
      </c>
      <c r="U27" s="142" t="s">
        <v>140</v>
      </c>
      <c r="V27" s="191" t="s">
        <v>141</v>
      </c>
      <c r="W27" s="146"/>
      <c r="X27" s="138" t="s">
        <v>142</v>
      </c>
      <c r="Y27" s="191"/>
    </row>
    <row r="28" ht="33.0" customHeight="1">
      <c r="A28" s="138">
        <v>27.0</v>
      </c>
      <c r="B28" s="159"/>
      <c r="C28" s="138" t="s">
        <v>16</v>
      </c>
      <c r="D28" s="138" t="s">
        <v>314</v>
      </c>
      <c r="E28" s="138" t="s">
        <v>2640</v>
      </c>
      <c r="F28" s="138" t="s">
        <v>3265</v>
      </c>
      <c r="G28" s="190" t="s">
        <v>3266</v>
      </c>
      <c r="H28" s="138" t="s">
        <v>70</v>
      </c>
      <c r="I28" s="138" t="s">
        <v>141</v>
      </c>
      <c r="J28" s="138">
        <v>10.0</v>
      </c>
      <c r="K28" s="138" t="s">
        <v>200</v>
      </c>
      <c r="L28" s="146"/>
      <c r="M28" s="138" t="s">
        <v>3267</v>
      </c>
      <c r="N28" s="138" t="s">
        <v>3268</v>
      </c>
      <c r="O28" s="138" t="s">
        <v>3269</v>
      </c>
      <c r="P28" s="145"/>
      <c r="Q28" s="138" t="s">
        <v>3270</v>
      </c>
      <c r="R28" s="141">
        <v>46023.0</v>
      </c>
      <c r="S28" s="141">
        <v>46387.0</v>
      </c>
      <c r="T28" s="138" t="s">
        <v>3271</v>
      </c>
      <c r="U28" s="138" t="s">
        <v>140</v>
      </c>
      <c r="V28" s="192"/>
      <c r="W28" s="146"/>
      <c r="X28" s="146"/>
      <c r="Y28" s="193"/>
    </row>
    <row r="29" ht="33.0" customHeight="1">
      <c r="A29" s="138">
        <v>28.0</v>
      </c>
      <c r="B29" s="146"/>
      <c r="C29" s="138" t="s">
        <v>16</v>
      </c>
      <c r="D29" s="138" t="s">
        <v>314</v>
      </c>
      <c r="E29" s="138" t="s">
        <v>2640</v>
      </c>
      <c r="F29" s="138" t="s">
        <v>3272</v>
      </c>
      <c r="G29" s="190" t="s">
        <v>3273</v>
      </c>
      <c r="H29" s="138" t="s">
        <v>70</v>
      </c>
      <c r="I29" s="138" t="s">
        <v>141</v>
      </c>
      <c r="J29" s="138">
        <v>15.0</v>
      </c>
      <c r="K29" s="138" t="s">
        <v>200</v>
      </c>
      <c r="L29" s="146"/>
      <c r="M29" s="138" t="s">
        <v>3274</v>
      </c>
      <c r="N29" s="138">
        <v>9.178971402E9</v>
      </c>
      <c r="O29" s="138" t="s">
        <v>3275</v>
      </c>
      <c r="P29" s="145"/>
      <c r="Q29" s="138" t="s">
        <v>3276</v>
      </c>
      <c r="R29" s="141">
        <v>46023.0</v>
      </c>
      <c r="S29" s="141">
        <v>46387.0</v>
      </c>
      <c r="T29" s="138" t="s">
        <v>3277</v>
      </c>
      <c r="U29" s="194" t="s">
        <v>140</v>
      </c>
      <c r="V29" s="192"/>
      <c r="W29" s="146"/>
      <c r="X29" s="146"/>
      <c r="Y29" s="193"/>
    </row>
    <row r="30" ht="33.0" customHeight="1">
      <c r="A30" s="138">
        <v>29.0</v>
      </c>
      <c r="B30" s="146"/>
      <c r="C30" s="138" t="s">
        <v>16</v>
      </c>
      <c r="D30" s="138" t="s">
        <v>314</v>
      </c>
      <c r="E30" s="138" t="s">
        <v>333</v>
      </c>
      <c r="F30" s="138" t="s">
        <v>3278</v>
      </c>
      <c r="G30" s="190" t="s">
        <v>3279</v>
      </c>
      <c r="H30" s="138" t="s">
        <v>70</v>
      </c>
      <c r="I30" s="138" t="s">
        <v>141</v>
      </c>
      <c r="J30" s="138">
        <v>15.0</v>
      </c>
      <c r="K30" s="138" t="s">
        <v>200</v>
      </c>
      <c r="L30" s="146"/>
      <c r="M30" s="138" t="s">
        <v>3280</v>
      </c>
      <c r="N30" s="138" t="s">
        <v>3281</v>
      </c>
      <c r="O30" s="138" t="s">
        <v>3282</v>
      </c>
      <c r="P30" s="138" t="s">
        <v>3283</v>
      </c>
      <c r="Q30" s="146"/>
      <c r="R30" s="141">
        <v>46023.0</v>
      </c>
      <c r="S30" s="141">
        <v>46387.0</v>
      </c>
      <c r="T30" s="138" t="s">
        <v>3284</v>
      </c>
      <c r="U30" s="138" t="s">
        <v>140</v>
      </c>
      <c r="V30" s="192"/>
      <c r="W30" s="146"/>
      <c r="X30" s="146"/>
      <c r="Y30" s="193"/>
    </row>
    <row r="31" ht="33.0" customHeight="1">
      <c r="A31" s="138">
        <v>30.0</v>
      </c>
      <c r="B31" s="143"/>
      <c r="C31" s="138" t="s">
        <v>16</v>
      </c>
      <c r="D31" s="138" t="s">
        <v>314</v>
      </c>
      <c r="E31" s="138" t="s">
        <v>3285</v>
      </c>
      <c r="F31" s="138" t="s">
        <v>3286</v>
      </c>
      <c r="G31" s="190" t="s">
        <v>3287</v>
      </c>
      <c r="H31" s="138" t="s">
        <v>70</v>
      </c>
      <c r="I31" s="138" t="s">
        <v>141</v>
      </c>
      <c r="J31" s="138">
        <v>8.0</v>
      </c>
      <c r="K31" s="138" t="s">
        <v>3288</v>
      </c>
      <c r="L31" s="138" t="s">
        <v>158</v>
      </c>
      <c r="M31" s="138" t="s">
        <v>3289</v>
      </c>
      <c r="N31" s="138" t="s">
        <v>3290</v>
      </c>
      <c r="O31" s="138" t="s">
        <v>3291</v>
      </c>
      <c r="P31" s="145"/>
      <c r="Q31" s="138" t="s">
        <v>3292</v>
      </c>
      <c r="R31" s="141">
        <v>46023.0</v>
      </c>
      <c r="S31" s="141">
        <v>46387.0</v>
      </c>
      <c r="T31" s="138" t="s">
        <v>3293</v>
      </c>
      <c r="U31" s="194" t="s">
        <v>140</v>
      </c>
      <c r="V31" s="192"/>
      <c r="W31" s="138" t="s">
        <v>3294</v>
      </c>
      <c r="X31" s="146"/>
      <c r="Y31" s="193"/>
    </row>
    <row r="32" ht="33.0" customHeight="1">
      <c r="A32" s="138">
        <v>31.0</v>
      </c>
      <c r="B32" s="146"/>
      <c r="C32" s="138" t="s">
        <v>16</v>
      </c>
      <c r="D32" s="138" t="s">
        <v>314</v>
      </c>
      <c r="E32" s="138" t="s">
        <v>399</v>
      </c>
      <c r="F32" s="138" t="s">
        <v>3295</v>
      </c>
      <c r="G32" s="190" t="s">
        <v>3296</v>
      </c>
      <c r="H32" s="138" t="s">
        <v>70</v>
      </c>
      <c r="I32" s="138" t="s">
        <v>141</v>
      </c>
      <c r="J32" s="138">
        <v>10.0</v>
      </c>
      <c r="K32" s="138" t="s">
        <v>3297</v>
      </c>
      <c r="L32" s="138" t="s">
        <v>158</v>
      </c>
      <c r="M32" s="138" t="s">
        <v>3298</v>
      </c>
      <c r="N32" s="138" t="s">
        <v>3299</v>
      </c>
      <c r="O32" s="138" t="s">
        <v>3300</v>
      </c>
      <c r="P32" s="145"/>
      <c r="Q32" s="138" t="s">
        <v>3301</v>
      </c>
      <c r="R32" s="141">
        <v>46023.0</v>
      </c>
      <c r="S32" s="141">
        <v>46387.0</v>
      </c>
      <c r="T32" s="138" t="s">
        <v>3302</v>
      </c>
      <c r="U32" s="138" t="s">
        <v>140</v>
      </c>
      <c r="V32" s="192"/>
      <c r="W32" s="146"/>
      <c r="X32" s="146"/>
      <c r="Y32" s="193"/>
    </row>
    <row r="33" ht="33.0" customHeight="1">
      <c r="A33" s="138">
        <v>32.0</v>
      </c>
      <c r="B33" s="159"/>
      <c r="C33" s="138" t="s">
        <v>16</v>
      </c>
      <c r="D33" s="138" t="s">
        <v>314</v>
      </c>
      <c r="E33" s="138" t="s">
        <v>399</v>
      </c>
      <c r="F33" s="138" t="s">
        <v>3303</v>
      </c>
      <c r="G33" s="190" t="s">
        <v>3304</v>
      </c>
      <c r="H33" s="138" t="s">
        <v>70</v>
      </c>
      <c r="I33" s="138" t="s">
        <v>141</v>
      </c>
      <c r="J33" s="138">
        <v>17.0</v>
      </c>
      <c r="K33" s="138" t="s">
        <v>3305</v>
      </c>
      <c r="L33" s="138" t="s">
        <v>158</v>
      </c>
      <c r="M33" s="138" t="s">
        <v>3306</v>
      </c>
      <c r="N33" s="138">
        <v>9.179079027E9</v>
      </c>
      <c r="O33" s="138" t="s">
        <v>3307</v>
      </c>
      <c r="P33" s="138" t="s">
        <v>3308</v>
      </c>
      <c r="Q33" s="145"/>
      <c r="R33" s="141">
        <v>46023.0</v>
      </c>
      <c r="S33" s="141">
        <v>46387.0</v>
      </c>
      <c r="T33" s="138" t="s">
        <v>3309</v>
      </c>
      <c r="U33" s="194" t="s">
        <v>140</v>
      </c>
      <c r="V33" s="192"/>
      <c r="W33" s="138" t="s">
        <v>3310</v>
      </c>
      <c r="X33" s="146"/>
      <c r="Y33" s="193"/>
    </row>
    <row r="34" ht="33.0" customHeight="1">
      <c r="A34" s="138">
        <v>33.0</v>
      </c>
      <c r="B34" s="146"/>
      <c r="C34" s="138" t="s">
        <v>16</v>
      </c>
      <c r="D34" s="138" t="s">
        <v>314</v>
      </c>
      <c r="E34" s="138" t="s">
        <v>415</v>
      </c>
      <c r="F34" s="138" t="s">
        <v>3311</v>
      </c>
      <c r="G34" s="190" t="s">
        <v>3312</v>
      </c>
      <c r="H34" s="138" t="s">
        <v>70</v>
      </c>
      <c r="I34" s="138" t="s">
        <v>141</v>
      </c>
      <c r="J34" s="138">
        <v>15.0</v>
      </c>
      <c r="K34" s="138" t="s">
        <v>3313</v>
      </c>
      <c r="L34" s="138" t="s">
        <v>133</v>
      </c>
      <c r="M34" s="138" t="s">
        <v>3314</v>
      </c>
      <c r="N34" s="138" t="s">
        <v>3315</v>
      </c>
      <c r="O34" s="138" t="s">
        <v>3316</v>
      </c>
      <c r="P34" s="145"/>
      <c r="Q34" s="138" t="s">
        <v>3317</v>
      </c>
      <c r="R34" s="141">
        <v>46023.0</v>
      </c>
      <c r="S34" s="141">
        <v>46387.0</v>
      </c>
      <c r="T34" s="138" t="s">
        <v>3318</v>
      </c>
      <c r="U34" s="138" t="s">
        <v>140</v>
      </c>
      <c r="V34" s="192"/>
      <c r="W34" s="138" t="s">
        <v>3319</v>
      </c>
      <c r="X34" s="146"/>
      <c r="Y34" s="193"/>
    </row>
    <row r="35" ht="33.0" customHeight="1">
      <c r="A35" s="138">
        <v>34.0</v>
      </c>
      <c r="B35" s="146"/>
      <c r="C35" s="138" t="s">
        <v>16</v>
      </c>
      <c r="D35" s="138" t="s">
        <v>424</v>
      </c>
      <c r="E35" s="138" t="s">
        <v>3320</v>
      </c>
      <c r="F35" s="138" t="s">
        <v>3321</v>
      </c>
      <c r="G35" s="190" t="s">
        <v>3322</v>
      </c>
      <c r="H35" s="138" t="s">
        <v>70</v>
      </c>
      <c r="I35" s="138" t="s">
        <v>141</v>
      </c>
      <c r="J35" s="138">
        <v>15.0</v>
      </c>
      <c r="K35" s="138" t="s">
        <v>3323</v>
      </c>
      <c r="L35" s="138" t="s">
        <v>133</v>
      </c>
      <c r="M35" s="138" t="s">
        <v>3324</v>
      </c>
      <c r="N35" s="138" t="s">
        <v>3325</v>
      </c>
      <c r="O35" s="138" t="s">
        <v>3326</v>
      </c>
      <c r="P35" s="145"/>
      <c r="Q35" s="138" t="s">
        <v>3327</v>
      </c>
      <c r="R35" s="141">
        <v>46023.0</v>
      </c>
      <c r="S35" s="141">
        <v>46387.0</v>
      </c>
      <c r="T35" s="138" t="s">
        <v>3328</v>
      </c>
      <c r="U35" s="194" t="s">
        <v>140</v>
      </c>
      <c r="V35" s="192"/>
      <c r="W35" s="146"/>
      <c r="X35" s="146"/>
      <c r="Y35" s="193"/>
    </row>
    <row r="36" ht="33.0" customHeight="1">
      <c r="A36" s="138">
        <v>35.0</v>
      </c>
      <c r="B36" s="138">
        <v>4238.0</v>
      </c>
      <c r="C36" s="138" t="s">
        <v>18</v>
      </c>
      <c r="D36" s="138" t="s">
        <v>499</v>
      </c>
      <c r="E36" s="138" t="s">
        <v>3329</v>
      </c>
      <c r="F36" s="138" t="s">
        <v>3330</v>
      </c>
      <c r="G36" s="190" t="s">
        <v>3331</v>
      </c>
      <c r="H36" s="138" t="s">
        <v>70</v>
      </c>
      <c r="I36" s="138" t="s">
        <v>141</v>
      </c>
      <c r="J36" s="138">
        <v>8.0</v>
      </c>
      <c r="K36" s="146"/>
      <c r="L36" s="146"/>
      <c r="M36" s="138" t="s">
        <v>3332</v>
      </c>
      <c r="N36" s="138" t="s">
        <v>3333</v>
      </c>
      <c r="O36" s="138" t="s">
        <v>3334</v>
      </c>
      <c r="P36" s="145"/>
      <c r="Q36" s="138" t="s">
        <v>3335</v>
      </c>
      <c r="R36" s="141">
        <v>46023.0</v>
      </c>
      <c r="S36" s="141">
        <v>46387.0</v>
      </c>
      <c r="T36" s="138" t="s">
        <v>3336</v>
      </c>
      <c r="U36" s="138" t="s">
        <v>140</v>
      </c>
      <c r="V36" s="191" t="s">
        <v>141</v>
      </c>
      <c r="W36" s="146"/>
      <c r="X36" s="146"/>
      <c r="Y36" s="193"/>
    </row>
    <row r="37" ht="33.0" customHeight="1">
      <c r="A37" s="138">
        <v>36.0</v>
      </c>
      <c r="B37" s="138">
        <v>1875.0</v>
      </c>
      <c r="C37" s="138" t="s">
        <v>18</v>
      </c>
      <c r="D37" s="138" t="s">
        <v>509</v>
      </c>
      <c r="E37" s="138" t="s">
        <v>3337</v>
      </c>
      <c r="F37" s="138" t="s">
        <v>3338</v>
      </c>
      <c r="G37" s="190" t="s">
        <v>3339</v>
      </c>
      <c r="H37" s="138" t="s">
        <v>70</v>
      </c>
      <c r="I37" s="138" t="s">
        <v>141</v>
      </c>
      <c r="J37" s="138">
        <v>14.0</v>
      </c>
      <c r="K37" s="138" t="s">
        <v>3340</v>
      </c>
      <c r="L37" s="138" t="s">
        <v>133</v>
      </c>
      <c r="M37" s="138" t="s">
        <v>3341</v>
      </c>
      <c r="N37" s="138" t="s">
        <v>3342</v>
      </c>
      <c r="O37" s="138" t="s">
        <v>3343</v>
      </c>
      <c r="P37" s="145"/>
      <c r="Q37" s="138" t="s">
        <v>3344</v>
      </c>
      <c r="R37" s="141">
        <v>46023.0</v>
      </c>
      <c r="S37" s="141">
        <v>46387.0</v>
      </c>
      <c r="T37" s="138" t="s">
        <v>3345</v>
      </c>
      <c r="U37" s="194" t="s">
        <v>140</v>
      </c>
      <c r="V37" s="195" t="s">
        <v>141</v>
      </c>
      <c r="W37" s="143"/>
      <c r="X37" s="138"/>
      <c r="Y37" s="191"/>
    </row>
    <row r="38" ht="33.0" customHeight="1">
      <c r="A38" s="138">
        <v>37.0</v>
      </c>
      <c r="B38" s="138">
        <v>43738.0</v>
      </c>
      <c r="C38" s="138" t="s">
        <v>18</v>
      </c>
      <c r="D38" s="138" t="s">
        <v>509</v>
      </c>
      <c r="E38" s="138" t="s">
        <v>3346</v>
      </c>
      <c r="F38" s="138" t="s">
        <v>3347</v>
      </c>
      <c r="G38" s="190" t="s">
        <v>3348</v>
      </c>
      <c r="H38" s="138" t="s">
        <v>70</v>
      </c>
      <c r="I38" s="138" t="s">
        <v>141</v>
      </c>
      <c r="J38" s="138">
        <v>3.0</v>
      </c>
      <c r="K38" s="138"/>
      <c r="L38" s="138"/>
      <c r="M38" s="138" t="s">
        <v>3349</v>
      </c>
      <c r="N38" s="138" t="s">
        <v>3350</v>
      </c>
      <c r="O38" s="138" t="s">
        <v>3351</v>
      </c>
      <c r="P38" s="145"/>
      <c r="Q38" s="138" t="s">
        <v>3352</v>
      </c>
      <c r="R38" s="141">
        <v>46023.0</v>
      </c>
      <c r="S38" s="141">
        <v>46387.0</v>
      </c>
      <c r="T38" s="138" t="s">
        <v>3353</v>
      </c>
      <c r="U38" s="138" t="s">
        <v>140</v>
      </c>
      <c r="V38" s="196" t="s">
        <v>141</v>
      </c>
      <c r="W38" s="143"/>
      <c r="X38" s="138"/>
      <c r="Y38" s="191"/>
    </row>
    <row r="39" ht="33.0" customHeight="1">
      <c r="A39" s="138">
        <v>38.0</v>
      </c>
      <c r="B39" s="138">
        <v>1676.0</v>
      </c>
      <c r="C39" s="138" t="s">
        <v>18</v>
      </c>
      <c r="D39" s="138" t="s">
        <v>509</v>
      </c>
      <c r="E39" s="138" t="s">
        <v>3354</v>
      </c>
      <c r="F39" s="138" t="s">
        <v>3355</v>
      </c>
      <c r="G39" s="190" t="s">
        <v>3356</v>
      </c>
      <c r="H39" s="138" t="s">
        <v>70</v>
      </c>
      <c r="I39" s="138" t="s">
        <v>141</v>
      </c>
      <c r="J39" s="138">
        <v>12.0</v>
      </c>
      <c r="K39" s="138"/>
      <c r="L39" s="138"/>
      <c r="M39" s="138" t="s">
        <v>3357</v>
      </c>
      <c r="N39" s="138" t="s">
        <v>3358</v>
      </c>
      <c r="O39" s="138" t="s">
        <v>3359</v>
      </c>
      <c r="P39" s="145"/>
      <c r="Q39" s="138" t="s">
        <v>3360</v>
      </c>
      <c r="R39" s="141">
        <v>46023.0</v>
      </c>
      <c r="S39" s="141">
        <v>46387.0</v>
      </c>
      <c r="T39" s="138" t="s">
        <v>3361</v>
      </c>
      <c r="U39" s="194" t="s">
        <v>140</v>
      </c>
      <c r="V39" s="195" t="s">
        <v>141</v>
      </c>
      <c r="W39" s="143"/>
      <c r="X39" s="138"/>
      <c r="Y39" s="191"/>
    </row>
    <row r="40" ht="33.0" customHeight="1">
      <c r="A40" s="138">
        <v>39.0</v>
      </c>
      <c r="B40" s="138">
        <v>32434.0</v>
      </c>
      <c r="C40" s="138" t="s">
        <v>18</v>
      </c>
      <c r="D40" s="138" t="s">
        <v>509</v>
      </c>
      <c r="E40" s="138" t="s">
        <v>3362</v>
      </c>
      <c r="F40" s="138" t="s">
        <v>3363</v>
      </c>
      <c r="G40" s="190" t="s">
        <v>3364</v>
      </c>
      <c r="H40" s="138" t="s">
        <v>70</v>
      </c>
      <c r="I40" s="138" t="s">
        <v>141</v>
      </c>
      <c r="J40" s="138">
        <v>17.0</v>
      </c>
      <c r="K40" s="138" t="s">
        <v>274</v>
      </c>
      <c r="L40" s="138"/>
      <c r="M40" s="138" t="s">
        <v>3365</v>
      </c>
      <c r="N40" s="138" t="s">
        <v>3366</v>
      </c>
      <c r="O40" s="138" t="s">
        <v>3367</v>
      </c>
      <c r="P40" s="138" t="s">
        <v>3368</v>
      </c>
      <c r="Q40" s="146"/>
      <c r="R40" s="141">
        <v>46023.0</v>
      </c>
      <c r="S40" s="141">
        <v>46387.0</v>
      </c>
      <c r="T40" s="138" t="s">
        <v>3369</v>
      </c>
      <c r="U40" s="138" t="s">
        <v>140</v>
      </c>
      <c r="V40" s="196" t="s">
        <v>141</v>
      </c>
      <c r="W40" s="143"/>
      <c r="X40" s="138"/>
      <c r="Y40" s="191"/>
    </row>
    <row r="41" ht="33.0" customHeight="1">
      <c r="A41" s="138">
        <v>40.0</v>
      </c>
      <c r="B41" s="138">
        <v>34698.0</v>
      </c>
      <c r="C41" s="138" t="s">
        <v>18</v>
      </c>
      <c r="D41" s="138" t="s">
        <v>509</v>
      </c>
      <c r="E41" s="138" t="s">
        <v>3370</v>
      </c>
      <c r="F41" s="138" t="s">
        <v>3371</v>
      </c>
      <c r="G41" s="190" t="s">
        <v>3372</v>
      </c>
      <c r="H41" s="138" t="s">
        <v>70</v>
      </c>
      <c r="I41" s="138" t="s">
        <v>141</v>
      </c>
      <c r="J41" s="138">
        <v>17.0</v>
      </c>
      <c r="K41" s="138" t="s">
        <v>169</v>
      </c>
      <c r="L41" s="138" t="s">
        <v>133</v>
      </c>
      <c r="M41" s="138" t="s">
        <v>3373</v>
      </c>
      <c r="N41" s="138" t="s">
        <v>3374</v>
      </c>
      <c r="O41" s="138" t="s">
        <v>3375</v>
      </c>
      <c r="P41" s="145"/>
      <c r="Q41" s="138" t="s">
        <v>3376</v>
      </c>
      <c r="R41" s="141">
        <v>46089.0</v>
      </c>
      <c r="S41" s="141">
        <v>46387.0</v>
      </c>
      <c r="T41" s="138" t="s">
        <v>3377</v>
      </c>
      <c r="U41" s="194" t="s">
        <v>140</v>
      </c>
      <c r="V41" s="195" t="s">
        <v>141</v>
      </c>
      <c r="W41" s="138" t="s">
        <v>3378</v>
      </c>
      <c r="X41" s="138"/>
      <c r="Y41" s="191"/>
    </row>
    <row r="42" ht="33.0" customHeight="1">
      <c r="A42" s="138">
        <v>41.0</v>
      </c>
      <c r="B42" s="138">
        <v>34701.0</v>
      </c>
      <c r="C42" s="138" t="s">
        <v>18</v>
      </c>
      <c r="D42" s="138" t="s">
        <v>509</v>
      </c>
      <c r="E42" s="138" t="s">
        <v>3370</v>
      </c>
      <c r="F42" s="138" t="s">
        <v>3379</v>
      </c>
      <c r="G42" s="190" t="s">
        <v>3380</v>
      </c>
      <c r="H42" s="138" t="s">
        <v>70</v>
      </c>
      <c r="I42" s="138" t="s">
        <v>141</v>
      </c>
      <c r="J42" s="138">
        <v>6.0</v>
      </c>
      <c r="K42" s="138" t="s">
        <v>169</v>
      </c>
      <c r="L42" s="138" t="s">
        <v>158</v>
      </c>
      <c r="M42" s="138" t="s">
        <v>3381</v>
      </c>
      <c r="N42" s="138" t="s">
        <v>3382</v>
      </c>
      <c r="O42" s="150" t="s">
        <v>3383</v>
      </c>
      <c r="P42" s="138"/>
      <c r="Q42" s="145"/>
      <c r="R42" s="141">
        <v>46023.0</v>
      </c>
      <c r="S42" s="141">
        <v>46387.0</v>
      </c>
      <c r="T42" s="138" t="s">
        <v>3384</v>
      </c>
      <c r="U42" s="138" t="s">
        <v>140</v>
      </c>
      <c r="V42" s="196" t="s">
        <v>141</v>
      </c>
      <c r="W42" s="143"/>
      <c r="X42" s="138"/>
      <c r="Y42" s="191"/>
    </row>
    <row r="43" ht="33.0" customHeight="1">
      <c r="A43" s="138">
        <v>42.0</v>
      </c>
      <c r="B43" s="138">
        <v>32437.0</v>
      </c>
      <c r="C43" s="138" t="s">
        <v>18</v>
      </c>
      <c r="D43" s="138" t="s">
        <v>509</v>
      </c>
      <c r="E43" s="138" t="s">
        <v>3370</v>
      </c>
      <c r="F43" s="138" t="s">
        <v>3385</v>
      </c>
      <c r="G43" s="190" t="s">
        <v>3386</v>
      </c>
      <c r="H43" s="138" t="s">
        <v>70</v>
      </c>
      <c r="I43" s="138" t="s">
        <v>141</v>
      </c>
      <c r="J43" s="138">
        <v>17.0</v>
      </c>
      <c r="K43" s="138" t="s">
        <v>3387</v>
      </c>
      <c r="L43" s="138" t="s">
        <v>133</v>
      </c>
      <c r="M43" s="138" t="s">
        <v>3388</v>
      </c>
      <c r="N43" s="138">
        <v>9.205652649E9</v>
      </c>
      <c r="O43" s="150" t="s">
        <v>3389</v>
      </c>
      <c r="P43" s="145"/>
      <c r="Q43" s="138" t="s">
        <v>3390</v>
      </c>
      <c r="R43" s="141">
        <v>46023.0</v>
      </c>
      <c r="S43" s="141">
        <v>46387.0</v>
      </c>
      <c r="T43" s="138" t="s">
        <v>3391</v>
      </c>
      <c r="U43" s="194" t="s">
        <v>140</v>
      </c>
      <c r="V43" s="195" t="s">
        <v>332</v>
      </c>
      <c r="W43" s="143"/>
      <c r="X43" s="138"/>
      <c r="Y43" s="191"/>
    </row>
    <row r="44" ht="33.0" customHeight="1">
      <c r="A44" s="138">
        <v>43.0</v>
      </c>
      <c r="B44" s="138">
        <v>5977.0</v>
      </c>
      <c r="C44" s="138" t="s">
        <v>18</v>
      </c>
      <c r="D44" s="138" t="s">
        <v>509</v>
      </c>
      <c r="E44" s="138" t="s">
        <v>408</v>
      </c>
      <c r="F44" s="138" t="s">
        <v>3392</v>
      </c>
      <c r="G44" s="190" t="s">
        <v>3393</v>
      </c>
      <c r="H44" s="138" t="s">
        <v>70</v>
      </c>
      <c r="I44" s="138" t="s">
        <v>141</v>
      </c>
      <c r="J44" s="138">
        <v>17.0</v>
      </c>
      <c r="K44" s="138" t="s">
        <v>3394</v>
      </c>
      <c r="L44" s="138" t="s">
        <v>133</v>
      </c>
      <c r="M44" s="138" t="s">
        <v>3395</v>
      </c>
      <c r="N44" s="138" t="s">
        <v>3396</v>
      </c>
      <c r="O44" s="138" t="s">
        <v>3397</v>
      </c>
      <c r="P44" s="145"/>
      <c r="Q44" s="138" t="s">
        <v>3398</v>
      </c>
      <c r="R44" s="141">
        <v>46023.0</v>
      </c>
      <c r="S44" s="141">
        <v>46387.0</v>
      </c>
      <c r="T44" s="138" t="s">
        <v>3399</v>
      </c>
      <c r="U44" s="138" t="s">
        <v>140</v>
      </c>
      <c r="V44" s="196" t="s">
        <v>141</v>
      </c>
      <c r="W44" s="143"/>
      <c r="X44" s="138"/>
      <c r="Y44" s="191"/>
    </row>
    <row r="45" ht="33.0" customHeight="1">
      <c r="A45" s="138">
        <v>44.0</v>
      </c>
      <c r="B45" s="138">
        <v>32081.0</v>
      </c>
      <c r="C45" s="138" t="s">
        <v>18</v>
      </c>
      <c r="D45" s="138" t="s">
        <v>543</v>
      </c>
      <c r="E45" s="138" t="s">
        <v>934</v>
      </c>
      <c r="F45" s="138" t="s">
        <v>3400</v>
      </c>
      <c r="G45" s="190" t="s">
        <v>3401</v>
      </c>
      <c r="H45" s="138" t="s">
        <v>70</v>
      </c>
      <c r="I45" s="138" t="s">
        <v>141</v>
      </c>
      <c r="J45" s="138">
        <v>5.0</v>
      </c>
      <c r="K45" s="138" t="s">
        <v>1753</v>
      </c>
      <c r="L45" s="138" t="s">
        <v>158</v>
      </c>
      <c r="M45" s="138" t="s">
        <v>3402</v>
      </c>
      <c r="N45" s="138" t="s">
        <v>3403</v>
      </c>
      <c r="O45" s="138" t="s">
        <v>3404</v>
      </c>
      <c r="P45" s="145"/>
      <c r="Q45" s="138" t="s">
        <v>3405</v>
      </c>
      <c r="R45" s="141">
        <v>46023.0</v>
      </c>
      <c r="S45" s="141">
        <v>46387.0</v>
      </c>
      <c r="T45" s="138" t="s">
        <v>3406</v>
      </c>
      <c r="U45" s="194" t="s">
        <v>140</v>
      </c>
      <c r="V45" s="195" t="s">
        <v>141</v>
      </c>
      <c r="W45" s="143"/>
      <c r="X45" s="138"/>
      <c r="Y45" s="191"/>
    </row>
    <row r="46" ht="33.0" customHeight="1">
      <c r="A46" s="138">
        <v>45.0</v>
      </c>
      <c r="B46" s="138">
        <v>41750.0</v>
      </c>
      <c r="C46" s="138" t="s">
        <v>18</v>
      </c>
      <c r="D46" s="138" t="s">
        <v>543</v>
      </c>
      <c r="E46" s="138" t="s">
        <v>3407</v>
      </c>
      <c r="F46" s="138" t="s">
        <v>3408</v>
      </c>
      <c r="G46" s="190" t="s">
        <v>3409</v>
      </c>
      <c r="H46" s="138" t="s">
        <v>70</v>
      </c>
      <c r="I46" s="138" t="s">
        <v>141</v>
      </c>
      <c r="J46" s="138">
        <v>12.0</v>
      </c>
      <c r="K46" s="138" t="s">
        <v>3410</v>
      </c>
      <c r="L46" s="138" t="s">
        <v>133</v>
      </c>
      <c r="M46" s="138" t="s">
        <v>3411</v>
      </c>
      <c r="N46" s="138">
        <v>9.237014687E9</v>
      </c>
      <c r="O46" s="138" t="s">
        <v>3412</v>
      </c>
      <c r="P46" s="145"/>
      <c r="Q46" s="138" t="s">
        <v>3413</v>
      </c>
      <c r="R46" s="141">
        <v>46023.0</v>
      </c>
      <c r="S46" s="141">
        <v>46387.0</v>
      </c>
      <c r="T46" s="138" t="s">
        <v>3414</v>
      </c>
      <c r="U46" s="138" t="s">
        <v>140</v>
      </c>
      <c r="V46" s="196" t="s">
        <v>141</v>
      </c>
      <c r="W46" s="143"/>
      <c r="X46" s="138"/>
      <c r="Y46" s="191"/>
    </row>
    <row r="47" ht="33.0" customHeight="1">
      <c r="A47" s="138">
        <v>46.0</v>
      </c>
      <c r="B47" s="138">
        <v>6005.0</v>
      </c>
      <c r="C47" s="138" t="s">
        <v>18</v>
      </c>
      <c r="D47" s="138" t="s">
        <v>543</v>
      </c>
      <c r="E47" s="138" t="s">
        <v>609</v>
      </c>
      <c r="F47" s="138" t="s">
        <v>3415</v>
      </c>
      <c r="G47" s="190" t="s">
        <v>3416</v>
      </c>
      <c r="H47" s="138" t="s">
        <v>70</v>
      </c>
      <c r="I47" s="138" t="s">
        <v>141</v>
      </c>
      <c r="J47" s="138">
        <v>12.0</v>
      </c>
      <c r="K47" s="138" t="s">
        <v>3417</v>
      </c>
      <c r="L47" s="138" t="s">
        <v>3418</v>
      </c>
      <c r="M47" s="138" t="s">
        <v>3419</v>
      </c>
      <c r="N47" s="138"/>
      <c r="O47" s="138" t="s">
        <v>3420</v>
      </c>
      <c r="P47" s="145"/>
      <c r="Q47" s="138" t="s">
        <v>3421</v>
      </c>
      <c r="R47" s="141">
        <v>46023.0</v>
      </c>
      <c r="S47" s="141">
        <v>46387.0</v>
      </c>
      <c r="T47" s="138" t="s">
        <v>3422</v>
      </c>
      <c r="U47" s="194" t="s">
        <v>348</v>
      </c>
      <c r="V47" s="195" t="s">
        <v>141</v>
      </c>
      <c r="W47" s="143"/>
      <c r="X47" s="138"/>
      <c r="Y47" s="191"/>
    </row>
    <row r="48" ht="33.0" customHeight="1">
      <c r="A48" s="138">
        <v>47.0</v>
      </c>
      <c r="B48" s="138">
        <v>734.0</v>
      </c>
      <c r="C48" s="138" t="s">
        <v>18</v>
      </c>
      <c r="D48" s="138" t="s">
        <v>616</v>
      </c>
      <c r="E48" s="138" t="s">
        <v>3423</v>
      </c>
      <c r="F48" s="138" t="s">
        <v>3424</v>
      </c>
      <c r="G48" s="190" t="s">
        <v>3425</v>
      </c>
      <c r="H48" s="138" t="s">
        <v>70</v>
      </c>
      <c r="I48" s="138" t="s">
        <v>141</v>
      </c>
      <c r="J48" s="138">
        <v>9.0</v>
      </c>
      <c r="K48" s="138" t="s">
        <v>169</v>
      </c>
      <c r="L48" s="138" t="s">
        <v>158</v>
      </c>
      <c r="M48" s="138" t="s">
        <v>3426</v>
      </c>
      <c r="N48" s="138" t="s">
        <v>3427</v>
      </c>
      <c r="O48" s="138" t="s">
        <v>3428</v>
      </c>
      <c r="P48" s="145"/>
      <c r="Q48" s="138" t="s">
        <v>3429</v>
      </c>
      <c r="R48" s="141">
        <v>46023.0</v>
      </c>
      <c r="S48" s="141">
        <v>46387.0</v>
      </c>
      <c r="T48" s="138" t="s">
        <v>3430</v>
      </c>
      <c r="U48" s="138" t="s">
        <v>140</v>
      </c>
      <c r="V48" s="196" t="s">
        <v>141</v>
      </c>
      <c r="W48" s="143"/>
      <c r="X48" s="138"/>
      <c r="Y48" s="191"/>
    </row>
    <row r="49" ht="33.0" customHeight="1">
      <c r="A49" s="138">
        <v>48.0</v>
      </c>
      <c r="B49" s="138">
        <v>39882.0</v>
      </c>
      <c r="C49" s="138" t="s">
        <v>18</v>
      </c>
      <c r="D49" s="138" t="s">
        <v>616</v>
      </c>
      <c r="E49" s="138" t="s">
        <v>617</v>
      </c>
      <c r="F49" s="138" t="s">
        <v>3431</v>
      </c>
      <c r="G49" s="197" t="s">
        <v>3432</v>
      </c>
      <c r="H49" s="138" t="s">
        <v>70</v>
      </c>
      <c r="I49" s="138" t="s">
        <v>141</v>
      </c>
      <c r="J49" s="138">
        <v>17.0</v>
      </c>
      <c r="K49" s="138" t="s">
        <v>3433</v>
      </c>
      <c r="L49" s="138" t="s">
        <v>158</v>
      </c>
      <c r="M49" s="138" t="s">
        <v>3434</v>
      </c>
      <c r="N49" s="139" t="s">
        <v>3435</v>
      </c>
      <c r="O49" s="138" t="s">
        <v>3436</v>
      </c>
      <c r="P49" s="145"/>
      <c r="Q49" s="138" t="s">
        <v>3437</v>
      </c>
      <c r="R49" s="141">
        <v>46023.0</v>
      </c>
      <c r="S49" s="141">
        <v>46387.0</v>
      </c>
      <c r="T49" s="138" t="s">
        <v>3438</v>
      </c>
      <c r="U49" s="138" t="s">
        <v>140</v>
      </c>
      <c r="V49" s="195" t="s">
        <v>141</v>
      </c>
      <c r="W49" s="138"/>
      <c r="X49" s="138"/>
      <c r="Y49" s="191"/>
    </row>
    <row r="50" ht="33.0" customHeight="1">
      <c r="A50" s="138">
        <v>49.0</v>
      </c>
      <c r="B50" s="138"/>
      <c r="C50" s="138" t="s">
        <v>18</v>
      </c>
      <c r="D50" s="138" t="s">
        <v>616</v>
      </c>
      <c r="E50" s="138" t="s">
        <v>3439</v>
      </c>
      <c r="F50" s="138" t="s">
        <v>3440</v>
      </c>
      <c r="G50" s="197" t="s">
        <v>3441</v>
      </c>
      <c r="H50" s="138" t="s">
        <v>70</v>
      </c>
      <c r="I50" s="138" t="s">
        <v>141</v>
      </c>
      <c r="J50" s="138">
        <v>24.0</v>
      </c>
      <c r="K50" s="138" t="s">
        <v>169</v>
      </c>
      <c r="L50" s="138" t="s">
        <v>133</v>
      </c>
      <c r="M50" s="138" t="s">
        <v>3442</v>
      </c>
      <c r="N50" s="139" t="s">
        <v>3443</v>
      </c>
      <c r="O50" s="138" t="s">
        <v>3444</v>
      </c>
      <c r="P50" s="145"/>
      <c r="Q50" s="138" t="s">
        <v>3445</v>
      </c>
      <c r="R50" s="141">
        <v>46108.0</v>
      </c>
      <c r="S50" s="141">
        <v>46387.0</v>
      </c>
      <c r="T50" s="138" t="s">
        <v>3446</v>
      </c>
      <c r="U50" s="138" t="s">
        <v>348</v>
      </c>
      <c r="V50" s="196" t="s">
        <v>141</v>
      </c>
      <c r="W50" s="138"/>
      <c r="X50" s="138"/>
      <c r="Y50" s="191"/>
    </row>
    <row r="51" ht="33.0" customHeight="1">
      <c r="A51" s="138">
        <v>50.0</v>
      </c>
      <c r="B51" s="138">
        <v>35381.0</v>
      </c>
      <c r="C51" s="138" t="s">
        <v>18</v>
      </c>
      <c r="D51" s="138" t="s">
        <v>616</v>
      </c>
      <c r="E51" s="138" t="s">
        <v>306</v>
      </c>
      <c r="F51" s="138" t="s">
        <v>3447</v>
      </c>
      <c r="G51" s="197" t="s">
        <v>3448</v>
      </c>
      <c r="H51" s="138" t="s">
        <v>70</v>
      </c>
      <c r="I51" s="138" t="s">
        <v>141</v>
      </c>
      <c r="J51" s="138">
        <v>15.0</v>
      </c>
      <c r="K51" s="138" t="s">
        <v>169</v>
      </c>
      <c r="L51" s="138" t="s">
        <v>133</v>
      </c>
      <c r="M51" s="138" t="s">
        <v>3449</v>
      </c>
      <c r="N51" s="139" t="s">
        <v>3450</v>
      </c>
      <c r="O51" s="138" t="s">
        <v>3451</v>
      </c>
      <c r="P51" s="145"/>
      <c r="Q51" s="138" t="s">
        <v>3452</v>
      </c>
      <c r="R51" s="141">
        <v>46023.0</v>
      </c>
      <c r="S51" s="141">
        <v>46387.0</v>
      </c>
      <c r="T51" s="138" t="s">
        <v>3453</v>
      </c>
      <c r="U51" s="138" t="s">
        <v>140</v>
      </c>
      <c r="V51" s="195" t="s">
        <v>141</v>
      </c>
      <c r="W51" s="138"/>
      <c r="X51" s="138"/>
      <c r="Y51" s="191"/>
    </row>
    <row r="52" ht="33.0" customHeight="1">
      <c r="A52" s="138">
        <v>51.0</v>
      </c>
      <c r="B52" s="138">
        <v>32293.0</v>
      </c>
      <c r="C52" s="138" t="s">
        <v>18</v>
      </c>
      <c r="D52" s="138" t="s">
        <v>626</v>
      </c>
      <c r="E52" s="138" t="s">
        <v>3454</v>
      </c>
      <c r="F52" s="138" t="s">
        <v>3455</v>
      </c>
      <c r="G52" s="197" t="s">
        <v>3456</v>
      </c>
      <c r="H52" s="138" t="s">
        <v>70</v>
      </c>
      <c r="I52" s="138" t="s">
        <v>141</v>
      </c>
      <c r="J52" s="138">
        <v>11.0</v>
      </c>
      <c r="K52" s="138" t="s">
        <v>3457</v>
      </c>
      <c r="L52" s="138" t="s">
        <v>158</v>
      </c>
      <c r="M52" s="138" t="s">
        <v>3458</v>
      </c>
      <c r="N52" s="139" t="s">
        <v>3459</v>
      </c>
      <c r="O52" s="138" t="s">
        <v>3460</v>
      </c>
      <c r="P52" s="145"/>
      <c r="Q52" s="138" t="s">
        <v>3461</v>
      </c>
      <c r="R52" s="141">
        <v>46023.0</v>
      </c>
      <c r="S52" s="141">
        <v>46387.0</v>
      </c>
      <c r="T52" s="138" t="s">
        <v>3462</v>
      </c>
      <c r="U52" s="138" t="s">
        <v>140</v>
      </c>
      <c r="V52" s="196" t="s">
        <v>141</v>
      </c>
      <c r="W52" s="138"/>
      <c r="X52" s="138"/>
      <c r="Y52" s="191"/>
    </row>
    <row r="53" ht="33.0" customHeight="1">
      <c r="A53" s="138">
        <v>52.0</v>
      </c>
      <c r="B53" s="138">
        <v>53540.0</v>
      </c>
      <c r="C53" s="138" t="s">
        <v>18</v>
      </c>
      <c r="D53" s="138" t="s">
        <v>626</v>
      </c>
      <c r="E53" s="138" t="s">
        <v>3463</v>
      </c>
      <c r="F53" s="138" t="s">
        <v>3464</v>
      </c>
      <c r="G53" s="197" t="s">
        <v>3465</v>
      </c>
      <c r="H53" s="138" t="s">
        <v>70</v>
      </c>
      <c r="I53" s="138" t="s">
        <v>141</v>
      </c>
      <c r="J53" s="138">
        <v>17.0</v>
      </c>
      <c r="K53" s="138" t="s">
        <v>274</v>
      </c>
      <c r="L53" s="138"/>
      <c r="M53" s="138" t="s">
        <v>3466</v>
      </c>
      <c r="N53" s="139"/>
      <c r="O53" s="138"/>
      <c r="P53" s="138" t="s">
        <v>3467</v>
      </c>
      <c r="Q53" s="145"/>
      <c r="R53" s="141">
        <v>46023.0</v>
      </c>
      <c r="S53" s="141">
        <v>46387.0</v>
      </c>
      <c r="T53" s="138" t="s">
        <v>3468</v>
      </c>
      <c r="U53" s="138" t="s">
        <v>140</v>
      </c>
      <c r="V53" s="195" t="s">
        <v>141</v>
      </c>
      <c r="W53" s="138"/>
      <c r="X53" s="138"/>
      <c r="Y53" s="191"/>
    </row>
    <row r="54" ht="33.0" customHeight="1">
      <c r="A54" s="138">
        <v>53.0</v>
      </c>
      <c r="B54" s="138">
        <v>2142.0</v>
      </c>
      <c r="C54" s="138" t="s">
        <v>18</v>
      </c>
      <c r="D54" s="138" t="s">
        <v>626</v>
      </c>
      <c r="E54" s="138" t="s">
        <v>3469</v>
      </c>
      <c r="F54" s="138" t="s">
        <v>3470</v>
      </c>
      <c r="G54" s="197" t="s">
        <v>3471</v>
      </c>
      <c r="H54" s="138" t="s">
        <v>70</v>
      </c>
      <c r="I54" s="138" t="s">
        <v>141</v>
      </c>
      <c r="J54" s="138">
        <v>17.0</v>
      </c>
      <c r="K54" s="138" t="s">
        <v>3472</v>
      </c>
      <c r="L54" s="138" t="s">
        <v>133</v>
      </c>
      <c r="M54" s="138" t="s">
        <v>3473</v>
      </c>
      <c r="N54" s="139" t="s">
        <v>3474</v>
      </c>
      <c r="O54" s="138" t="s">
        <v>3475</v>
      </c>
      <c r="P54" s="138" t="s">
        <v>3476</v>
      </c>
      <c r="Q54" s="145"/>
      <c r="R54" s="141">
        <v>46023.0</v>
      </c>
      <c r="S54" s="141">
        <v>46387.0</v>
      </c>
      <c r="T54" s="138" t="s">
        <v>3477</v>
      </c>
      <c r="U54" s="138" t="s">
        <v>140</v>
      </c>
      <c r="V54" s="196" t="s">
        <v>141</v>
      </c>
      <c r="W54" s="138"/>
      <c r="X54" s="138"/>
      <c r="Y54" s="191"/>
    </row>
    <row r="55" ht="33.0" customHeight="1">
      <c r="A55" s="138">
        <v>54.0</v>
      </c>
      <c r="B55" s="138">
        <v>6870.0</v>
      </c>
      <c r="C55" s="138" t="s">
        <v>18</v>
      </c>
      <c r="D55" s="138" t="s">
        <v>626</v>
      </c>
      <c r="E55" s="138" t="s">
        <v>627</v>
      </c>
      <c r="F55" s="138" t="s">
        <v>3478</v>
      </c>
      <c r="G55" s="197" t="s">
        <v>3479</v>
      </c>
      <c r="H55" s="138" t="s">
        <v>70</v>
      </c>
      <c r="I55" s="138" t="s">
        <v>141</v>
      </c>
      <c r="J55" s="138">
        <v>17.0</v>
      </c>
      <c r="K55" s="138" t="s">
        <v>3480</v>
      </c>
      <c r="L55" s="138" t="s">
        <v>133</v>
      </c>
      <c r="M55" s="138" t="s">
        <v>3481</v>
      </c>
      <c r="N55" s="139" t="s">
        <v>3482</v>
      </c>
      <c r="O55" s="138" t="s">
        <v>3483</v>
      </c>
      <c r="P55" s="138" t="s">
        <v>3484</v>
      </c>
      <c r="Q55" s="145"/>
      <c r="R55" s="141">
        <v>46023.0</v>
      </c>
      <c r="S55" s="141">
        <v>46387.0</v>
      </c>
      <c r="T55" s="138" t="s">
        <v>3485</v>
      </c>
      <c r="U55" s="138" t="s">
        <v>140</v>
      </c>
      <c r="V55" s="195" t="s">
        <v>141</v>
      </c>
      <c r="W55" s="138"/>
      <c r="X55" s="138"/>
      <c r="Y55" s="191"/>
    </row>
    <row r="56" ht="33.0" customHeight="1">
      <c r="A56" s="138">
        <v>55.0</v>
      </c>
      <c r="B56" s="138">
        <v>23614.0</v>
      </c>
      <c r="C56" s="138" t="s">
        <v>18</v>
      </c>
      <c r="D56" s="138" t="s">
        <v>626</v>
      </c>
      <c r="E56" s="138" t="s">
        <v>3486</v>
      </c>
      <c r="F56" s="138" t="s">
        <v>3487</v>
      </c>
      <c r="G56" s="197" t="s">
        <v>3488</v>
      </c>
      <c r="H56" s="138" t="s">
        <v>70</v>
      </c>
      <c r="I56" s="138" t="s">
        <v>141</v>
      </c>
      <c r="J56" s="138">
        <v>10.0</v>
      </c>
      <c r="K56" s="138" t="s">
        <v>3489</v>
      </c>
      <c r="L56" s="138" t="s">
        <v>133</v>
      </c>
      <c r="M56" s="138" t="s">
        <v>3490</v>
      </c>
      <c r="N56" s="139" t="s">
        <v>3491</v>
      </c>
      <c r="O56" s="138" t="s">
        <v>3492</v>
      </c>
      <c r="P56" s="145"/>
      <c r="Q56" s="138" t="s">
        <v>3493</v>
      </c>
      <c r="R56" s="141">
        <v>46023.0</v>
      </c>
      <c r="S56" s="141">
        <v>46387.0</v>
      </c>
      <c r="T56" s="138" t="s">
        <v>3494</v>
      </c>
      <c r="U56" s="138" t="s">
        <v>140</v>
      </c>
      <c r="V56" s="196" t="s">
        <v>141</v>
      </c>
      <c r="W56" s="138"/>
      <c r="X56" s="138"/>
      <c r="Y56" s="191"/>
    </row>
    <row r="57" ht="33.0" customHeight="1">
      <c r="A57" s="138">
        <v>56.0</v>
      </c>
      <c r="B57" s="138">
        <v>38495.0</v>
      </c>
      <c r="C57" s="138" t="s">
        <v>18</v>
      </c>
      <c r="D57" s="138" t="s">
        <v>626</v>
      </c>
      <c r="E57" s="138" t="s">
        <v>3486</v>
      </c>
      <c r="F57" s="138" t="s">
        <v>3495</v>
      </c>
      <c r="G57" s="197" t="s">
        <v>3496</v>
      </c>
      <c r="H57" s="138" t="s">
        <v>70</v>
      </c>
      <c r="I57" s="138" t="s">
        <v>141</v>
      </c>
      <c r="J57" s="138">
        <v>12.0</v>
      </c>
      <c r="K57" s="138" t="s">
        <v>3497</v>
      </c>
      <c r="L57" s="138" t="s">
        <v>158</v>
      </c>
      <c r="M57" s="138" t="s">
        <v>3498</v>
      </c>
      <c r="N57" s="139" t="s">
        <v>3499</v>
      </c>
      <c r="O57" s="138" t="s">
        <v>3500</v>
      </c>
      <c r="P57" s="138"/>
      <c r="Q57" s="138" t="s">
        <v>3501</v>
      </c>
      <c r="R57" s="141">
        <v>46023.0</v>
      </c>
      <c r="S57" s="141">
        <v>46387.0</v>
      </c>
      <c r="T57" s="138" t="s">
        <v>3502</v>
      </c>
      <c r="U57" s="138" t="s">
        <v>140</v>
      </c>
      <c r="V57" s="195" t="s">
        <v>141</v>
      </c>
      <c r="W57" s="138"/>
      <c r="X57" s="138"/>
      <c r="Y57" s="191"/>
    </row>
    <row r="58" ht="33.0" customHeight="1">
      <c r="A58" s="138">
        <v>57.0</v>
      </c>
      <c r="B58" s="138">
        <v>42690.0</v>
      </c>
      <c r="C58" s="138" t="s">
        <v>18</v>
      </c>
      <c r="D58" s="138" t="s">
        <v>636</v>
      </c>
      <c r="E58" s="138" t="s">
        <v>3503</v>
      </c>
      <c r="F58" s="138" t="s">
        <v>3504</v>
      </c>
      <c r="G58" s="197" t="s">
        <v>3505</v>
      </c>
      <c r="H58" s="138" t="s">
        <v>70</v>
      </c>
      <c r="I58" s="138" t="s">
        <v>141</v>
      </c>
      <c r="J58" s="138">
        <v>12.0</v>
      </c>
      <c r="K58" s="138" t="s">
        <v>3506</v>
      </c>
      <c r="L58" s="138" t="s">
        <v>133</v>
      </c>
      <c r="M58" s="138" t="s">
        <v>3507</v>
      </c>
      <c r="N58" s="139" t="s">
        <v>3508</v>
      </c>
      <c r="O58" s="138" t="s">
        <v>3509</v>
      </c>
      <c r="P58" s="145"/>
      <c r="Q58" s="138" t="s">
        <v>3510</v>
      </c>
      <c r="R58" s="141">
        <v>46023.0</v>
      </c>
      <c r="S58" s="141">
        <v>46387.0</v>
      </c>
      <c r="T58" s="138" t="s">
        <v>3511</v>
      </c>
      <c r="U58" s="138" t="s">
        <v>140</v>
      </c>
      <c r="V58" s="196" t="s">
        <v>141</v>
      </c>
      <c r="W58" s="138"/>
      <c r="X58" s="138"/>
      <c r="Y58" s="191"/>
    </row>
    <row r="59" ht="33.0" customHeight="1">
      <c r="A59" s="138">
        <v>58.0</v>
      </c>
      <c r="B59" s="143"/>
      <c r="C59" s="138" t="s">
        <v>20</v>
      </c>
      <c r="D59" s="138" t="s">
        <v>645</v>
      </c>
      <c r="E59" s="138" t="s">
        <v>3512</v>
      </c>
      <c r="F59" s="138" t="s">
        <v>3513</v>
      </c>
      <c r="G59" s="190" t="s">
        <v>3514</v>
      </c>
      <c r="H59" s="138" t="s">
        <v>70</v>
      </c>
      <c r="I59" s="146"/>
      <c r="J59" s="138">
        <v>25.0</v>
      </c>
      <c r="K59" s="138" t="s">
        <v>3515</v>
      </c>
      <c r="L59" s="138" t="s">
        <v>133</v>
      </c>
      <c r="M59" s="138" t="s">
        <v>3516</v>
      </c>
      <c r="N59" s="138" t="s">
        <v>3517</v>
      </c>
      <c r="O59" s="138" t="s">
        <v>3518</v>
      </c>
      <c r="P59" s="138" t="s">
        <v>3519</v>
      </c>
      <c r="Q59" s="145"/>
      <c r="R59" s="141">
        <v>46023.0</v>
      </c>
      <c r="S59" s="141">
        <v>46387.0</v>
      </c>
      <c r="T59" s="138" t="s">
        <v>3520</v>
      </c>
      <c r="U59" s="138" t="s">
        <v>140</v>
      </c>
      <c r="W59" s="138"/>
      <c r="X59" s="146"/>
      <c r="Y59" s="193"/>
    </row>
    <row r="60" ht="33.0" customHeight="1">
      <c r="A60" s="138">
        <v>59.0</v>
      </c>
      <c r="B60" s="143"/>
      <c r="C60" s="138" t="s">
        <v>20</v>
      </c>
      <c r="D60" s="138" t="s">
        <v>645</v>
      </c>
      <c r="E60" s="138" t="s">
        <v>3521</v>
      </c>
      <c r="F60" s="138" t="s">
        <v>3522</v>
      </c>
      <c r="G60" s="190" t="s">
        <v>3523</v>
      </c>
      <c r="H60" s="138" t="s">
        <v>70</v>
      </c>
      <c r="I60" s="146"/>
      <c r="J60" s="138">
        <v>10.0</v>
      </c>
      <c r="K60" s="138" t="s">
        <v>274</v>
      </c>
      <c r="L60" s="138" t="s">
        <v>3418</v>
      </c>
      <c r="M60" s="138" t="s">
        <v>3524</v>
      </c>
      <c r="N60" s="138" t="s">
        <v>3525</v>
      </c>
      <c r="O60" s="138" t="s">
        <v>3526</v>
      </c>
      <c r="P60" s="145"/>
      <c r="Q60" s="145"/>
      <c r="R60" s="141">
        <v>46023.0</v>
      </c>
      <c r="S60" s="141">
        <v>46387.0</v>
      </c>
      <c r="T60" s="138" t="s">
        <v>3527</v>
      </c>
      <c r="U60" s="138" t="s">
        <v>140</v>
      </c>
      <c r="W60" s="138"/>
      <c r="X60" s="146"/>
      <c r="Y60" s="193"/>
    </row>
    <row r="61" ht="33.0" customHeight="1">
      <c r="A61" s="138">
        <v>60.0</v>
      </c>
      <c r="B61" s="143"/>
      <c r="C61" s="138" t="s">
        <v>20</v>
      </c>
      <c r="D61" s="138" t="s">
        <v>645</v>
      </c>
      <c r="E61" s="138" t="s">
        <v>3528</v>
      </c>
      <c r="F61" s="138" t="s">
        <v>3529</v>
      </c>
      <c r="G61" s="190" t="s">
        <v>3530</v>
      </c>
      <c r="H61" s="138" t="s">
        <v>70</v>
      </c>
      <c r="I61" s="146"/>
      <c r="J61" s="138">
        <v>5.0</v>
      </c>
      <c r="K61" s="146"/>
      <c r="L61" s="138" t="s">
        <v>158</v>
      </c>
      <c r="M61" s="138" t="s">
        <v>3531</v>
      </c>
      <c r="N61" s="138" t="s">
        <v>3532</v>
      </c>
      <c r="O61" s="138" t="s">
        <v>3533</v>
      </c>
      <c r="P61" s="145"/>
      <c r="Q61" s="145"/>
      <c r="R61" s="141">
        <v>46023.0</v>
      </c>
      <c r="S61" s="141">
        <v>46387.0</v>
      </c>
      <c r="T61" s="138" t="s">
        <v>3534</v>
      </c>
      <c r="U61" s="138" t="s">
        <v>140</v>
      </c>
      <c r="W61" s="138"/>
      <c r="X61" s="146"/>
      <c r="Y61" s="193"/>
    </row>
    <row r="62" ht="33.0" customHeight="1">
      <c r="A62" s="138">
        <v>61.0</v>
      </c>
      <c r="B62" s="143"/>
      <c r="C62" s="138" t="s">
        <v>20</v>
      </c>
      <c r="D62" s="138" t="s">
        <v>659</v>
      </c>
      <c r="E62" s="138" t="s">
        <v>3535</v>
      </c>
      <c r="F62" s="138" t="s">
        <v>3536</v>
      </c>
      <c r="G62" s="190" t="s">
        <v>3537</v>
      </c>
      <c r="H62" s="138" t="s">
        <v>70</v>
      </c>
      <c r="I62" s="146"/>
      <c r="J62" s="138">
        <v>8.0</v>
      </c>
      <c r="K62" s="146"/>
      <c r="L62" s="138" t="s">
        <v>141</v>
      </c>
      <c r="M62" s="138" t="s">
        <v>3538</v>
      </c>
      <c r="N62" s="138" t="s">
        <v>3539</v>
      </c>
      <c r="O62" s="138" t="s">
        <v>3540</v>
      </c>
      <c r="P62" s="145"/>
      <c r="Q62" s="145"/>
      <c r="R62" s="141">
        <v>46023.0</v>
      </c>
      <c r="S62" s="141">
        <v>46387.0</v>
      </c>
      <c r="T62" s="138" t="s">
        <v>3541</v>
      </c>
      <c r="U62" s="138" t="s">
        <v>140</v>
      </c>
      <c r="W62" s="138"/>
      <c r="X62" s="146"/>
      <c r="Y62" s="193"/>
    </row>
    <row r="63" ht="33.0" customHeight="1">
      <c r="A63" s="138">
        <v>62.0</v>
      </c>
      <c r="B63" s="143"/>
      <c r="C63" s="138" t="s">
        <v>20</v>
      </c>
      <c r="D63" s="138" t="s">
        <v>659</v>
      </c>
      <c r="E63" s="138" t="s">
        <v>692</v>
      </c>
      <c r="F63" s="138" t="s">
        <v>3542</v>
      </c>
      <c r="G63" s="190" t="s">
        <v>3543</v>
      </c>
      <c r="H63" s="138" t="s">
        <v>70</v>
      </c>
      <c r="I63" s="146"/>
      <c r="J63" s="138">
        <v>12.0</v>
      </c>
      <c r="K63" s="138" t="s">
        <v>795</v>
      </c>
      <c r="L63" s="138" t="s">
        <v>133</v>
      </c>
      <c r="M63" s="138" t="s">
        <v>3544</v>
      </c>
      <c r="N63" s="138" t="s">
        <v>3545</v>
      </c>
      <c r="O63" s="138" t="s">
        <v>3546</v>
      </c>
      <c r="P63" s="145"/>
      <c r="Q63" s="145"/>
      <c r="R63" s="141">
        <v>46023.0</v>
      </c>
      <c r="S63" s="141">
        <v>46387.0</v>
      </c>
      <c r="T63" s="138" t="s">
        <v>3547</v>
      </c>
      <c r="U63" s="138" t="s">
        <v>140</v>
      </c>
      <c r="W63" s="138"/>
      <c r="X63" s="146"/>
      <c r="Y63" s="193"/>
    </row>
    <row r="64" ht="33.0" customHeight="1">
      <c r="A64" s="138">
        <v>63.0</v>
      </c>
      <c r="B64" s="143"/>
      <c r="C64" s="138" t="s">
        <v>20</v>
      </c>
      <c r="D64" s="138" t="s">
        <v>659</v>
      </c>
      <c r="E64" s="138" t="s">
        <v>84</v>
      </c>
      <c r="F64" s="138" t="s">
        <v>3548</v>
      </c>
      <c r="G64" s="190" t="s">
        <v>3549</v>
      </c>
      <c r="H64" s="138" t="s">
        <v>70</v>
      </c>
      <c r="I64" s="146"/>
      <c r="J64" s="138">
        <v>12.0</v>
      </c>
      <c r="K64" s="146"/>
      <c r="L64" s="138" t="s">
        <v>133</v>
      </c>
      <c r="M64" s="138" t="s">
        <v>3550</v>
      </c>
      <c r="N64" s="138">
        <v>9.063322109E9</v>
      </c>
      <c r="O64" s="138" t="s">
        <v>3551</v>
      </c>
      <c r="P64" s="145"/>
      <c r="Q64" s="145"/>
      <c r="R64" s="141">
        <v>46023.0</v>
      </c>
      <c r="S64" s="141">
        <v>46387.0</v>
      </c>
      <c r="T64" s="138" t="s">
        <v>3552</v>
      </c>
      <c r="U64" s="138" t="s">
        <v>140</v>
      </c>
      <c r="W64" s="138"/>
      <c r="X64" s="146"/>
      <c r="Y64" s="193"/>
    </row>
    <row r="65" ht="33.0" customHeight="1">
      <c r="A65" s="138">
        <v>64.0</v>
      </c>
      <c r="B65" s="143"/>
      <c r="C65" s="138" t="s">
        <v>20</v>
      </c>
      <c r="D65" s="138" t="s">
        <v>659</v>
      </c>
      <c r="E65" s="138" t="s">
        <v>3553</v>
      </c>
      <c r="F65" s="138" t="s">
        <v>3554</v>
      </c>
      <c r="G65" s="190" t="s">
        <v>3555</v>
      </c>
      <c r="H65" s="138" t="s">
        <v>70</v>
      </c>
      <c r="I65" s="146"/>
      <c r="J65" s="138">
        <v>10.0</v>
      </c>
      <c r="K65" s="138" t="s">
        <v>795</v>
      </c>
      <c r="L65" s="138" t="s">
        <v>133</v>
      </c>
      <c r="M65" s="138" t="s">
        <v>3556</v>
      </c>
      <c r="N65" s="138" t="s">
        <v>3557</v>
      </c>
      <c r="O65" s="138" t="s">
        <v>3558</v>
      </c>
      <c r="P65" s="138" t="s">
        <v>3559</v>
      </c>
      <c r="Q65" s="145"/>
      <c r="R65" s="141">
        <v>46063.0</v>
      </c>
      <c r="S65" s="141">
        <v>46387.0</v>
      </c>
      <c r="T65" s="138" t="s">
        <v>3560</v>
      </c>
      <c r="U65" s="138" t="s">
        <v>140</v>
      </c>
      <c r="W65" s="138"/>
      <c r="X65" s="146"/>
      <c r="Y65" s="193"/>
    </row>
    <row r="66" ht="33.0" customHeight="1">
      <c r="A66" s="138">
        <v>65.0</v>
      </c>
      <c r="B66" s="143"/>
      <c r="C66" s="138" t="s">
        <v>20</v>
      </c>
      <c r="D66" s="138" t="s">
        <v>659</v>
      </c>
      <c r="E66" s="138" t="s">
        <v>3553</v>
      </c>
      <c r="F66" s="138" t="s">
        <v>3561</v>
      </c>
      <c r="G66" s="190" t="s">
        <v>3562</v>
      </c>
      <c r="H66" s="138" t="s">
        <v>70</v>
      </c>
      <c r="I66" s="146"/>
      <c r="J66" s="138">
        <v>12.0</v>
      </c>
      <c r="K66" s="138" t="s">
        <v>663</v>
      </c>
      <c r="L66" s="138" t="s">
        <v>158</v>
      </c>
      <c r="M66" s="138" t="s">
        <v>3563</v>
      </c>
      <c r="N66" s="138">
        <v>9.159754953E9</v>
      </c>
      <c r="O66" s="138" t="s">
        <v>3564</v>
      </c>
      <c r="P66" s="145"/>
      <c r="Q66" s="145"/>
      <c r="R66" s="141">
        <v>46038.0</v>
      </c>
      <c r="S66" s="141">
        <v>46387.0</v>
      </c>
      <c r="T66" s="138" t="s">
        <v>3565</v>
      </c>
      <c r="U66" s="138" t="s">
        <v>140</v>
      </c>
      <c r="W66" s="138"/>
      <c r="X66" s="146"/>
      <c r="Y66" s="193"/>
    </row>
    <row r="67" ht="33.0" customHeight="1">
      <c r="A67" s="138">
        <v>66.0</v>
      </c>
      <c r="B67" s="143"/>
      <c r="C67" s="138" t="s">
        <v>20</v>
      </c>
      <c r="D67" s="138" t="s">
        <v>736</v>
      </c>
      <c r="E67" s="138" t="s">
        <v>737</v>
      </c>
      <c r="F67" s="138" t="s">
        <v>3566</v>
      </c>
      <c r="G67" s="190" t="s">
        <v>3567</v>
      </c>
      <c r="H67" s="138" t="s">
        <v>70</v>
      </c>
      <c r="I67" s="146"/>
      <c r="J67" s="138">
        <v>12.0</v>
      </c>
      <c r="K67" s="138" t="s">
        <v>3568</v>
      </c>
      <c r="L67" s="138" t="s">
        <v>158</v>
      </c>
      <c r="M67" s="138" t="s">
        <v>3569</v>
      </c>
      <c r="N67" s="138">
        <v>9.176290354E9</v>
      </c>
      <c r="O67" s="138" t="s">
        <v>3570</v>
      </c>
      <c r="P67" s="138" t="s">
        <v>3571</v>
      </c>
      <c r="Q67" s="145"/>
      <c r="R67" s="141">
        <v>46112.0</v>
      </c>
      <c r="S67" s="141">
        <v>46387.0</v>
      </c>
      <c r="T67" s="138" t="s">
        <v>3572</v>
      </c>
      <c r="U67" s="138" t="s">
        <v>140</v>
      </c>
      <c r="W67" s="138"/>
      <c r="X67" s="146"/>
      <c r="Y67" s="193"/>
    </row>
    <row r="68" ht="33.0" customHeight="1">
      <c r="A68" s="138">
        <v>67.0</v>
      </c>
      <c r="B68" s="143"/>
      <c r="C68" s="138" t="s">
        <v>20</v>
      </c>
      <c r="D68" s="138" t="s">
        <v>736</v>
      </c>
      <c r="E68" s="138" t="s">
        <v>3573</v>
      </c>
      <c r="F68" s="138" t="s">
        <v>3574</v>
      </c>
      <c r="G68" s="190" t="s">
        <v>3575</v>
      </c>
      <c r="H68" s="138" t="s">
        <v>70</v>
      </c>
      <c r="I68" s="138" t="s">
        <v>141</v>
      </c>
      <c r="J68" s="138">
        <v>12.0</v>
      </c>
      <c r="K68" s="138" t="s">
        <v>795</v>
      </c>
      <c r="L68" s="138" t="s">
        <v>158</v>
      </c>
      <c r="M68" s="138" t="s">
        <v>3576</v>
      </c>
      <c r="N68" s="138" t="s">
        <v>3577</v>
      </c>
      <c r="O68" s="138" t="s">
        <v>3578</v>
      </c>
      <c r="P68" s="138" t="s">
        <v>3571</v>
      </c>
      <c r="Q68" s="145"/>
      <c r="R68" s="141">
        <v>46023.0</v>
      </c>
      <c r="S68" s="141">
        <v>46387.0</v>
      </c>
      <c r="T68" s="138" t="s">
        <v>3579</v>
      </c>
      <c r="U68" s="138" t="s">
        <v>140</v>
      </c>
      <c r="W68" s="143"/>
      <c r="X68" s="143"/>
      <c r="Y68" s="192"/>
    </row>
    <row r="69" ht="33.0" customHeight="1">
      <c r="A69" s="138">
        <v>68.0</v>
      </c>
      <c r="B69" s="143"/>
      <c r="C69" s="138" t="s">
        <v>20</v>
      </c>
      <c r="D69" s="138" t="s">
        <v>384</v>
      </c>
      <c r="E69" s="138" t="s">
        <v>3580</v>
      </c>
      <c r="F69" s="138" t="s">
        <v>3581</v>
      </c>
      <c r="G69" s="190" t="s">
        <v>3582</v>
      </c>
      <c r="H69" s="138" t="s">
        <v>70</v>
      </c>
      <c r="I69" s="138" t="s">
        <v>141</v>
      </c>
      <c r="J69" s="138">
        <v>12.0</v>
      </c>
      <c r="K69" s="138" t="s">
        <v>274</v>
      </c>
      <c r="L69" s="138" t="s">
        <v>133</v>
      </c>
      <c r="M69" s="138" t="s">
        <v>3583</v>
      </c>
      <c r="N69" s="138">
        <v>4.27170126E8</v>
      </c>
      <c r="O69" s="138" t="s">
        <v>3584</v>
      </c>
      <c r="P69" s="145"/>
      <c r="Q69" s="145"/>
      <c r="R69" s="141">
        <v>46023.0</v>
      </c>
      <c r="S69" s="141">
        <v>46387.0</v>
      </c>
      <c r="T69" s="138" t="s">
        <v>3585</v>
      </c>
      <c r="U69" s="138" t="s">
        <v>140</v>
      </c>
      <c r="W69" s="138"/>
      <c r="X69" s="146"/>
      <c r="Y69" s="193"/>
    </row>
    <row r="70" ht="33.0" customHeight="1">
      <c r="A70" s="138">
        <v>69.0</v>
      </c>
      <c r="B70" s="143"/>
      <c r="C70" s="138" t="s">
        <v>20</v>
      </c>
      <c r="D70" s="138" t="s">
        <v>384</v>
      </c>
      <c r="E70" s="138" t="s">
        <v>3580</v>
      </c>
      <c r="F70" s="138" t="s">
        <v>3586</v>
      </c>
      <c r="G70" s="190" t="s">
        <v>3587</v>
      </c>
      <c r="H70" s="138" t="s">
        <v>70</v>
      </c>
      <c r="I70" s="138"/>
      <c r="J70" s="138">
        <v>10.0</v>
      </c>
      <c r="K70" s="138" t="s">
        <v>663</v>
      </c>
      <c r="L70" s="138" t="s">
        <v>133</v>
      </c>
      <c r="M70" s="138" t="s">
        <v>3588</v>
      </c>
      <c r="N70" s="138" t="s">
        <v>3589</v>
      </c>
      <c r="O70" s="138" t="s">
        <v>3590</v>
      </c>
      <c r="P70" s="145"/>
      <c r="Q70" s="145"/>
      <c r="R70" s="141">
        <v>46023.0</v>
      </c>
      <c r="S70" s="141">
        <v>46387.0</v>
      </c>
      <c r="T70" s="138" t="s">
        <v>3591</v>
      </c>
      <c r="U70" s="138" t="s">
        <v>140</v>
      </c>
      <c r="W70" s="138"/>
      <c r="X70" s="146"/>
      <c r="Y70" s="193"/>
    </row>
    <row r="71" ht="33.0" customHeight="1">
      <c r="A71" s="138">
        <v>70.0</v>
      </c>
      <c r="B71" s="143"/>
      <c r="C71" s="138" t="s">
        <v>20</v>
      </c>
      <c r="D71" s="138" t="s">
        <v>384</v>
      </c>
      <c r="E71" s="138" t="s">
        <v>3592</v>
      </c>
      <c r="F71" s="138" t="s">
        <v>3593</v>
      </c>
      <c r="G71" s="190" t="s">
        <v>3594</v>
      </c>
      <c r="H71" s="138" t="s">
        <v>70</v>
      </c>
      <c r="I71" s="146"/>
      <c r="J71" s="138">
        <v>10.0</v>
      </c>
      <c r="K71" s="138" t="s">
        <v>3515</v>
      </c>
      <c r="L71" s="138" t="s">
        <v>133</v>
      </c>
      <c r="M71" s="138" t="s">
        <v>3595</v>
      </c>
      <c r="N71" s="138">
        <v>9.954221665E9</v>
      </c>
      <c r="O71" s="138" t="s">
        <v>3596</v>
      </c>
      <c r="P71" s="145"/>
      <c r="Q71" s="145"/>
      <c r="R71" s="141">
        <v>46023.0</v>
      </c>
      <c r="S71" s="141">
        <v>46387.0</v>
      </c>
      <c r="T71" s="138" t="s">
        <v>3597</v>
      </c>
      <c r="U71" s="138" t="s">
        <v>140</v>
      </c>
      <c r="W71" s="138"/>
      <c r="X71" s="146"/>
      <c r="Y71" s="193"/>
    </row>
    <row r="72" ht="33.0" customHeight="1">
      <c r="A72" s="138">
        <v>71.0</v>
      </c>
      <c r="B72" s="143"/>
      <c r="C72" s="138" t="s">
        <v>20</v>
      </c>
      <c r="D72" s="138" t="s">
        <v>784</v>
      </c>
      <c r="E72" s="138" t="s">
        <v>3598</v>
      </c>
      <c r="F72" s="138" t="s">
        <v>3599</v>
      </c>
      <c r="G72" s="190" t="s">
        <v>3600</v>
      </c>
      <c r="H72" s="138" t="s">
        <v>70</v>
      </c>
      <c r="I72" s="146"/>
      <c r="J72" s="138">
        <v>19.0</v>
      </c>
      <c r="K72" s="138" t="s">
        <v>3515</v>
      </c>
      <c r="L72" s="138" t="s">
        <v>133</v>
      </c>
      <c r="M72" s="138" t="s">
        <v>3601</v>
      </c>
      <c r="N72" s="138">
        <v>8.3476694E7</v>
      </c>
      <c r="O72" s="138" t="s">
        <v>3602</v>
      </c>
      <c r="P72" s="145"/>
      <c r="Q72" s="145"/>
      <c r="R72" s="141">
        <v>46023.0</v>
      </c>
      <c r="S72" s="141">
        <v>46387.0</v>
      </c>
      <c r="T72" s="138" t="s">
        <v>3603</v>
      </c>
      <c r="U72" s="138" t="s">
        <v>140</v>
      </c>
      <c r="W72" s="138"/>
      <c r="X72" s="146"/>
      <c r="Y72" s="193"/>
    </row>
    <row r="73" ht="33.0" customHeight="1">
      <c r="A73" s="138">
        <v>72.0</v>
      </c>
      <c r="B73" s="143"/>
      <c r="C73" s="138" t="s">
        <v>20</v>
      </c>
      <c r="D73" s="138" t="s">
        <v>784</v>
      </c>
      <c r="E73" s="138" t="s">
        <v>3604</v>
      </c>
      <c r="F73" s="138" t="s">
        <v>3605</v>
      </c>
      <c r="G73" s="190" t="s">
        <v>3606</v>
      </c>
      <c r="H73" s="138" t="s">
        <v>70</v>
      </c>
      <c r="I73" s="146"/>
      <c r="J73" s="138">
        <v>12.0</v>
      </c>
      <c r="K73" s="138"/>
      <c r="L73" s="138" t="s">
        <v>158</v>
      </c>
      <c r="M73" s="138" t="s">
        <v>3607</v>
      </c>
      <c r="N73" s="138" t="s">
        <v>3608</v>
      </c>
      <c r="O73" s="138" t="s">
        <v>3609</v>
      </c>
      <c r="P73" s="145"/>
      <c r="Q73" s="145"/>
      <c r="R73" s="141">
        <v>46023.0</v>
      </c>
      <c r="S73" s="141">
        <v>46387.0</v>
      </c>
      <c r="T73" s="138" t="s">
        <v>3610</v>
      </c>
      <c r="U73" s="138" t="s">
        <v>140</v>
      </c>
      <c r="W73" s="138"/>
      <c r="X73" s="146"/>
      <c r="Y73" s="193"/>
    </row>
    <row r="74" ht="33.0" customHeight="1">
      <c r="A74" s="138">
        <v>73.0</v>
      </c>
      <c r="B74" s="143"/>
      <c r="C74" s="138" t="s">
        <v>20</v>
      </c>
      <c r="D74" s="138" t="s">
        <v>784</v>
      </c>
      <c r="E74" s="138" t="s">
        <v>3611</v>
      </c>
      <c r="F74" s="139" t="s">
        <v>3612</v>
      </c>
      <c r="G74" s="190" t="s">
        <v>3613</v>
      </c>
      <c r="H74" s="138" t="s">
        <v>70</v>
      </c>
      <c r="I74" s="146"/>
      <c r="J74" s="138">
        <v>15.0</v>
      </c>
      <c r="K74" s="138" t="s">
        <v>795</v>
      </c>
      <c r="L74" s="138" t="s">
        <v>133</v>
      </c>
      <c r="M74" s="138" t="s">
        <v>3614</v>
      </c>
      <c r="N74" s="138" t="s">
        <v>3615</v>
      </c>
      <c r="O74" s="138" t="s">
        <v>3616</v>
      </c>
      <c r="P74" s="138" t="s">
        <v>3617</v>
      </c>
      <c r="Q74" s="145"/>
      <c r="R74" s="141">
        <v>46023.0</v>
      </c>
      <c r="S74" s="141">
        <v>46387.0</v>
      </c>
      <c r="T74" s="138" t="s">
        <v>3618</v>
      </c>
      <c r="U74" s="138" t="s">
        <v>140</v>
      </c>
      <c r="W74" s="138"/>
      <c r="X74" s="146"/>
      <c r="Y74" s="193"/>
    </row>
    <row r="75" ht="33.0" customHeight="1">
      <c r="A75" s="138">
        <v>74.0</v>
      </c>
      <c r="B75" s="143"/>
      <c r="C75" s="138" t="s">
        <v>22</v>
      </c>
      <c r="D75" s="138" t="s">
        <v>818</v>
      </c>
      <c r="E75" s="138" t="s">
        <v>981</v>
      </c>
      <c r="F75" s="138" t="s">
        <v>3619</v>
      </c>
      <c r="G75" s="190" t="s">
        <v>3620</v>
      </c>
      <c r="H75" s="138" t="s">
        <v>70</v>
      </c>
      <c r="I75" s="138" t="s">
        <v>141</v>
      </c>
      <c r="J75" s="138">
        <v>10.0</v>
      </c>
      <c r="K75" s="138" t="s">
        <v>200</v>
      </c>
      <c r="L75" s="138" t="s">
        <v>141</v>
      </c>
      <c r="M75" s="138" t="s">
        <v>3621</v>
      </c>
      <c r="N75" s="138"/>
      <c r="O75" s="138" t="s">
        <v>3622</v>
      </c>
      <c r="P75" s="138" t="s">
        <v>3623</v>
      </c>
      <c r="Q75" s="138" t="s">
        <v>3624</v>
      </c>
      <c r="R75" s="141">
        <v>46023.0</v>
      </c>
      <c r="S75" s="141">
        <v>46387.0</v>
      </c>
      <c r="T75" s="138" t="s">
        <v>3625</v>
      </c>
      <c r="U75" s="138" t="s">
        <v>140</v>
      </c>
      <c r="W75" s="138"/>
      <c r="X75" s="146"/>
      <c r="Y75" s="193"/>
    </row>
    <row r="76" ht="33.0" customHeight="1">
      <c r="A76" s="138">
        <v>75.0</v>
      </c>
      <c r="B76" s="143"/>
      <c r="C76" s="138" t="s">
        <v>22</v>
      </c>
      <c r="D76" s="138" t="s">
        <v>848</v>
      </c>
      <c r="E76" s="138" t="s">
        <v>3626</v>
      </c>
      <c r="F76" s="138" t="s">
        <v>3627</v>
      </c>
      <c r="G76" s="190" t="s">
        <v>3628</v>
      </c>
      <c r="H76" s="138" t="s">
        <v>70</v>
      </c>
      <c r="I76" s="138" t="s">
        <v>141</v>
      </c>
      <c r="J76" s="138">
        <v>10.0</v>
      </c>
      <c r="K76" s="138" t="s">
        <v>3629</v>
      </c>
      <c r="L76" s="138" t="s">
        <v>133</v>
      </c>
      <c r="M76" s="138" t="s">
        <v>3630</v>
      </c>
      <c r="N76" s="138"/>
      <c r="O76" s="138" t="s">
        <v>3631</v>
      </c>
      <c r="P76" s="138" t="s">
        <v>3623</v>
      </c>
      <c r="Q76" s="138" t="s">
        <v>3632</v>
      </c>
      <c r="R76" s="141">
        <v>46023.0</v>
      </c>
      <c r="S76" s="141">
        <v>46387.0</v>
      </c>
      <c r="T76" s="138" t="s">
        <v>3633</v>
      </c>
      <c r="U76" s="138" t="s">
        <v>140</v>
      </c>
      <c r="W76" s="138"/>
      <c r="X76" s="146"/>
      <c r="Y76" s="193"/>
    </row>
    <row r="77" ht="33.0" customHeight="1">
      <c r="A77" s="138">
        <v>76.0</v>
      </c>
      <c r="B77" s="143"/>
      <c r="C77" s="138" t="s">
        <v>22</v>
      </c>
      <c r="D77" s="138" t="s">
        <v>848</v>
      </c>
      <c r="E77" s="138" t="s">
        <v>3626</v>
      </c>
      <c r="F77" s="138" t="s">
        <v>3634</v>
      </c>
      <c r="G77" s="190" t="s">
        <v>3635</v>
      </c>
      <c r="H77" s="138" t="s">
        <v>70</v>
      </c>
      <c r="I77" s="138" t="s">
        <v>141</v>
      </c>
      <c r="J77" s="138">
        <v>10.0</v>
      </c>
      <c r="K77" s="138" t="s">
        <v>200</v>
      </c>
      <c r="L77" s="138" t="s">
        <v>141</v>
      </c>
      <c r="M77" s="138" t="s">
        <v>3636</v>
      </c>
      <c r="N77" s="145"/>
      <c r="O77" s="138" t="s">
        <v>3637</v>
      </c>
      <c r="P77" s="138" t="s">
        <v>3623</v>
      </c>
      <c r="Q77" s="138" t="s">
        <v>3638</v>
      </c>
      <c r="R77" s="141">
        <v>46023.0</v>
      </c>
      <c r="S77" s="141">
        <v>46387.0</v>
      </c>
      <c r="T77" s="142" t="s">
        <v>3639</v>
      </c>
      <c r="U77" s="138" t="s">
        <v>140</v>
      </c>
      <c r="W77" s="143"/>
      <c r="X77" s="145"/>
      <c r="Y77" s="198"/>
    </row>
    <row r="78" ht="33.0" customHeight="1">
      <c r="A78" s="138">
        <v>77.0</v>
      </c>
      <c r="B78" s="143"/>
      <c r="C78" s="138" t="s">
        <v>22</v>
      </c>
      <c r="D78" s="138" t="s">
        <v>848</v>
      </c>
      <c r="E78" s="138" t="s">
        <v>981</v>
      </c>
      <c r="F78" s="138" t="s">
        <v>3640</v>
      </c>
      <c r="G78" s="190" t="s">
        <v>3641</v>
      </c>
      <c r="H78" s="138" t="s">
        <v>70</v>
      </c>
      <c r="I78" s="138" t="s">
        <v>141</v>
      </c>
      <c r="J78" s="138">
        <v>7.0</v>
      </c>
      <c r="K78" s="138" t="s">
        <v>169</v>
      </c>
      <c r="L78" s="138" t="s">
        <v>133</v>
      </c>
      <c r="M78" s="142" t="s">
        <v>3642</v>
      </c>
      <c r="N78" s="145"/>
      <c r="O78" s="138" t="s">
        <v>3643</v>
      </c>
      <c r="P78" s="138" t="s">
        <v>3623</v>
      </c>
      <c r="Q78" s="138" t="s">
        <v>3624</v>
      </c>
      <c r="R78" s="141">
        <v>46023.0</v>
      </c>
      <c r="S78" s="141">
        <v>46387.0</v>
      </c>
      <c r="T78" s="138" t="s">
        <v>3644</v>
      </c>
      <c r="U78" s="138" t="s">
        <v>140</v>
      </c>
      <c r="W78" s="143"/>
      <c r="X78" s="145"/>
      <c r="Y78" s="198"/>
    </row>
    <row r="79" ht="33.0" customHeight="1">
      <c r="A79" s="138">
        <v>78.0</v>
      </c>
      <c r="B79" s="143"/>
      <c r="C79" s="138" t="s">
        <v>22</v>
      </c>
      <c r="D79" s="138" t="s">
        <v>848</v>
      </c>
      <c r="E79" s="138" t="s">
        <v>3645</v>
      </c>
      <c r="F79" s="138" t="s">
        <v>3646</v>
      </c>
      <c r="G79" s="190" t="s">
        <v>3647</v>
      </c>
      <c r="H79" s="138" t="s">
        <v>70</v>
      </c>
      <c r="I79" s="138" t="s">
        <v>141</v>
      </c>
      <c r="J79" s="138">
        <v>4.0</v>
      </c>
      <c r="K79" s="138" t="s">
        <v>200</v>
      </c>
      <c r="L79" s="138" t="s">
        <v>141</v>
      </c>
      <c r="M79" s="142" t="s">
        <v>3648</v>
      </c>
      <c r="N79" s="158"/>
      <c r="O79" s="142" t="s">
        <v>3649</v>
      </c>
      <c r="P79" s="138" t="s">
        <v>3623</v>
      </c>
      <c r="Q79" s="138" t="s">
        <v>3650</v>
      </c>
      <c r="R79" s="141">
        <v>46023.0</v>
      </c>
      <c r="S79" s="141">
        <v>46387.0</v>
      </c>
      <c r="T79" s="142" t="s">
        <v>3651</v>
      </c>
      <c r="U79" s="138" t="s">
        <v>140</v>
      </c>
      <c r="W79" s="149"/>
      <c r="X79" s="146"/>
      <c r="Y79" s="193"/>
    </row>
    <row r="80" ht="33.0" customHeight="1">
      <c r="A80" s="138">
        <v>79.0</v>
      </c>
      <c r="B80" s="143"/>
      <c r="C80" s="138" t="s">
        <v>22</v>
      </c>
      <c r="D80" s="138" t="s">
        <v>881</v>
      </c>
      <c r="E80" s="138" t="s">
        <v>392</v>
      </c>
      <c r="F80" s="138" t="s">
        <v>3652</v>
      </c>
      <c r="G80" s="190" t="s">
        <v>3653</v>
      </c>
      <c r="H80" s="138" t="s">
        <v>70</v>
      </c>
      <c r="I80" s="138" t="s">
        <v>141</v>
      </c>
      <c r="J80" s="138">
        <v>12.0</v>
      </c>
      <c r="K80" s="138" t="s">
        <v>3654</v>
      </c>
      <c r="L80" s="138" t="s">
        <v>133</v>
      </c>
      <c r="M80" s="138" t="s">
        <v>3655</v>
      </c>
      <c r="N80" s="145"/>
      <c r="O80" s="138" t="s">
        <v>3656</v>
      </c>
      <c r="P80" s="138" t="s">
        <v>3623</v>
      </c>
      <c r="Q80" s="138" t="s">
        <v>3657</v>
      </c>
      <c r="R80" s="141">
        <v>46023.0</v>
      </c>
      <c r="S80" s="141">
        <v>46387.0</v>
      </c>
      <c r="T80" s="142" t="s">
        <v>3658</v>
      </c>
      <c r="U80" s="138" t="s">
        <v>140</v>
      </c>
      <c r="W80" s="145"/>
      <c r="X80" s="146"/>
      <c r="Y80" s="193"/>
    </row>
    <row r="81" ht="33.0" customHeight="1">
      <c r="A81" s="138">
        <v>80.0</v>
      </c>
      <c r="B81" s="143"/>
      <c r="C81" s="138" t="s">
        <v>22</v>
      </c>
      <c r="D81" s="138" t="s">
        <v>948</v>
      </c>
      <c r="E81" s="138" t="s">
        <v>3659</v>
      </c>
      <c r="F81" s="138" t="s">
        <v>3660</v>
      </c>
      <c r="G81" s="199" t="s">
        <v>3661</v>
      </c>
      <c r="H81" s="138" t="s">
        <v>70</v>
      </c>
      <c r="I81" s="138" t="s">
        <v>141</v>
      </c>
      <c r="J81" s="138">
        <v>10.0</v>
      </c>
      <c r="K81" s="138" t="s">
        <v>200</v>
      </c>
      <c r="L81" s="138" t="s">
        <v>141</v>
      </c>
      <c r="M81" s="142" t="s">
        <v>3662</v>
      </c>
      <c r="N81" s="158"/>
      <c r="O81" s="142" t="s">
        <v>3663</v>
      </c>
      <c r="P81" s="138" t="s">
        <v>3623</v>
      </c>
      <c r="Q81" s="138" t="s">
        <v>959</v>
      </c>
      <c r="R81" s="141">
        <v>46049.0</v>
      </c>
      <c r="S81" s="141">
        <v>46387.0</v>
      </c>
      <c r="T81" s="142" t="s">
        <v>3664</v>
      </c>
      <c r="U81" s="138" t="s">
        <v>140</v>
      </c>
      <c r="W81" s="149"/>
      <c r="X81" s="146"/>
      <c r="Y81" s="193"/>
    </row>
    <row r="82" ht="33.0" customHeight="1">
      <c r="A82" s="138">
        <v>81.0</v>
      </c>
      <c r="B82" s="143"/>
      <c r="C82" s="138" t="s">
        <v>22</v>
      </c>
      <c r="D82" s="138" t="s">
        <v>948</v>
      </c>
      <c r="E82" s="138" t="s">
        <v>3659</v>
      </c>
      <c r="F82" s="138" t="s">
        <v>3665</v>
      </c>
      <c r="G82" s="190" t="s">
        <v>3666</v>
      </c>
      <c r="H82" s="138" t="s">
        <v>70</v>
      </c>
      <c r="I82" s="138" t="s">
        <v>141</v>
      </c>
      <c r="J82" s="138">
        <v>6.0</v>
      </c>
      <c r="K82" s="138" t="s">
        <v>200</v>
      </c>
      <c r="L82" s="138" t="s">
        <v>141</v>
      </c>
      <c r="M82" s="138" t="s">
        <v>3667</v>
      </c>
      <c r="N82" s="145"/>
      <c r="O82" s="138" t="s">
        <v>3668</v>
      </c>
      <c r="P82" s="138" t="s">
        <v>3623</v>
      </c>
      <c r="Q82" s="138" t="s">
        <v>959</v>
      </c>
      <c r="R82" s="141">
        <v>46023.0</v>
      </c>
      <c r="S82" s="141">
        <v>46387.0</v>
      </c>
      <c r="T82" s="138" t="s">
        <v>3669</v>
      </c>
      <c r="U82" s="138" t="s">
        <v>140</v>
      </c>
      <c r="W82" s="143"/>
      <c r="X82" s="146"/>
      <c r="Y82" s="193"/>
    </row>
    <row r="83" ht="33.0" customHeight="1">
      <c r="A83" s="138">
        <v>82.0</v>
      </c>
      <c r="B83" s="143"/>
      <c r="C83" s="138" t="s">
        <v>24</v>
      </c>
      <c r="D83" s="138" t="s">
        <v>987</v>
      </c>
      <c r="E83" s="138" t="s">
        <v>988</v>
      </c>
      <c r="F83" s="138" t="s">
        <v>3670</v>
      </c>
      <c r="G83" s="190" t="s">
        <v>3671</v>
      </c>
      <c r="H83" s="138" t="s">
        <v>70</v>
      </c>
      <c r="I83" s="138" t="s">
        <v>141</v>
      </c>
      <c r="J83" s="138">
        <v>5.0</v>
      </c>
      <c r="K83" s="138" t="s">
        <v>141</v>
      </c>
      <c r="L83" s="138" t="s">
        <v>141</v>
      </c>
      <c r="M83" s="138" t="s">
        <v>3672</v>
      </c>
      <c r="N83" s="138">
        <v>9.17559428E9</v>
      </c>
      <c r="O83" s="138" t="s">
        <v>3673</v>
      </c>
      <c r="P83" s="138" t="s">
        <v>141</v>
      </c>
      <c r="Q83" s="138" t="s">
        <v>3674</v>
      </c>
      <c r="R83" s="141">
        <v>46092.0</v>
      </c>
      <c r="S83" s="141">
        <v>46387.0</v>
      </c>
      <c r="T83" s="142" t="s">
        <v>3675</v>
      </c>
      <c r="U83" s="138" t="s">
        <v>348</v>
      </c>
      <c r="W83" s="143"/>
      <c r="X83" s="146"/>
      <c r="Y83" s="193"/>
    </row>
    <row r="84" ht="33.0" customHeight="1">
      <c r="A84" s="138">
        <v>83.0</v>
      </c>
      <c r="B84" s="142">
        <v>5962.0</v>
      </c>
      <c r="C84" s="138" t="s">
        <v>24</v>
      </c>
      <c r="D84" s="142" t="s">
        <v>987</v>
      </c>
      <c r="E84" s="142" t="s">
        <v>3676</v>
      </c>
      <c r="F84" s="142" t="s">
        <v>3677</v>
      </c>
      <c r="G84" s="199" t="s">
        <v>3678</v>
      </c>
      <c r="H84" s="138" t="s">
        <v>70</v>
      </c>
      <c r="I84" s="142" t="s">
        <v>141</v>
      </c>
      <c r="J84" s="142">
        <v>10.0</v>
      </c>
      <c r="K84" s="142" t="s">
        <v>428</v>
      </c>
      <c r="L84" s="142" t="s">
        <v>141</v>
      </c>
      <c r="M84" s="142" t="s">
        <v>3679</v>
      </c>
      <c r="N84" s="142">
        <v>9.972162127E9</v>
      </c>
      <c r="O84" s="142" t="s">
        <v>3680</v>
      </c>
      <c r="P84" s="142" t="s">
        <v>141</v>
      </c>
      <c r="Q84" s="142" t="s">
        <v>3681</v>
      </c>
      <c r="R84" s="160">
        <v>46023.0</v>
      </c>
      <c r="S84" s="160">
        <v>46387.0</v>
      </c>
      <c r="T84" s="142" t="s">
        <v>3682</v>
      </c>
      <c r="U84" s="142" t="s">
        <v>140</v>
      </c>
      <c r="W84" s="149"/>
      <c r="X84" s="168"/>
      <c r="Y84" s="200"/>
    </row>
    <row r="85" ht="33.0" customHeight="1">
      <c r="A85" s="138">
        <v>84.0</v>
      </c>
      <c r="B85" s="142">
        <v>4256.0</v>
      </c>
      <c r="C85" s="138" t="s">
        <v>24</v>
      </c>
      <c r="D85" s="142" t="s">
        <v>987</v>
      </c>
      <c r="E85" s="142" t="s">
        <v>3683</v>
      </c>
      <c r="F85" s="142" t="s">
        <v>3684</v>
      </c>
      <c r="G85" s="199" t="s">
        <v>3685</v>
      </c>
      <c r="H85" s="138" t="s">
        <v>70</v>
      </c>
      <c r="I85" s="142" t="s">
        <v>141</v>
      </c>
      <c r="J85" s="142">
        <v>16.0</v>
      </c>
      <c r="K85" s="142" t="s">
        <v>3686</v>
      </c>
      <c r="L85" s="142" t="s">
        <v>141</v>
      </c>
      <c r="M85" s="142" t="s">
        <v>3687</v>
      </c>
      <c r="N85" s="142" t="s">
        <v>3688</v>
      </c>
      <c r="O85" s="142" t="s">
        <v>3689</v>
      </c>
      <c r="P85" s="142" t="s">
        <v>141</v>
      </c>
      <c r="Q85" s="142" t="s">
        <v>3681</v>
      </c>
      <c r="R85" s="160">
        <v>46023.0</v>
      </c>
      <c r="S85" s="160">
        <v>46387.0</v>
      </c>
      <c r="T85" s="142" t="s">
        <v>3690</v>
      </c>
      <c r="U85" s="142" t="s">
        <v>140</v>
      </c>
      <c r="W85" s="149"/>
      <c r="X85" s="168"/>
      <c r="Y85" s="200" t="s">
        <v>142</v>
      </c>
    </row>
    <row r="86" ht="33.0" customHeight="1">
      <c r="A86" s="138">
        <v>85.0</v>
      </c>
      <c r="B86" s="142">
        <v>2260.0</v>
      </c>
      <c r="C86" s="138" t="s">
        <v>24</v>
      </c>
      <c r="D86" s="142" t="s">
        <v>987</v>
      </c>
      <c r="E86" s="142" t="s">
        <v>1012</v>
      </c>
      <c r="F86" s="142" t="s">
        <v>3691</v>
      </c>
      <c r="G86" s="199" t="s">
        <v>3692</v>
      </c>
      <c r="H86" s="138" t="s">
        <v>70</v>
      </c>
      <c r="I86" s="142" t="s">
        <v>141</v>
      </c>
      <c r="J86" s="142">
        <v>10.0</v>
      </c>
      <c r="K86" s="142" t="s">
        <v>428</v>
      </c>
      <c r="L86" s="142" t="s">
        <v>141</v>
      </c>
      <c r="M86" s="142" t="s">
        <v>3693</v>
      </c>
      <c r="N86" s="142">
        <v>9.154805406E9</v>
      </c>
      <c r="O86" s="142" t="s">
        <v>3694</v>
      </c>
      <c r="P86" s="142" t="s">
        <v>141</v>
      </c>
      <c r="Q86" s="142" t="s">
        <v>3681</v>
      </c>
      <c r="R86" s="160">
        <v>46023.0</v>
      </c>
      <c r="S86" s="160">
        <v>46387.0</v>
      </c>
      <c r="T86" s="142" t="s">
        <v>3695</v>
      </c>
      <c r="U86" s="142" t="s">
        <v>140</v>
      </c>
      <c r="W86" s="149"/>
      <c r="X86" s="168"/>
      <c r="Y86" s="201"/>
    </row>
    <row r="87" ht="33.0" customHeight="1">
      <c r="A87" s="138">
        <v>86.0</v>
      </c>
      <c r="B87" s="142">
        <v>4306.0</v>
      </c>
      <c r="C87" s="138" t="s">
        <v>24</v>
      </c>
      <c r="D87" s="142" t="s">
        <v>987</v>
      </c>
      <c r="E87" s="142" t="s">
        <v>3696</v>
      </c>
      <c r="F87" s="142" t="s">
        <v>3697</v>
      </c>
      <c r="G87" s="199" t="s">
        <v>3698</v>
      </c>
      <c r="H87" s="138" t="s">
        <v>70</v>
      </c>
      <c r="I87" s="142" t="s">
        <v>141</v>
      </c>
      <c r="J87" s="142">
        <v>8.0</v>
      </c>
      <c r="K87" s="142" t="s">
        <v>428</v>
      </c>
      <c r="L87" s="142" t="s">
        <v>141</v>
      </c>
      <c r="M87" s="142" t="s">
        <v>3699</v>
      </c>
      <c r="N87" s="142">
        <v>9.478972287E9</v>
      </c>
      <c r="O87" s="142" t="s">
        <v>3700</v>
      </c>
      <c r="P87" s="142" t="s">
        <v>141</v>
      </c>
      <c r="Q87" s="142" t="s">
        <v>3701</v>
      </c>
      <c r="R87" s="160">
        <v>46023.0</v>
      </c>
      <c r="S87" s="160">
        <v>46387.0</v>
      </c>
      <c r="T87" s="142" t="s">
        <v>3702</v>
      </c>
      <c r="U87" s="142" t="s">
        <v>140</v>
      </c>
      <c r="W87" s="149"/>
      <c r="X87" s="168"/>
      <c r="Y87" s="200" t="s">
        <v>142</v>
      </c>
    </row>
    <row r="88" ht="33.0" customHeight="1">
      <c r="A88" s="138">
        <v>87.0</v>
      </c>
      <c r="B88" s="138">
        <v>2881.0</v>
      </c>
      <c r="C88" s="138" t="s">
        <v>24</v>
      </c>
      <c r="D88" s="138" t="s">
        <v>987</v>
      </c>
      <c r="E88" s="138" t="s">
        <v>3703</v>
      </c>
      <c r="F88" s="138" t="s">
        <v>3704</v>
      </c>
      <c r="G88" s="190" t="s">
        <v>3705</v>
      </c>
      <c r="H88" s="138" t="s">
        <v>70</v>
      </c>
      <c r="I88" s="138" t="s">
        <v>141</v>
      </c>
      <c r="J88" s="138">
        <v>18.0</v>
      </c>
      <c r="K88" s="138" t="s">
        <v>3706</v>
      </c>
      <c r="L88" s="138" t="s">
        <v>158</v>
      </c>
      <c r="M88" s="142" t="s">
        <v>3707</v>
      </c>
      <c r="N88" s="142">
        <v>9.514156035E9</v>
      </c>
      <c r="O88" s="142" t="s">
        <v>3708</v>
      </c>
      <c r="P88" s="138" t="s">
        <v>141</v>
      </c>
      <c r="Q88" s="138" t="s">
        <v>3709</v>
      </c>
      <c r="R88" s="141">
        <v>46023.0</v>
      </c>
      <c r="S88" s="141">
        <v>46387.0</v>
      </c>
      <c r="T88" s="142" t="s">
        <v>3710</v>
      </c>
      <c r="U88" s="138" t="s">
        <v>140</v>
      </c>
      <c r="W88" s="149"/>
      <c r="X88" s="146"/>
      <c r="Y88" s="191" t="s">
        <v>142</v>
      </c>
    </row>
    <row r="89" ht="33.0" customHeight="1">
      <c r="A89" s="138">
        <v>88.0</v>
      </c>
      <c r="B89" s="142">
        <v>51684.0</v>
      </c>
      <c r="C89" s="138" t="s">
        <v>24</v>
      </c>
      <c r="D89" s="142" t="s">
        <v>987</v>
      </c>
      <c r="E89" s="142" t="s">
        <v>3703</v>
      </c>
      <c r="F89" s="142" t="s">
        <v>3711</v>
      </c>
      <c r="G89" s="199" t="s">
        <v>3712</v>
      </c>
      <c r="H89" s="138" t="s">
        <v>70</v>
      </c>
      <c r="I89" s="142" t="s">
        <v>141</v>
      </c>
      <c r="J89" s="142">
        <v>13.0</v>
      </c>
      <c r="K89" s="142" t="s">
        <v>274</v>
      </c>
      <c r="L89" s="142" t="s">
        <v>141</v>
      </c>
      <c r="M89" s="142" t="s">
        <v>3713</v>
      </c>
      <c r="N89" s="142">
        <v>9.812594827E9</v>
      </c>
      <c r="O89" s="142" t="s">
        <v>3714</v>
      </c>
      <c r="P89" s="142" t="s">
        <v>141</v>
      </c>
      <c r="Q89" s="142" t="s">
        <v>3715</v>
      </c>
      <c r="R89" s="160">
        <v>46023.0</v>
      </c>
      <c r="S89" s="160">
        <v>46387.0</v>
      </c>
      <c r="T89" s="142" t="s">
        <v>3716</v>
      </c>
      <c r="U89" s="142" t="s">
        <v>140</v>
      </c>
      <c r="W89" s="149"/>
      <c r="X89" s="168"/>
      <c r="Y89" s="200"/>
    </row>
    <row r="90" ht="33.0" customHeight="1">
      <c r="A90" s="138">
        <v>89.0</v>
      </c>
      <c r="B90" s="142">
        <v>3410.0</v>
      </c>
      <c r="C90" s="138" t="s">
        <v>24</v>
      </c>
      <c r="D90" s="142" t="s">
        <v>987</v>
      </c>
      <c r="E90" s="142" t="s">
        <v>3703</v>
      </c>
      <c r="F90" s="142" t="s">
        <v>3717</v>
      </c>
      <c r="G90" s="199" t="s">
        <v>3718</v>
      </c>
      <c r="H90" s="138" t="s">
        <v>70</v>
      </c>
      <c r="I90" s="142" t="s">
        <v>141</v>
      </c>
      <c r="J90" s="142">
        <v>5.0</v>
      </c>
      <c r="K90" s="142" t="s">
        <v>428</v>
      </c>
      <c r="L90" s="142" t="s">
        <v>141</v>
      </c>
      <c r="M90" s="142" t="s">
        <v>3719</v>
      </c>
      <c r="N90" s="142">
        <v>9.126384486E9</v>
      </c>
      <c r="O90" s="142" t="s">
        <v>3720</v>
      </c>
      <c r="P90" s="142" t="s">
        <v>141</v>
      </c>
      <c r="Q90" s="142" t="s">
        <v>3721</v>
      </c>
      <c r="R90" s="160">
        <v>46023.0</v>
      </c>
      <c r="S90" s="160">
        <v>46387.0</v>
      </c>
      <c r="T90" s="142" t="s">
        <v>3722</v>
      </c>
      <c r="U90" s="142" t="s">
        <v>140</v>
      </c>
      <c r="W90" s="149"/>
      <c r="X90" s="168"/>
      <c r="Y90" s="200"/>
    </row>
    <row r="91" ht="33.0" customHeight="1">
      <c r="A91" s="138">
        <v>90.0</v>
      </c>
      <c r="B91" s="138">
        <v>5125.0</v>
      </c>
      <c r="C91" s="138" t="s">
        <v>24</v>
      </c>
      <c r="D91" s="138" t="s">
        <v>987</v>
      </c>
      <c r="E91" s="138" t="s">
        <v>3723</v>
      </c>
      <c r="F91" s="138" t="s">
        <v>3724</v>
      </c>
      <c r="G91" s="190" t="s">
        <v>3725</v>
      </c>
      <c r="H91" s="138" t="s">
        <v>70</v>
      </c>
      <c r="I91" s="138" t="s">
        <v>141</v>
      </c>
      <c r="J91" s="138">
        <v>6.0</v>
      </c>
      <c r="K91" s="138" t="s">
        <v>3726</v>
      </c>
      <c r="L91" s="138" t="s">
        <v>141</v>
      </c>
      <c r="M91" s="142" t="s">
        <v>3727</v>
      </c>
      <c r="N91" s="142">
        <v>9.9548864E9</v>
      </c>
      <c r="O91" s="142" t="s">
        <v>3728</v>
      </c>
      <c r="P91" s="138" t="s">
        <v>141</v>
      </c>
      <c r="Q91" s="138" t="s">
        <v>3729</v>
      </c>
      <c r="R91" s="141">
        <v>46023.0</v>
      </c>
      <c r="S91" s="141">
        <v>46387.0</v>
      </c>
      <c r="T91" s="142" t="s">
        <v>3730</v>
      </c>
      <c r="U91" s="138" t="s">
        <v>2105</v>
      </c>
      <c r="V91" s="202" t="s">
        <v>241</v>
      </c>
      <c r="W91" s="142" t="s">
        <v>3731</v>
      </c>
      <c r="X91" s="145"/>
      <c r="Y91" s="198"/>
    </row>
    <row r="92" ht="33.0" customHeight="1">
      <c r="A92" s="138">
        <v>91.0</v>
      </c>
      <c r="B92" s="142">
        <v>3299.0</v>
      </c>
      <c r="C92" s="138" t="s">
        <v>24</v>
      </c>
      <c r="D92" s="142" t="s">
        <v>987</v>
      </c>
      <c r="E92" s="142" t="s">
        <v>3732</v>
      </c>
      <c r="F92" s="142" t="s">
        <v>3733</v>
      </c>
      <c r="G92" s="199" t="s">
        <v>3734</v>
      </c>
      <c r="H92" s="138" t="s">
        <v>70</v>
      </c>
      <c r="I92" s="142" t="s">
        <v>141</v>
      </c>
      <c r="J92" s="142">
        <v>11.0</v>
      </c>
      <c r="K92" s="142" t="s">
        <v>3735</v>
      </c>
      <c r="L92" s="142" t="s">
        <v>141</v>
      </c>
      <c r="M92" s="142" t="s">
        <v>3736</v>
      </c>
      <c r="N92" s="142">
        <v>9.352490418E9</v>
      </c>
      <c r="O92" s="142" t="s">
        <v>3737</v>
      </c>
      <c r="P92" s="142" t="s">
        <v>141</v>
      </c>
      <c r="Q92" s="142" t="s">
        <v>3738</v>
      </c>
      <c r="R92" s="160">
        <v>46023.0</v>
      </c>
      <c r="S92" s="160">
        <v>46387.0</v>
      </c>
      <c r="T92" s="142" t="s">
        <v>3739</v>
      </c>
      <c r="U92" s="142" t="s">
        <v>140</v>
      </c>
      <c r="W92" s="149"/>
      <c r="X92" s="168"/>
      <c r="Y92" s="200" t="s">
        <v>142</v>
      </c>
    </row>
    <row r="93" ht="33.0" customHeight="1">
      <c r="A93" s="138">
        <v>92.0</v>
      </c>
      <c r="B93" s="142">
        <v>37946.0</v>
      </c>
      <c r="C93" s="138" t="s">
        <v>24</v>
      </c>
      <c r="D93" s="142" t="s">
        <v>987</v>
      </c>
      <c r="E93" s="142" t="s">
        <v>3732</v>
      </c>
      <c r="F93" s="142" t="s">
        <v>3740</v>
      </c>
      <c r="G93" s="199" t="s">
        <v>3741</v>
      </c>
      <c r="H93" s="138" t="s">
        <v>70</v>
      </c>
      <c r="I93" s="142" t="s">
        <v>105</v>
      </c>
      <c r="J93" s="142">
        <v>12.0</v>
      </c>
      <c r="K93" s="142" t="s">
        <v>3742</v>
      </c>
      <c r="L93" s="142" t="s">
        <v>141</v>
      </c>
      <c r="M93" s="142" t="s">
        <v>3743</v>
      </c>
      <c r="N93" s="142">
        <v>9.369618432E9</v>
      </c>
      <c r="O93" s="142" t="s">
        <v>3744</v>
      </c>
      <c r="P93" s="142" t="s">
        <v>141</v>
      </c>
      <c r="Q93" s="142" t="s">
        <v>3745</v>
      </c>
      <c r="R93" s="160">
        <v>46023.0</v>
      </c>
      <c r="S93" s="160">
        <v>46387.0</v>
      </c>
      <c r="T93" s="142" t="s">
        <v>3746</v>
      </c>
      <c r="U93" s="142" t="s">
        <v>140</v>
      </c>
      <c r="W93" s="149"/>
      <c r="X93" s="168"/>
      <c r="Y93" s="200" t="s">
        <v>142</v>
      </c>
    </row>
    <row r="94" ht="33.0" customHeight="1">
      <c r="A94" s="138">
        <v>93.0</v>
      </c>
      <c r="B94" s="138">
        <v>32445.0</v>
      </c>
      <c r="C94" s="138" t="s">
        <v>24</v>
      </c>
      <c r="D94" s="138" t="s">
        <v>1021</v>
      </c>
      <c r="E94" s="142" t="s">
        <v>3747</v>
      </c>
      <c r="F94" s="138" t="s">
        <v>3748</v>
      </c>
      <c r="G94" s="190" t="s">
        <v>3749</v>
      </c>
      <c r="H94" s="138" t="s">
        <v>70</v>
      </c>
      <c r="I94" s="138" t="s">
        <v>141</v>
      </c>
      <c r="J94" s="138">
        <v>17.0</v>
      </c>
      <c r="K94" s="138" t="s">
        <v>3750</v>
      </c>
      <c r="L94" s="138" t="s">
        <v>141</v>
      </c>
      <c r="M94" s="138" t="s">
        <v>3751</v>
      </c>
      <c r="N94" s="138">
        <v>9.083466079E9</v>
      </c>
      <c r="O94" s="138" t="s">
        <v>3752</v>
      </c>
      <c r="P94" s="138" t="s">
        <v>141</v>
      </c>
      <c r="Q94" s="138" t="s">
        <v>3753</v>
      </c>
      <c r="R94" s="141">
        <v>46023.0</v>
      </c>
      <c r="S94" s="141">
        <v>46387.0</v>
      </c>
      <c r="T94" s="138" t="s">
        <v>3754</v>
      </c>
      <c r="U94" s="138" t="s">
        <v>140</v>
      </c>
      <c r="W94" s="145"/>
      <c r="X94" s="146"/>
      <c r="Y94" s="191" t="s">
        <v>142</v>
      </c>
    </row>
    <row r="95" ht="33.0" customHeight="1">
      <c r="A95" s="138">
        <v>94.0</v>
      </c>
      <c r="B95" s="142">
        <v>309.0</v>
      </c>
      <c r="C95" s="138" t="s">
        <v>24</v>
      </c>
      <c r="D95" s="142" t="s">
        <v>1021</v>
      </c>
      <c r="E95" s="142" t="s">
        <v>3747</v>
      </c>
      <c r="F95" s="142" t="s">
        <v>3755</v>
      </c>
      <c r="G95" s="199" t="s">
        <v>3756</v>
      </c>
      <c r="H95" s="138" t="s">
        <v>70</v>
      </c>
      <c r="I95" s="142" t="s">
        <v>141</v>
      </c>
      <c r="J95" s="142">
        <v>25.0</v>
      </c>
      <c r="K95" s="142" t="s">
        <v>3757</v>
      </c>
      <c r="L95" s="142" t="s">
        <v>133</v>
      </c>
      <c r="M95" s="142" t="s">
        <v>3758</v>
      </c>
      <c r="N95" s="161" t="s">
        <v>3759</v>
      </c>
      <c r="O95" s="142" t="s">
        <v>3760</v>
      </c>
      <c r="P95" s="142" t="s">
        <v>141</v>
      </c>
      <c r="Q95" s="142" t="s">
        <v>3761</v>
      </c>
      <c r="R95" s="160">
        <v>46023.0</v>
      </c>
      <c r="S95" s="160">
        <v>46387.0</v>
      </c>
      <c r="T95" s="142" t="s">
        <v>3762</v>
      </c>
      <c r="U95" s="142" t="s">
        <v>140</v>
      </c>
      <c r="W95" s="149"/>
      <c r="X95" s="168"/>
      <c r="Y95" s="200" t="s">
        <v>142</v>
      </c>
    </row>
    <row r="96" ht="33.0" customHeight="1">
      <c r="A96" s="138">
        <v>95.0</v>
      </c>
      <c r="B96" s="142">
        <v>298.0</v>
      </c>
      <c r="C96" s="138" t="s">
        <v>24</v>
      </c>
      <c r="D96" s="142" t="s">
        <v>1021</v>
      </c>
      <c r="E96" s="142" t="s">
        <v>3763</v>
      </c>
      <c r="F96" s="161" t="s">
        <v>3764</v>
      </c>
      <c r="G96" s="199" t="s">
        <v>3765</v>
      </c>
      <c r="H96" s="138" t="s">
        <v>70</v>
      </c>
      <c r="I96" s="142" t="s">
        <v>141</v>
      </c>
      <c r="J96" s="142">
        <v>17.0</v>
      </c>
      <c r="K96" s="142" t="s">
        <v>3766</v>
      </c>
      <c r="L96" s="142" t="s">
        <v>158</v>
      </c>
      <c r="M96" s="142" t="s">
        <v>3767</v>
      </c>
      <c r="N96" s="142" t="s">
        <v>3768</v>
      </c>
      <c r="O96" s="142" t="s">
        <v>3769</v>
      </c>
      <c r="P96" s="142" t="s">
        <v>141</v>
      </c>
      <c r="Q96" s="142" t="s">
        <v>3753</v>
      </c>
      <c r="R96" s="160">
        <v>46023.0</v>
      </c>
      <c r="S96" s="160">
        <v>46387.0</v>
      </c>
      <c r="T96" s="142" t="s">
        <v>3770</v>
      </c>
      <c r="U96" s="142" t="s">
        <v>140</v>
      </c>
      <c r="W96" s="149"/>
      <c r="X96" s="168"/>
      <c r="Y96" s="200" t="s">
        <v>142</v>
      </c>
    </row>
    <row r="97" ht="33.0" customHeight="1">
      <c r="A97" s="138">
        <v>96.0</v>
      </c>
      <c r="B97" s="142">
        <v>5233.0</v>
      </c>
      <c r="C97" s="138" t="s">
        <v>24</v>
      </c>
      <c r="D97" s="142" t="s">
        <v>1021</v>
      </c>
      <c r="E97" s="142" t="s">
        <v>3763</v>
      </c>
      <c r="F97" s="142" t="s">
        <v>3771</v>
      </c>
      <c r="G97" s="199" t="s">
        <v>3772</v>
      </c>
      <c r="H97" s="138" t="s">
        <v>70</v>
      </c>
      <c r="I97" s="142" t="s">
        <v>141</v>
      </c>
      <c r="J97" s="142">
        <v>24.0</v>
      </c>
      <c r="K97" s="142" t="s">
        <v>3773</v>
      </c>
      <c r="L97" s="142" t="s">
        <v>133</v>
      </c>
      <c r="M97" s="142" t="s">
        <v>3774</v>
      </c>
      <c r="N97" s="161" t="s">
        <v>3775</v>
      </c>
      <c r="O97" s="142" t="s">
        <v>3776</v>
      </c>
      <c r="P97" s="142" t="s">
        <v>141</v>
      </c>
      <c r="Q97" s="142" t="s">
        <v>3761</v>
      </c>
      <c r="R97" s="160">
        <v>46023.0</v>
      </c>
      <c r="S97" s="160">
        <v>46387.0</v>
      </c>
      <c r="T97" s="142" t="s">
        <v>3777</v>
      </c>
      <c r="U97" s="142" t="s">
        <v>140</v>
      </c>
      <c r="W97" s="149"/>
      <c r="X97" s="168"/>
      <c r="Y97" s="200" t="s">
        <v>142</v>
      </c>
    </row>
    <row r="98" ht="33.0" customHeight="1">
      <c r="A98" s="138">
        <v>97.0</v>
      </c>
      <c r="B98" s="142">
        <v>32504.0</v>
      </c>
      <c r="C98" s="138" t="s">
        <v>24</v>
      </c>
      <c r="D98" s="142" t="s">
        <v>1021</v>
      </c>
      <c r="E98" s="142" t="s">
        <v>3763</v>
      </c>
      <c r="F98" s="142" t="s">
        <v>3778</v>
      </c>
      <c r="G98" s="199" t="s">
        <v>3779</v>
      </c>
      <c r="H98" s="138" t="s">
        <v>70</v>
      </c>
      <c r="I98" s="142" t="s">
        <v>141</v>
      </c>
      <c r="J98" s="142">
        <v>9.0</v>
      </c>
      <c r="K98" s="142" t="s">
        <v>428</v>
      </c>
      <c r="L98" s="142" t="s">
        <v>141</v>
      </c>
      <c r="M98" s="142" t="s">
        <v>3780</v>
      </c>
      <c r="N98" s="161" t="s">
        <v>3781</v>
      </c>
      <c r="O98" s="142" t="s">
        <v>3782</v>
      </c>
      <c r="P98" s="142" t="s">
        <v>141</v>
      </c>
      <c r="Q98" s="142" t="s">
        <v>3783</v>
      </c>
      <c r="R98" s="160">
        <v>46023.0</v>
      </c>
      <c r="S98" s="160">
        <v>46387.0</v>
      </c>
      <c r="T98" s="142" t="s">
        <v>3784</v>
      </c>
      <c r="U98" s="142" t="s">
        <v>140</v>
      </c>
      <c r="W98" s="149"/>
      <c r="X98" s="168"/>
      <c r="Y98" s="200"/>
    </row>
    <row r="99" ht="33.0" customHeight="1">
      <c r="A99" s="138">
        <v>98.0</v>
      </c>
      <c r="B99" s="142">
        <v>3671.0</v>
      </c>
      <c r="C99" s="138" t="s">
        <v>24</v>
      </c>
      <c r="D99" s="142" t="s">
        <v>1038</v>
      </c>
      <c r="E99" s="142" t="s">
        <v>1060</v>
      </c>
      <c r="F99" s="142" t="s">
        <v>3785</v>
      </c>
      <c r="G99" s="199" t="s">
        <v>3786</v>
      </c>
      <c r="H99" s="138" t="s">
        <v>70</v>
      </c>
      <c r="I99" s="142" t="s">
        <v>141</v>
      </c>
      <c r="J99" s="142">
        <v>15.0</v>
      </c>
      <c r="K99" s="142" t="s">
        <v>3787</v>
      </c>
      <c r="L99" s="142" t="s">
        <v>158</v>
      </c>
      <c r="M99" s="142" t="s">
        <v>3788</v>
      </c>
      <c r="N99" s="142">
        <v>9.275179148E9</v>
      </c>
      <c r="O99" s="142" t="s">
        <v>3789</v>
      </c>
      <c r="P99" s="142" t="s">
        <v>141</v>
      </c>
      <c r="Q99" s="142" t="s">
        <v>3790</v>
      </c>
      <c r="R99" s="160">
        <v>46023.0</v>
      </c>
      <c r="S99" s="160">
        <v>46387.0</v>
      </c>
      <c r="T99" s="142" t="s">
        <v>3791</v>
      </c>
      <c r="U99" s="142" t="s">
        <v>140</v>
      </c>
      <c r="W99" s="149"/>
      <c r="X99" s="168"/>
      <c r="Y99" s="200" t="s">
        <v>142</v>
      </c>
    </row>
    <row r="100" ht="33.0" customHeight="1">
      <c r="A100" s="138">
        <v>99.0</v>
      </c>
      <c r="B100" s="142">
        <v>4244.0</v>
      </c>
      <c r="C100" s="138" t="s">
        <v>24</v>
      </c>
      <c r="D100" s="142" t="s">
        <v>1150</v>
      </c>
      <c r="E100" s="142" t="s">
        <v>3792</v>
      </c>
      <c r="F100" s="142" t="s">
        <v>3793</v>
      </c>
      <c r="G100" s="199" t="s">
        <v>3794</v>
      </c>
      <c r="H100" s="138" t="s">
        <v>70</v>
      </c>
      <c r="I100" s="142" t="s">
        <v>141</v>
      </c>
      <c r="J100" s="142">
        <v>10.0</v>
      </c>
      <c r="K100" s="142" t="s">
        <v>861</v>
      </c>
      <c r="L100" s="142" t="s">
        <v>133</v>
      </c>
      <c r="M100" s="142" t="s">
        <v>3795</v>
      </c>
      <c r="N100" s="161" t="s">
        <v>3796</v>
      </c>
      <c r="O100" s="142" t="s">
        <v>3797</v>
      </c>
      <c r="P100" s="142" t="s">
        <v>141</v>
      </c>
      <c r="Q100" s="142" t="s">
        <v>1172</v>
      </c>
      <c r="R100" s="160">
        <v>46023.0</v>
      </c>
      <c r="S100" s="160">
        <v>46387.0</v>
      </c>
      <c r="T100" s="142" t="s">
        <v>3798</v>
      </c>
      <c r="U100" s="142" t="s">
        <v>140</v>
      </c>
      <c r="W100" s="149"/>
      <c r="X100" s="168"/>
      <c r="Y100" s="200"/>
    </row>
    <row r="101" ht="33.0" customHeight="1">
      <c r="A101" s="138">
        <v>100.0</v>
      </c>
      <c r="B101" s="138">
        <v>3669.0</v>
      </c>
      <c r="C101" s="138" t="s">
        <v>24</v>
      </c>
      <c r="D101" s="138" t="s">
        <v>1174</v>
      </c>
      <c r="E101" s="138" t="s">
        <v>3799</v>
      </c>
      <c r="F101" s="138" t="s">
        <v>3800</v>
      </c>
      <c r="G101" s="190" t="s">
        <v>3801</v>
      </c>
      <c r="H101" s="138" t="s">
        <v>70</v>
      </c>
      <c r="I101" s="138" t="s">
        <v>141</v>
      </c>
      <c r="J101" s="138">
        <v>15.0</v>
      </c>
      <c r="K101" s="138" t="s">
        <v>3802</v>
      </c>
      <c r="L101" s="138" t="s">
        <v>158</v>
      </c>
      <c r="M101" s="138" t="s">
        <v>3803</v>
      </c>
      <c r="N101" s="138" t="s">
        <v>3804</v>
      </c>
      <c r="O101" s="138" t="s">
        <v>3805</v>
      </c>
      <c r="P101" s="138" t="s">
        <v>141</v>
      </c>
      <c r="Q101" s="138" t="s">
        <v>3806</v>
      </c>
      <c r="R101" s="141">
        <v>46023.0</v>
      </c>
      <c r="S101" s="141">
        <v>46387.0</v>
      </c>
      <c r="T101" s="142" t="s">
        <v>3807</v>
      </c>
      <c r="U101" s="138" t="s">
        <v>140</v>
      </c>
      <c r="W101" s="143"/>
      <c r="X101" s="146"/>
      <c r="Y101" s="191" t="s">
        <v>142</v>
      </c>
    </row>
    <row r="102" ht="33.0" customHeight="1">
      <c r="A102" s="138">
        <v>101.0</v>
      </c>
      <c r="B102" s="142">
        <v>4692.0</v>
      </c>
      <c r="C102" s="138" t="s">
        <v>24</v>
      </c>
      <c r="D102" s="142" t="s">
        <v>1227</v>
      </c>
      <c r="E102" s="142" t="s">
        <v>1228</v>
      </c>
      <c r="F102" s="142" t="s">
        <v>3808</v>
      </c>
      <c r="G102" s="199" t="s">
        <v>3809</v>
      </c>
      <c r="H102" s="138" t="s">
        <v>70</v>
      </c>
      <c r="I102" s="142" t="s">
        <v>141</v>
      </c>
      <c r="J102" s="142">
        <v>8.0</v>
      </c>
      <c r="K102" s="142" t="s">
        <v>3810</v>
      </c>
      <c r="L102" s="142" t="s">
        <v>141</v>
      </c>
      <c r="M102" s="142" t="s">
        <v>3811</v>
      </c>
      <c r="N102" s="142">
        <v>9.192449877E9</v>
      </c>
      <c r="O102" s="142" t="s">
        <v>3812</v>
      </c>
      <c r="P102" s="142" t="s">
        <v>141</v>
      </c>
      <c r="Q102" s="142" t="s">
        <v>3813</v>
      </c>
      <c r="R102" s="160">
        <v>46023.0</v>
      </c>
      <c r="S102" s="160">
        <v>46387.0</v>
      </c>
      <c r="T102" s="142" t="s">
        <v>3814</v>
      </c>
      <c r="U102" s="142" t="s">
        <v>140</v>
      </c>
      <c r="W102" s="149"/>
      <c r="X102" s="168"/>
      <c r="Y102" s="200" t="s">
        <v>142</v>
      </c>
    </row>
    <row r="103" ht="33.0" customHeight="1">
      <c r="A103" s="138">
        <v>102.0</v>
      </c>
      <c r="B103" s="142">
        <v>32447.0</v>
      </c>
      <c r="C103" s="138" t="s">
        <v>24</v>
      </c>
      <c r="D103" s="142" t="s">
        <v>1227</v>
      </c>
      <c r="E103" s="142" t="s">
        <v>3815</v>
      </c>
      <c r="F103" s="142" t="s">
        <v>3816</v>
      </c>
      <c r="G103" s="199" t="s">
        <v>3817</v>
      </c>
      <c r="H103" s="138" t="s">
        <v>70</v>
      </c>
      <c r="I103" s="142" t="s">
        <v>141</v>
      </c>
      <c r="J103" s="142">
        <v>11.0</v>
      </c>
      <c r="K103" s="142" t="s">
        <v>3818</v>
      </c>
      <c r="L103" s="142" t="s">
        <v>133</v>
      </c>
      <c r="M103" s="142" t="s">
        <v>3819</v>
      </c>
      <c r="N103" s="142" t="s">
        <v>3820</v>
      </c>
      <c r="O103" s="142" t="s">
        <v>3821</v>
      </c>
      <c r="P103" s="142" t="s">
        <v>141</v>
      </c>
      <c r="Q103" s="142" t="s">
        <v>3822</v>
      </c>
      <c r="R103" s="160">
        <v>46023.0</v>
      </c>
      <c r="S103" s="160">
        <v>46387.0</v>
      </c>
      <c r="T103" s="142" t="s">
        <v>3823</v>
      </c>
      <c r="U103" s="142" t="s">
        <v>140</v>
      </c>
      <c r="W103" s="149"/>
      <c r="X103" s="168"/>
      <c r="Y103" s="200" t="s">
        <v>142</v>
      </c>
    </row>
    <row r="104" ht="33.0" customHeight="1">
      <c r="A104" s="138">
        <v>103.0</v>
      </c>
      <c r="B104" s="142">
        <v>38394.0</v>
      </c>
      <c r="C104" s="142" t="s">
        <v>26</v>
      </c>
      <c r="D104" s="142" t="s">
        <v>1255</v>
      </c>
      <c r="E104" s="142" t="s">
        <v>1295</v>
      </c>
      <c r="F104" s="142" t="s">
        <v>3824</v>
      </c>
      <c r="G104" s="199" t="s">
        <v>3825</v>
      </c>
      <c r="H104" s="138" t="s">
        <v>70</v>
      </c>
      <c r="I104" s="142" t="s">
        <v>141</v>
      </c>
      <c r="J104" s="142">
        <v>10.0</v>
      </c>
      <c r="K104" s="142" t="s">
        <v>3826</v>
      </c>
      <c r="L104" s="142" t="s">
        <v>158</v>
      </c>
      <c r="M104" s="142" t="s">
        <v>3827</v>
      </c>
      <c r="N104" s="142" t="s">
        <v>3828</v>
      </c>
      <c r="O104" s="142" t="s">
        <v>3829</v>
      </c>
      <c r="P104" s="142" t="s">
        <v>1268</v>
      </c>
      <c r="Q104" s="142" t="s">
        <v>3830</v>
      </c>
      <c r="R104" s="160">
        <v>46023.0</v>
      </c>
      <c r="S104" s="160">
        <v>46387.0</v>
      </c>
      <c r="T104" s="142" t="s">
        <v>3831</v>
      </c>
      <c r="U104" s="142" t="s">
        <v>140</v>
      </c>
      <c r="W104" s="149"/>
      <c r="X104" s="142"/>
      <c r="Y104" s="201"/>
    </row>
    <row r="105" ht="33.0" customHeight="1">
      <c r="A105" s="138">
        <v>104.0</v>
      </c>
      <c r="B105" s="142">
        <v>24133.0</v>
      </c>
      <c r="C105" s="142" t="s">
        <v>26</v>
      </c>
      <c r="D105" s="142" t="s">
        <v>1303</v>
      </c>
      <c r="E105" s="142" t="s">
        <v>1312</v>
      </c>
      <c r="F105" s="142" t="s">
        <v>3832</v>
      </c>
      <c r="G105" s="199" t="s">
        <v>3833</v>
      </c>
      <c r="H105" s="138" t="s">
        <v>70</v>
      </c>
      <c r="I105" s="142" t="s">
        <v>141</v>
      </c>
      <c r="J105" s="142">
        <v>10.0</v>
      </c>
      <c r="K105" s="142" t="s">
        <v>3323</v>
      </c>
      <c r="L105" s="142" t="s">
        <v>133</v>
      </c>
      <c r="M105" s="142" t="s">
        <v>3834</v>
      </c>
      <c r="N105" s="142" t="s">
        <v>3835</v>
      </c>
      <c r="O105" s="142" t="s">
        <v>3836</v>
      </c>
      <c r="P105" s="142" t="s">
        <v>211</v>
      </c>
      <c r="Q105" s="142" t="s">
        <v>3837</v>
      </c>
      <c r="R105" s="160">
        <v>46023.0</v>
      </c>
      <c r="S105" s="160">
        <v>46387.0</v>
      </c>
      <c r="T105" s="142" t="s">
        <v>3838</v>
      </c>
      <c r="U105" s="142" t="s">
        <v>140</v>
      </c>
      <c r="W105" s="149"/>
      <c r="X105" s="142"/>
      <c r="Y105" s="201"/>
    </row>
    <row r="106" ht="33.0" customHeight="1">
      <c r="A106" s="138">
        <v>105.0</v>
      </c>
      <c r="B106" s="142">
        <v>4553.0</v>
      </c>
      <c r="C106" s="142" t="s">
        <v>26</v>
      </c>
      <c r="D106" s="142" t="s">
        <v>1303</v>
      </c>
      <c r="E106" s="142" t="s">
        <v>1320</v>
      </c>
      <c r="F106" s="142" t="s">
        <v>3839</v>
      </c>
      <c r="G106" s="199" t="s">
        <v>3840</v>
      </c>
      <c r="H106" s="138" t="s">
        <v>70</v>
      </c>
      <c r="I106" s="142" t="s">
        <v>141</v>
      </c>
      <c r="J106" s="142">
        <v>16.0</v>
      </c>
      <c r="K106" s="142" t="s">
        <v>3841</v>
      </c>
      <c r="L106" s="142" t="s">
        <v>133</v>
      </c>
      <c r="M106" s="142" t="s">
        <v>3842</v>
      </c>
      <c r="N106" s="161" t="s">
        <v>3843</v>
      </c>
      <c r="O106" s="142" t="s">
        <v>3844</v>
      </c>
      <c r="P106" s="142" t="s">
        <v>1268</v>
      </c>
      <c r="Q106" s="142" t="s">
        <v>1326</v>
      </c>
      <c r="R106" s="160">
        <v>46023.0</v>
      </c>
      <c r="S106" s="160">
        <v>46387.0</v>
      </c>
      <c r="T106" s="142" t="s">
        <v>3845</v>
      </c>
      <c r="U106" s="142" t="s">
        <v>140</v>
      </c>
      <c r="W106" s="149"/>
      <c r="X106" s="142"/>
      <c r="Y106" s="201"/>
    </row>
    <row r="107" ht="33.0" customHeight="1">
      <c r="A107" s="138">
        <v>106.0</v>
      </c>
      <c r="B107" s="142">
        <v>6889.0</v>
      </c>
      <c r="C107" s="142" t="s">
        <v>26</v>
      </c>
      <c r="D107" s="142" t="s">
        <v>1303</v>
      </c>
      <c r="E107" s="142" t="s">
        <v>3846</v>
      </c>
      <c r="F107" s="142" t="s">
        <v>3847</v>
      </c>
      <c r="G107" s="199" t="s">
        <v>3848</v>
      </c>
      <c r="H107" s="138" t="s">
        <v>70</v>
      </c>
      <c r="I107" s="142" t="s">
        <v>141</v>
      </c>
      <c r="J107" s="142">
        <v>15.0</v>
      </c>
      <c r="K107" s="142" t="s">
        <v>3849</v>
      </c>
      <c r="L107" s="142" t="s">
        <v>158</v>
      </c>
      <c r="M107" s="142" t="s">
        <v>3850</v>
      </c>
      <c r="N107" s="142" t="s">
        <v>3851</v>
      </c>
      <c r="O107" s="142" t="s">
        <v>3852</v>
      </c>
      <c r="P107" s="142" t="s">
        <v>211</v>
      </c>
      <c r="Q107" s="142" t="s">
        <v>3853</v>
      </c>
      <c r="R107" s="160">
        <v>46023.0</v>
      </c>
      <c r="S107" s="160">
        <v>46387.0</v>
      </c>
      <c r="T107" s="142" t="s">
        <v>3854</v>
      </c>
      <c r="U107" s="142" t="s">
        <v>140</v>
      </c>
      <c r="W107" s="143"/>
      <c r="X107" s="142"/>
      <c r="Y107" s="201"/>
    </row>
    <row r="108" ht="33.0" customHeight="1">
      <c r="A108" s="138">
        <v>107.0</v>
      </c>
      <c r="B108" s="143"/>
      <c r="C108" s="138" t="s">
        <v>28</v>
      </c>
      <c r="D108" s="138" t="s">
        <v>1484</v>
      </c>
      <c r="E108" s="138" t="s">
        <v>3855</v>
      </c>
      <c r="F108" s="142" t="s">
        <v>3856</v>
      </c>
      <c r="G108" s="199" t="s">
        <v>3857</v>
      </c>
      <c r="H108" s="138" t="s">
        <v>70</v>
      </c>
      <c r="I108" s="138" t="s">
        <v>141</v>
      </c>
      <c r="J108" s="142">
        <v>6.0</v>
      </c>
      <c r="K108" s="138" t="s">
        <v>1416</v>
      </c>
      <c r="L108" s="138" t="s">
        <v>133</v>
      </c>
      <c r="M108" s="142" t="s">
        <v>3858</v>
      </c>
      <c r="N108" s="203" t="s">
        <v>3859</v>
      </c>
      <c r="O108" s="204" t="s">
        <v>3860</v>
      </c>
      <c r="P108" s="165"/>
      <c r="Q108" s="142" t="s">
        <v>3861</v>
      </c>
      <c r="R108" s="205">
        <v>46023.0</v>
      </c>
      <c r="S108" s="206">
        <v>46387.0</v>
      </c>
      <c r="T108" s="207" t="s">
        <v>3862</v>
      </c>
      <c r="U108" s="204" t="s">
        <v>140</v>
      </c>
      <c r="V108" s="208"/>
      <c r="W108" s="209"/>
      <c r="X108" s="146"/>
      <c r="Y108" s="193"/>
    </row>
    <row r="109" ht="33.0" customHeight="1">
      <c r="A109" s="138">
        <v>108.0</v>
      </c>
      <c r="B109" s="143"/>
      <c r="C109" s="138" t="s">
        <v>28</v>
      </c>
      <c r="D109" s="138" t="s">
        <v>1484</v>
      </c>
      <c r="E109" s="138" t="s">
        <v>3855</v>
      </c>
      <c r="F109" s="138" t="s">
        <v>3863</v>
      </c>
      <c r="G109" s="199" t="s">
        <v>3864</v>
      </c>
      <c r="H109" s="138" t="s">
        <v>70</v>
      </c>
      <c r="I109" s="138" t="s">
        <v>141</v>
      </c>
      <c r="J109" s="138">
        <v>10.0</v>
      </c>
      <c r="K109" s="138" t="s">
        <v>1425</v>
      </c>
      <c r="L109" s="138" t="s">
        <v>133</v>
      </c>
      <c r="M109" s="138" t="s">
        <v>3865</v>
      </c>
      <c r="N109" s="203" t="s">
        <v>3866</v>
      </c>
      <c r="O109" s="207" t="s">
        <v>3867</v>
      </c>
      <c r="P109" s="138" t="s">
        <v>3868</v>
      </c>
      <c r="Q109" s="166"/>
      <c r="R109" s="206">
        <v>46023.0</v>
      </c>
      <c r="S109" s="206">
        <v>46387.0</v>
      </c>
      <c r="T109" s="207" t="s">
        <v>3869</v>
      </c>
      <c r="U109" s="204" t="s">
        <v>140</v>
      </c>
      <c r="V109" s="208"/>
      <c r="W109" s="209"/>
      <c r="X109" s="146"/>
      <c r="Y109" s="193"/>
    </row>
    <row r="110" ht="33.0" customHeight="1">
      <c r="A110" s="138">
        <v>109.0</v>
      </c>
      <c r="B110" s="143"/>
      <c r="C110" s="138" t="s">
        <v>28</v>
      </c>
      <c r="D110" s="138" t="s">
        <v>1484</v>
      </c>
      <c r="E110" s="138" t="s">
        <v>3870</v>
      </c>
      <c r="F110" s="138" t="s">
        <v>3871</v>
      </c>
      <c r="G110" s="199" t="s">
        <v>3872</v>
      </c>
      <c r="H110" s="138" t="s">
        <v>70</v>
      </c>
      <c r="I110" s="138" t="s">
        <v>141</v>
      </c>
      <c r="J110" s="138">
        <v>15.0</v>
      </c>
      <c r="K110" s="138" t="s">
        <v>3873</v>
      </c>
      <c r="L110" s="138" t="s">
        <v>133</v>
      </c>
      <c r="M110" s="138" t="s">
        <v>3874</v>
      </c>
      <c r="N110" s="207" t="s">
        <v>3875</v>
      </c>
      <c r="O110" s="207" t="s">
        <v>3876</v>
      </c>
      <c r="P110" s="145"/>
      <c r="Q110" s="138" t="s">
        <v>3877</v>
      </c>
      <c r="R110" s="206">
        <v>46023.0</v>
      </c>
      <c r="S110" s="206">
        <v>46387.0</v>
      </c>
      <c r="T110" s="207" t="s">
        <v>3878</v>
      </c>
      <c r="U110" s="204" t="s">
        <v>140</v>
      </c>
      <c r="V110" s="208"/>
      <c r="W110" s="209"/>
      <c r="X110" s="146"/>
      <c r="Y110" s="193"/>
    </row>
    <row r="111" ht="33.0" customHeight="1">
      <c r="A111" s="138">
        <v>110.0</v>
      </c>
      <c r="B111" s="143"/>
      <c r="C111" s="138" t="s">
        <v>28</v>
      </c>
      <c r="D111" s="138" t="s">
        <v>1484</v>
      </c>
      <c r="E111" s="138" t="s">
        <v>3870</v>
      </c>
      <c r="F111" s="142" t="s">
        <v>3879</v>
      </c>
      <c r="G111" s="199" t="s">
        <v>3880</v>
      </c>
      <c r="H111" s="138" t="s">
        <v>70</v>
      </c>
      <c r="I111" s="138" t="s">
        <v>141</v>
      </c>
      <c r="J111" s="142">
        <v>15.0</v>
      </c>
      <c r="K111" s="138" t="s">
        <v>1425</v>
      </c>
      <c r="L111" s="138" t="s">
        <v>133</v>
      </c>
      <c r="M111" s="142" t="s">
        <v>3881</v>
      </c>
      <c r="N111" s="204" t="s">
        <v>3882</v>
      </c>
      <c r="O111" s="204" t="s">
        <v>3883</v>
      </c>
      <c r="P111" s="145"/>
      <c r="Q111" s="142" t="s">
        <v>3884</v>
      </c>
      <c r="R111" s="205">
        <v>46023.0</v>
      </c>
      <c r="S111" s="206">
        <v>46387.0</v>
      </c>
      <c r="T111" s="207" t="s">
        <v>3885</v>
      </c>
      <c r="U111" s="204" t="s">
        <v>140</v>
      </c>
      <c r="V111" s="208"/>
      <c r="W111" s="209"/>
      <c r="X111" s="146"/>
      <c r="Y111" s="193"/>
    </row>
    <row r="112" ht="33.0" customHeight="1">
      <c r="A112" s="138">
        <v>111.0</v>
      </c>
      <c r="B112" s="143"/>
      <c r="C112" s="138" t="s">
        <v>28</v>
      </c>
      <c r="D112" s="138" t="s">
        <v>1484</v>
      </c>
      <c r="E112" s="138" t="s">
        <v>3886</v>
      </c>
      <c r="F112" s="138" t="s">
        <v>3887</v>
      </c>
      <c r="G112" s="199" t="s">
        <v>3888</v>
      </c>
      <c r="H112" s="138" t="s">
        <v>70</v>
      </c>
      <c r="I112" s="138" t="s">
        <v>141</v>
      </c>
      <c r="J112" s="138">
        <v>15.0</v>
      </c>
      <c r="K112" s="138" t="s">
        <v>274</v>
      </c>
      <c r="L112" s="138" t="s">
        <v>133</v>
      </c>
      <c r="M112" s="138" t="s">
        <v>3889</v>
      </c>
      <c r="N112" s="207" t="s">
        <v>3890</v>
      </c>
      <c r="O112" s="207" t="s">
        <v>3891</v>
      </c>
      <c r="P112" s="138" t="s">
        <v>3892</v>
      </c>
      <c r="Q112" s="145"/>
      <c r="R112" s="206">
        <v>46023.0</v>
      </c>
      <c r="S112" s="206">
        <v>46387.0</v>
      </c>
      <c r="T112" s="207" t="s">
        <v>3893</v>
      </c>
      <c r="U112" s="204" t="s">
        <v>140</v>
      </c>
      <c r="V112" s="208"/>
      <c r="W112" s="209"/>
      <c r="X112" s="146"/>
      <c r="Y112" s="193"/>
    </row>
    <row r="113" ht="33.0" customHeight="1">
      <c r="A113" s="138">
        <v>112.0</v>
      </c>
      <c r="B113" s="143"/>
      <c r="C113" s="138" t="s">
        <v>28</v>
      </c>
      <c r="D113" s="138" t="s">
        <v>1484</v>
      </c>
      <c r="E113" s="138" t="s">
        <v>1556</v>
      </c>
      <c r="F113" s="142" t="s">
        <v>3894</v>
      </c>
      <c r="G113" s="199" t="s">
        <v>3895</v>
      </c>
      <c r="H113" s="138" t="s">
        <v>70</v>
      </c>
      <c r="I113" s="138" t="s">
        <v>141</v>
      </c>
      <c r="J113" s="142">
        <v>16.0</v>
      </c>
      <c r="K113" s="138" t="s">
        <v>3896</v>
      </c>
      <c r="L113" s="138" t="s">
        <v>133</v>
      </c>
      <c r="M113" s="142" t="s">
        <v>3897</v>
      </c>
      <c r="N113" s="210" t="s">
        <v>3898</v>
      </c>
      <c r="O113" s="204" t="s">
        <v>3899</v>
      </c>
      <c r="P113" s="145"/>
      <c r="Q113" s="142" t="s">
        <v>3900</v>
      </c>
      <c r="R113" s="205">
        <v>46023.0</v>
      </c>
      <c r="S113" s="206">
        <v>46387.0</v>
      </c>
      <c r="T113" s="207" t="s">
        <v>3901</v>
      </c>
      <c r="U113" s="204" t="s">
        <v>140</v>
      </c>
      <c r="V113" s="208"/>
      <c r="W113" s="209"/>
      <c r="X113" s="146"/>
      <c r="Y113" s="193"/>
    </row>
    <row r="114" ht="33.0" customHeight="1">
      <c r="A114" s="138">
        <v>113.0</v>
      </c>
      <c r="B114" s="143"/>
      <c r="C114" s="138" t="s">
        <v>28</v>
      </c>
      <c r="D114" s="138" t="s">
        <v>1484</v>
      </c>
      <c r="E114" s="138" t="s">
        <v>3902</v>
      </c>
      <c r="F114" s="142" t="s">
        <v>3903</v>
      </c>
      <c r="G114" s="199" t="s">
        <v>3904</v>
      </c>
      <c r="H114" s="138" t="s">
        <v>70</v>
      </c>
      <c r="I114" s="138" t="s">
        <v>141</v>
      </c>
      <c r="J114" s="142">
        <v>15.0</v>
      </c>
      <c r="K114" s="138" t="s">
        <v>1425</v>
      </c>
      <c r="L114" s="138" t="s">
        <v>133</v>
      </c>
      <c r="M114" s="142" t="s">
        <v>3905</v>
      </c>
      <c r="N114" s="203" t="s">
        <v>3906</v>
      </c>
      <c r="O114" s="204" t="s">
        <v>3907</v>
      </c>
      <c r="P114" s="165"/>
      <c r="Q114" s="138" t="s">
        <v>3908</v>
      </c>
      <c r="R114" s="205">
        <v>46023.0</v>
      </c>
      <c r="S114" s="206">
        <v>46387.0</v>
      </c>
      <c r="T114" s="207" t="s">
        <v>3909</v>
      </c>
      <c r="U114" s="204" t="s">
        <v>140</v>
      </c>
      <c r="V114" s="208"/>
      <c r="W114" s="209"/>
      <c r="X114" s="146"/>
      <c r="Y114" s="193"/>
    </row>
    <row r="115" ht="33.0" customHeight="1">
      <c r="A115" s="138">
        <v>114.0</v>
      </c>
      <c r="B115" s="143"/>
      <c r="C115" s="138" t="s">
        <v>28</v>
      </c>
      <c r="D115" s="138" t="s">
        <v>1484</v>
      </c>
      <c r="E115" s="138" t="s">
        <v>1579</v>
      </c>
      <c r="F115" s="142" t="s">
        <v>3910</v>
      </c>
      <c r="G115" s="199" t="s">
        <v>3911</v>
      </c>
      <c r="H115" s="138" t="s">
        <v>70</v>
      </c>
      <c r="I115" s="138" t="s">
        <v>141</v>
      </c>
      <c r="J115" s="142">
        <v>30.0</v>
      </c>
      <c r="K115" s="138" t="s">
        <v>3912</v>
      </c>
      <c r="L115" s="138" t="s">
        <v>133</v>
      </c>
      <c r="M115" s="142" t="s">
        <v>3913</v>
      </c>
      <c r="N115" s="210" t="s">
        <v>3914</v>
      </c>
      <c r="O115" s="204" t="s">
        <v>3915</v>
      </c>
      <c r="P115" s="138" t="s">
        <v>3916</v>
      </c>
      <c r="Q115" s="211"/>
      <c r="R115" s="205">
        <v>46023.0</v>
      </c>
      <c r="S115" s="206">
        <v>46387.0</v>
      </c>
      <c r="T115" s="207" t="s">
        <v>3917</v>
      </c>
      <c r="U115" s="204" t="s">
        <v>140</v>
      </c>
      <c r="V115" s="208"/>
      <c r="W115" s="209"/>
      <c r="X115" s="146"/>
      <c r="Y115" s="193"/>
    </row>
    <row r="116" ht="33.0" customHeight="1">
      <c r="A116" s="138">
        <v>115.0</v>
      </c>
      <c r="B116" s="143"/>
      <c r="C116" s="138" t="s">
        <v>28</v>
      </c>
      <c r="D116" s="138" t="s">
        <v>1484</v>
      </c>
      <c r="E116" s="138" t="s">
        <v>3918</v>
      </c>
      <c r="F116" s="138" t="s">
        <v>3919</v>
      </c>
      <c r="G116" s="199" t="s">
        <v>3920</v>
      </c>
      <c r="H116" s="138" t="s">
        <v>70</v>
      </c>
      <c r="I116" s="138" t="s">
        <v>141</v>
      </c>
      <c r="J116" s="138">
        <v>9.0</v>
      </c>
      <c r="K116" s="146"/>
      <c r="L116" s="138" t="s">
        <v>133</v>
      </c>
      <c r="M116" s="138" t="s">
        <v>3921</v>
      </c>
      <c r="N116" s="207">
        <v>9.509779898E9</v>
      </c>
      <c r="O116" s="207" t="s">
        <v>3922</v>
      </c>
      <c r="P116" s="145"/>
      <c r="Q116" s="138" t="s">
        <v>1268</v>
      </c>
      <c r="R116" s="206">
        <v>46023.0</v>
      </c>
      <c r="S116" s="206">
        <v>46387.0</v>
      </c>
      <c r="T116" s="207" t="s">
        <v>3923</v>
      </c>
      <c r="U116" s="204" t="s">
        <v>140</v>
      </c>
      <c r="V116" s="208"/>
      <c r="W116" s="209"/>
      <c r="X116" s="146"/>
      <c r="Y116" s="193"/>
    </row>
    <row r="117" ht="33.0" customHeight="1">
      <c r="A117" s="138">
        <v>116.0</v>
      </c>
      <c r="B117" s="143"/>
      <c r="C117" s="138" t="s">
        <v>30</v>
      </c>
      <c r="D117" s="138" t="s">
        <v>1688</v>
      </c>
      <c r="E117" s="138" t="s">
        <v>3924</v>
      </c>
      <c r="F117" s="142" t="s">
        <v>3925</v>
      </c>
      <c r="G117" s="199" t="s">
        <v>3926</v>
      </c>
      <c r="H117" s="138" t="s">
        <v>70</v>
      </c>
      <c r="I117" s="138" t="s">
        <v>141</v>
      </c>
      <c r="J117" s="142">
        <v>14.0</v>
      </c>
      <c r="K117" s="138" t="s">
        <v>169</v>
      </c>
      <c r="L117" s="138" t="s">
        <v>158</v>
      </c>
      <c r="M117" s="142" t="s">
        <v>3927</v>
      </c>
      <c r="N117" s="207" t="s">
        <v>3928</v>
      </c>
      <c r="O117" s="212" t="s">
        <v>3929</v>
      </c>
      <c r="P117" s="142" t="s">
        <v>141</v>
      </c>
      <c r="Q117" s="142" t="s">
        <v>3930</v>
      </c>
      <c r="R117" s="206">
        <v>46023.0</v>
      </c>
      <c r="S117" s="206">
        <v>46387.0</v>
      </c>
      <c r="T117" s="207" t="s">
        <v>3931</v>
      </c>
      <c r="U117" s="204" t="s">
        <v>140</v>
      </c>
      <c r="V117" s="208"/>
      <c r="W117" s="209"/>
      <c r="X117" s="146"/>
      <c r="Y117" s="193"/>
    </row>
    <row r="118" ht="33.0" customHeight="1">
      <c r="A118" s="138">
        <v>117.0</v>
      </c>
      <c r="B118" s="143"/>
      <c r="C118" s="142" t="s">
        <v>30</v>
      </c>
      <c r="D118" s="138" t="s">
        <v>1688</v>
      </c>
      <c r="E118" s="138" t="s">
        <v>1689</v>
      </c>
      <c r="F118" s="142" t="s">
        <v>3932</v>
      </c>
      <c r="G118" s="199" t="s">
        <v>3933</v>
      </c>
      <c r="H118" s="138" t="s">
        <v>70</v>
      </c>
      <c r="I118" s="138" t="s">
        <v>141</v>
      </c>
      <c r="J118" s="142">
        <v>7.0</v>
      </c>
      <c r="K118" s="138" t="s">
        <v>3934</v>
      </c>
      <c r="L118" s="138" t="s">
        <v>133</v>
      </c>
      <c r="M118" s="142" t="s">
        <v>3935</v>
      </c>
      <c r="N118" s="207" t="s">
        <v>3936</v>
      </c>
      <c r="O118" s="207" t="s">
        <v>3937</v>
      </c>
      <c r="P118" s="142" t="s">
        <v>141</v>
      </c>
      <c r="Q118" s="138" t="s">
        <v>1694</v>
      </c>
      <c r="R118" s="206">
        <v>46023.0</v>
      </c>
      <c r="S118" s="206">
        <v>46387.0</v>
      </c>
      <c r="T118" s="207" t="s">
        <v>3938</v>
      </c>
      <c r="U118" s="204" t="s">
        <v>140</v>
      </c>
      <c r="V118" s="208"/>
      <c r="W118" s="209"/>
      <c r="X118" s="146"/>
      <c r="Y118" s="193"/>
    </row>
    <row r="119" ht="33.0" customHeight="1">
      <c r="A119" s="138">
        <v>118.0</v>
      </c>
      <c r="B119" s="143"/>
      <c r="C119" s="142" t="s">
        <v>30</v>
      </c>
      <c r="D119" s="138" t="s">
        <v>1688</v>
      </c>
      <c r="E119" s="138" t="s">
        <v>1696</v>
      </c>
      <c r="F119" s="142" t="s">
        <v>3939</v>
      </c>
      <c r="G119" s="199" t="s">
        <v>3940</v>
      </c>
      <c r="H119" s="138" t="s">
        <v>70</v>
      </c>
      <c r="I119" s="138" t="s">
        <v>141</v>
      </c>
      <c r="J119" s="142">
        <v>10.0</v>
      </c>
      <c r="K119" s="138" t="s">
        <v>274</v>
      </c>
      <c r="L119" s="138" t="s">
        <v>141</v>
      </c>
      <c r="M119" s="142" t="s">
        <v>3941</v>
      </c>
      <c r="N119" s="207" t="s">
        <v>3942</v>
      </c>
      <c r="O119" s="204" t="s">
        <v>3943</v>
      </c>
      <c r="P119" s="142" t="s">
        <v>141</v>
      </c>
      <c r="Q119" s="138" t="s">
        <v>3944</v>
      </c>
      <c r="R119" s="206">
        <v>46080.0</v>
      </c>
      <c r="S119" s="206">
        <v>46387.0</v>
      </c>
      <c r="T119" s="207" t="s">
        <v>3945</v>
      </c>
      <c r="U119" s="204" t="s">
        <v>140</v>
      </c>
      <c r="V119" s="213"/>
      <c r="W119" s="209"/>
      <c r="X119" s="146"/>
      <c r="Y119" s="193"/>
    </row>
    <row r="120" ht="33.0" customHeight="1">
      <c r="A120" s="138">
        <v>119.0</v>
      </c>
      <c r="B120" s="143"/>
      <c r="C120" s="138" t="s">
        <v>30</v>
      </c>
      <c r="D120" s="138" t="s">
        <v>1688</v>
      </c>
      <c r="E120" s="138" t="s">
        <v>3946</v>
      </c>
      <c r="F120" s="142" t="s">
        <v>3947</v>
      </c>
      <c r="G120" s="199" t="s">
        <v>3948</v>
      </c>
      <c r="H120" s="138" t="s">
        <v>70</v>
      </c>
      <c r="I120" s="138" t="s">
        <v>141</v>
      </c>
      <c r="J120" s="142">
        <v>30.0</v>
      </c>
      <c r="K120" s="138" t="s">
        <v>3949</v>
      </c>
      <c r="L120" s="138" t="s">
        <v>133</v>
      </c>
      <c r="M120" s="142" t="s">
        <v>3950</v>
      </c>
      <c r="N120" s="203" t="s">
        <v>3951</v>
      </c>
      <c r="O120" s="204" t="s">
        <v>3952</v>
      </c>
      <c r="P120" s="138" t="s">
        <v>141</v>
      </c>
      <c r="Q120" s="142" t="s">
        <v>3953</v>
      </c>
      <c r="R120" s="205">
        <v>46023.0</v>
      </c>
      <c r="S120" s="206">
        <v>46387.0</v>
      </c>
      <c r="T120" s="207" t="s">
        <v>3954</v>
      </c>
      <c r="U120" s="204" t="s">
        <v>140</v>
      </c>
      <c r="V120" s="213"/>
      <c r="W120" s="209"/>
      <c r="X120" s="146"/>
      <c r="Y120" s="193"/>
    </row>
    <row r="121" ht="33.0" customHeight="1">
      <c r="A121" s="138">
        <v>120.0</v>
      </c>
      <c r="B121" s="143"/>
      <c r="C121" s="138" t="s">
        <v>30</v>
      </c>
      <c r="D121" s="138" t="s">
        <v>1688</v>
      </c>
      <c r="E121" s="138" t="s">
        <v>1721</v>
      </c>
      <c r="F121" s="142" t="s">
        <v>3955</v>
      </c>
      <c r="G121" s="199" t="s">
        <v>3956</v>
      </c>
      <c r="H121" s="138" t="s">
        <v>70</v>
      </c>
      <c r="I121" s="138" t="s">
        <v>141</v>
      </c>
      <c r="J121" s="142">
        <v>10.0</v>
      </c>
      <c r="K121" s="138" t="s">
        <v>3957</v>
      </c>
      <c r="L121" s="138" t="s">
        <v>158</v>
      </c>
      <c r="M121" s="142" t="s">
        <v>3958</v>
      </c>
      <c r="N121" s="207" t="s">
        <v>3959</v>
      </c>
      <c r="O121" s="204" t="s">
        <v>3960</v>
      </c>
      <c r="P121" s="158"/>
      <c r="Q121" s="142" t="s">
        <v>3961</v>
      </c>
      <c r="R121" s="206">
        <v>46023.0</v>
      </c>
      <c r="S121" s="206">
        <v>46387.0</v>
      </c>
      <c r="T121" s="207" t="s">
        <v>3962</v>
      </c>
      <c r="U121" s="204" t="s">
        <v>140</v>
      </c>
      <c r="V121" s="213"/>
      <c r="W121" s="209"/>
      <c r="X121" s="168"/>
      <c r="Y121" s="201"/>
    </row>
    <row r="122" ht="33.0" customHeight="1">
      <c r="A122" s="138">
        <v>121.0</v>
      </c>
      <c r="B122" s="143"/>
      <c r="C122" s="138" t="s">
        <v>30</v>
      </c>
      <c r="D122" s="138" t="s">
        <v>1845</v>
      </c>
      <c r="E122" s="138" t="s">
        <v>3963</v>
      </c>
      <c r="F122" s="142" t="s">
        <v>3964</v>
      </c>
      <c r="G122" s="199" t="s">
        <v>3965</v>
      </c>
      <c r="H122" s="138" t="s">
        <v>70</v>
      </c>
      <c r="I122" s="138" t="s">
        <v>141</v>
      </c>
      <c r="J122" s="142">
        <v>10.0</v>
      </c>
      <c r="K122" s="138" t="s">
        <v>1753</v>
      </c>
      <c r="L122" s="138" t="s">
        <v>133</v>
      </c>
      <c r="M122" s="142" t="s">
        <v>3966</v>
      </c>
      <c r="N122" s="207" t="s">
        <v>3967</v>
      </c>
      <c r="O122" s="214" t="s">
        <v>3968</v>
      </c>
      <c r="P122" s="142" t="s">
        <v>141</v>
      </c>
      <c r="Q122" s="142" t="s">
        <v>1853</v>
      </c>
      <c r="R122" s="206">
        <v>46023.0</v>
      </c>
      <c r="S122" s="206">
        <v>46387.0</v>
      </c>
      <c r="T122" s="207" t="s">
        <v>3969</v>
      </c>
      <c r="U122" s="204" t="s">
        <v>140</v>
      </c>
      <c r="V122" s="213"/>
      <c r="W122" s="209"/>
      <c r="X122" s="168"/>
      <c r="Y122" s="201"/>
    </row>
    <row r="123" ht="33.0" customHeight="1">
      <c r="A123" s="138">
        <v>122.0</v>
      </c>
      <c r="B123" s="143"/>
      <c r="C123" s="138" t="s">
        <v>30</v>
      </c>
      <c r="D123" s="138" t="s">
        <v>1845</v>
      </c>
      <c r="E123" s="138" t="s">
        <v>1610</v>
      </c>
      <c r="F123" s="142" t="s">
        <v>3970</v>
      </c>
      <c r="G123" s="199" t="s">
        <v>3971</v>
      </c>
      <c r="H123" s="138" t="s">
        <v>70</v>
      </c>
      <c r="I123" s="138" t="s">
        <v>141</v>
      </c>
      <c r="J123" s="142">
        <v>10.0</v>
      </c>
      <c r="K123" s="138" t="s">
        <v>1638</v>
      </c>
      <c r="L123" s="138" t="s">
        <v>133</v>
      </c>
      <c r="M123" s="142" t="s">
        <v>3972</v>
      </c>
      <c r="N123" s="207" t="s">
        <v>3973</v>
      </c>
      <c r="O123" s="204" t="s">
        <v>3974</v>
      </c>
      <c r="P123" s="142" t="s">
        <v>3975</v>
      </c>
      <c r="Q123" s="142" t="s">
        <v>141</v>
      </c>
      <c r="R123" s="206">
        <v>46023.0</v>
      </c>
      <c r="S123" s="206">
        <v>46387.0</v>
      </c>
      <c r="T123" s="207" t="s">
        <v>3976</v>
      </c>
      <c r="U123" s="204" t="s">
        <v>140</v>
      </c>
      <c r="V123" s="213"/>
      <c r="W123" s="209"/>
      <c r="X123" s="168"/>
      <c r="Y123" s="201"/>
    </row>
    <row r="124" ht="33.0" customHeight="1">
      <c r="A124" s="138">
        <v>123.0</v>
      </c>
      <c r="B124" s="143"/>
      <c r="C124" s="138" t="s">
        <v>30</v>
      </c>
      <c r="D124" s="138" t="s">
        <v>1845</v>
      </c>
      <c r="E124" s="138" t="s">
        <v>1610</v>
      </c>
      <c r="F124" s="138" t="s">
        <v>3977</v>
      </c>
      <c r="G124" s="199" t="s">
        <v>3978</v>
      </c>
      <c r="H124" s="138" t="s">
        <v>70</v>
      </c>
      <c r="I124" s="138" t="s">
        <v>141</v>
      </c>
      <c r="J124" s="138">
        <v>20.0</v>
      </c>
      <c r="K124" s="138" t="s">
        <v>3979</v>
      </c>
      <c r="L124" s="138" t="s">
        <v>133</v>
      </c>
      <c r="M124" s="138" t="s">
        <v>3980</v>
      </c>
      <c r="N124" s="207" t="s">
        <v>3981</v>
      </c>
      <c r="O124" s="207" t="s">
        <v>3982</v>
      </c>
      <c r="P124" s="138" t="s">
        <v>141</v>
      </c>
      <c r="Q124" s="138" t="s">
        <v>3983</v>
      </c>
      <c r="R124" s="206">
        <v>46099.0</v>
      </c>
      <c r="S124" s="206">
        <v>46387.0</v>
      </c>
      <c r="T124" s="207" t="s">
        <v>3984</v>
      </c>
      <c r="U124" s="204" t="s">
        <v>140</v>
      </c>
      <c r="V124" s="213"/>
      <c r="W124" s="209"/>
      <c r="X124" s="168"/>
      <c r="Y124" s="201"/>
    </row>
    <row r="125" ht="33.0" customHeight="1">
      <c r="A125" s="138">
        <v>124.0</v>
      </c>
      <c r="B125" s="138">
        <v>4959.0</v>
      </c>
      <c r="C125" s="138" t="s">
        <v>32</v>
      </c>
      <c r="D125" s="138" t="s">
        <v>1925</v>
      </c>
      <c r="E125" s="138" t="s">
        <v>1977</v>
      </c>
      <c r="F125" s="138" t="s">
        <v>3985</v>
      </c>
      <c r="G125" s="199" t="s">
        <v>3986</v>
      </c>
      <c r="H125" s="138" t="s">
        <v>70</v>
      </c>
      <c r="I125" s="138" t="s">
        <v>141</v>
      </c>
      <c r="J125" s="138">
        <v>18.0</v>
      </c>
      <c r="K125" s="138" t="s">
        <v>3987</v>
      </c>
      <c r="L125" s="146"/>
      <c r="M125" s="138" t="s">
        <v>3988</v>
      </c>
      <c r="N125" s="203" t="s">
        <v>3989</v>
      </c>
      <c r="O125" s="207" t="s">
        <v>3990</v>
      </c>
      <c r="P125" s="138" t="s">
        <v>1940</v>
      </c>
      <c r="Q125" s="145"/>
      <c r="R125" s="206">
        <v>45658.0</v>
      </c>
      <c r="S125" s="206">
        <v>46022.0</v>
      </c>
      <c r="T125" s="207" t="s">
        <v>3991</v>
      </c>
      <c r="U125" s="204" t="s">
        <v>140</v>
      </c>
      <c r="V125" s="213"/>
      <c r="W125" s="209"/>
      <c r="X125" s="146"/>
      <c r="Y125" s="193"/>
    </row>
    <row r="126" ht="33.0" customHeight="1">
      <c r="A126" s="138">
        <v>125.0</v>
      </c>
      <c r="B126" s="138">
        <v>33251.0</v>
      </c>
      <c r="C126" s="138" t="s">
        <v>32</v>
      </c>
      <c r="D126" s="138" t="s">
        <v>1992</v>
      </c>
      <c r="E126" s="138" t="s">
        <v>472</v>
      </c>
      <c r="F126" s="138" t="s">
        <v>3992</v>
      </c>
      <c r="G126" s="199" t="s">
        <v>3993</v>
      </c>
      <c r="H126" s="138" t="s">
        <v>70</v>
      </c>
      <c r="I126" s="138" t="s">
        <v>141</v>
      </c>
      <c r="J126" s="138">
        <v>19.0</v>
      </c>
      <c r="K126" s="138" t="s">
        <v>3994</v>
      </c>
      <c r="L126" s="138" t="s">
        <v>133</v>
      </c>
      <c r="M126" s="138" t="s">
        <v>3995</v>
      </c>
      <c r="N126" s="207" t="s">
        <v>3996</v>
      </c>
      <c r="O126" s="207" t="s">
        <v>3997</v>
      </c>
      <c r="P126" s="138" t="s">
        <v>1940</v>
      </c>
      <c r="Q126" s="138" t="s">
        <v>3998</v>
      </c>
      <c r="R126" s="206">
        <v>45658.0</v>
      </c>
      <c r="S126" s="206">
        <v>46022.0</v>
      </c>
      <c r="T126" s="207" t="s">
        <v>3999</v>
      </c>
      <c r="U126" s="204" t="s">
        <v>140</v>
      </c>
      <c r="V126" s="213"/>
      <c r="W126" s="209"/>
      <c r="X126" s="168"/>
      <c r="Y126" s="201"/>
    </row>
    <row r="127" ht="33.0" customHeight="1">
      <c r="A127" s="138">
        <v>126.0</v>
      </c>
      <c r="B127" s="138">
        <v>43877.0</v>
      </c>
      <c r="C127" s="138" t="s">
        <v>32</v>
      </c>
      <c r="D127" s="138" t="s">
        <v>1992</v>
      </c>
      <c r="E127" s="138" t="s">
        <v>472</v>
      </c>
      <c r="F127" s="138" t="s">
        <v>434</v>
      </c>
      <c r="G127" s="199" t="s">
        <v>4000</v>
      </c>
      <c r="H127" s="138" t="s">
        <v>70</v>
      </c>
      <c r="I127" s="138" t="s">
        <v>141</v>
      </c>
      <c r="J127" s="138">
        <v>12.0</v>
      </c>
      <c r="K127" s="138" t="s">
        <v>4001</v>
      </c>
      <c r="L127" s="146"/>
      <c r="M127" s="138" t="s">
        <v>4002</v>
      </c>
      <c r="N127" s="203" t="s">
        <v>4003</v>
      </c>
      <c r="O127" s="207" t="s">
        <v>4004</v>
      </c>
      <c r="P127" s="138" t="s">
        <v>1940</v>
      </c>
      <c r="Q127" s="138" t="s">
        <v>3998</v>
      </c>
      <c r="R127" s="206">
        <v>45658.0</v>
      </c>
      <c r="S127" s="206">
        <v>46022.0</v>
      </c>
      <c r="T127" s="207" t="s">
        <v>4005</v>
      </c>
      <c r="U127" s="204" t="s">
        <v>140</v>
      </c>
      <c r="V127" s="213"/>
      <c r="W127" s="209"/>
      <c r="X127" s="146"/>
      <c r="Y127" s="193"/>
    </row>
    <row r="128" ht="33.0" customHeight="1">
      <c r="A128" s="138">
        <v>127.0</v>
      </c>
      <c r="B128" s="138">
        <v>445.0</v>
      </c>
      <c r="C128" s="138" t="s">
        <v>32</v>
      </c>
      <c r="D128" s="138" t="s">
        <v>1992</v>
      </c>
      <c r="E128" s="138" t="s">
        <v>4006</v>
      </c>
      <c r="F128" s="142" t="s">
        <v>434</v>
      </c>
      <c r="G128" s="199" t="s">
        <v>4007</v>
      </c>
      <c r="H128" s="138" t="s">
        <v>70</v>
      </c>
      <c r="I128" s="138" t="s">
        <v>141</v>
      </c>
      <c r="J128" s="142">
        <v>5.0</v>
      </c>
      <c r="K128" s="138" t="s">
        <v>2003</v>
      </c>
      <c r="L128" s="146"/>
      <c r="M128" s="142" t="s">
        <v>4008</v>
      </c>
      <c r="N128" s="207">
        <v>9.517919007E9</v>
      </c>
      <c r="O128" s="207" t="s">
        <v>4009</v>
      </c>
      <c r="P128" s="142" t="s">
        <v>1940</v>
      </c>
      <c r="Q128" s="162"/>
      <c r="R128" s="206">
        <v>45658.0</v>
      </c>
      <c r="S128" s="206">
        <v>46022.0</v>
      </c>
      <c r="T128" s="207" t="s">
        <v>4010</v>
      </c>
      <c r="U128" s="204" t="s">
        <v>140</v>
      </c>
      <c r="V128" s="208"/>
      <c r="W128" s="209"/>
      <c r="X128" s="168"/>
      <c r="Y128" s="201"/>
    </row>
    <row r="129" ht="33.0" customHeight="1">
      <c r="A129" s="138">
        <v>128.0</v>
      </c>
      <c r="B129" s="143"/>
      <c r="C129" s="138" t="s">
        <v>32</v>
      </c>
      <c r="D129" s="138" t="s">
        <v>1992</v>
      </c>
      <c r="E129" s="138" t="s">
        <v>1993</v>
      </c>
      <c r="F129" s="138" t="s">
        <v>4011</v>
      </c>
      <c r="G129" s="199" t="s">
        <v>4012</v>
      </c>
      <c r="H129" s="138" t="s">
        <v>70</v>
      </c>
      <c r="I129" s="138" t="s">
        <v>141</v>
      </c>
      <c r="J129" s="138">
        <v>15.0</v>
      </c>
      <c r="K129" s="138" t="s">
        <v>4013</v>
      </c>
      <c r="L129" s="138" t="s">
        <v>133</v>
      </c>
      <c r="M129" s="138" t="s">
        <v>4014</v>
      </c>
      <c r="N129" s="203" t="s">
        <v>4015</v>
      </c>
      <c r="O129" s="207" t="s">
        <v>4016</v>
      </c>
      <c r="P129" s="138" t="s">
        <v>4017</v>
      </c>
      <c r="Q129" s="166"/>
      <c r="R129" s="206">
        <v>45658.0</v>
      </c>
      <c r="S129" s="206">
        <v>46022.0</v>
      </c>
      <c r="T129" s="207" t="s">
        <v>4018</v>
      </c>
      <c r="U129" s="204" t="s">
        <v>140</v>
      </c>
      <c r="V129" s="208"/>
      <c r="W129" s="209"/>
      <c r="X129" s="146"/>
      <c r="Y129" s="193"/>
    </row>
    <row r="130" ht="33.0" customHeight="1">
      <c r="A130" s="138">
        <v>129.0</v>
      </c>
      <c r="B130" s="138">
        <v>38494.0</v>
      </c>
      <c r="C130" s="138" t="s">
        <v>32</v>
      </c>
      <c r="D130" s="138" t="s">
        <v>1992</v>
      </c>
      <c r="E130" s="138" t="s">
        <v>4019</v>
      </c>
      <c r="F130" s="138" t="s">
        <v>434</v>
      </c>
      <c r="G130" s="199" t="s">
        <v>4020</v>
      </c>
      <c r="H130" s="138" t="s">
        <v>70</v>
      </c>
      <c r="I130" s="138" t="s">
        <v>141</v>
      </c>
      <c r="J130" s="138">
        <v>12.0</v>
      </c>
      <c r="K130" s="138" t="s">
        <v>4021</v>
      </c>
      <c r="L130" s="146"/>
      <c r="M130" s="138" t="s">
        <v>4022</v>
      </c>
      <c r="N130" s="203" t="s">
        <v>4023</v>
      </c>
      <c r="O130" s="207" t="s">
        <v>4024</v>
      </c>
      <c r="P130" s="138" t="s">
        <v>1940</v>
      </c>
      <c r="Q130" s="138" t="s">
        <v>4025</v>
      </c>
      <c r="R130" s="206">
        <v>45658.0</v>
      </c>
      <c r="S130" s="206">
        <v>46022.0</v>
      </c>
      <c r="T130" s="207" t="s">
        <v>4026</v>
      </c>
      <c r="U130" s="204" t="s">
        <v>140</v>
      </c>
      <c r="V130" s="208"/>
      <c r="W130" s="209"/>
      <c r="X130" s="146"/>
      <c r="Y130" s="193"/>
    </row>
    <row r="131" ht="33.0" customHeight="1">
      <c r="A131" s="138">
        <v>130.0</v>
      </c>
      <c r="B131" s="138">
        <v>7705.0</v>
      </c>
      <c r="C131" s="138" t="s">
        <v>32</v>
      </c>
      <c r="D131" s="138" t="s">
        <v>1992</v>
      </c>
      <c r="E131" s="138" t="s">
        <v>4027</v>
      </c>
      <c r="F131" s="142" t="s">
        <v>4028</v>
      </c>
      <c r="G131" s="199" t="s">
        <v>4029</v>
      </c>
      <c r="H131" s="138" t="s">
        <v>70</v>
      </c>
      <c r="I131" s="138" t="s">
        <v>141</v>
      </c>
      <c r="J131" s="142">
        <v>16.0</v>
      </c>
      <c r="K131" s="138" t="s">
        <v>4030</v>
      </c>
      <c r="L131" s="138" t="s">
        <v>158</v>
      </c>
      <c r="M131" s="142" t="s">
        <v>4031</v>
      </c>
      <c r="N131" s="207">
        <v>9.177122471E9</v>
      </c>
      <c r="O131" s="207" t="s">
        <v>4032</v>
      </c>
      <c r="P131" s="142" t="s">
        <v>4033</v>
      </c>
      <c r="Q131" s="142" t="s">
        <v>4034</v>
      </c>
      <c r="R131" s="206">
        <v>45658.0</v>
      </c>
      <c r="S131" s="206">
        <v>46022.0</v>
      </c>
      <c r="T131" s="207" t="s">
        <v>4035</v>
      </c>
      <c r="U131" s="204" t="s">
        <v>140</v>
      </c>
      <c r="V131" s="208"/>
      <c r="W131" s="209"/>
      <c r="X131" s="158"/>
      <c r="Y131" s="215"/>
    </row>
    <row r="132" ht="33.0" customHeight="1">
      <c r="A132" s="138">
        <v>131.0</v>
      </c>
      <c r="B132" s="138">
        <v>2597.0</v>
      </c>
      <c r="C132" s="138" t="s">
        <v>32</v>
      </c>
      <c r="D132" s="138" t="s">
        <v>2038</v>
      </c>
      <c r="E132" s="138" t="s">
        <v>4036</v>
      </c>
      <c r="F132" s="142" t="s">
        <v>434</v>
      </c>
      <c r="G132" s="199" t="s">
        <v>4037</v>
      </c>
      <c r="H132" s="138" t="s">
        <v>70</v>
      </c>
      <c r="I132" s="138" t="s">
        <v>141</v>
      </c>
      <c r="J132" s="142">
        <v>10.0</v>
      </c>
      <c r="K132" s="138" t="s">
        <v>4038</v>
      </c>
      <c r="L132" s="138" t="s">
        <v>158</v>
      </c>
      <c r="M132" s="142" t="s">
        <v>4039</v>
      </c>
      <c r="N132" s="207" t="s">
        <v>4040</v>
      </c>
      <c r="O132" s="212" t="s">
        <v>4041</v>
      </c>
      <c r="P132" s="142" t="s">
        <v>4042</v>
      </c>
      <c r="Q132" s="162"/>
      <c r="R132" s="206">
        <v>45658.0</v>
      </c>
      <c r="S132" s="206">
        <v>46022.0</v>
      </c>
      <c r="T132" s="207" t="s">
        <v>4043</v>
      </c>
      <c r="U132" s="204" t="s">
        <v>140</v>
      </c>
      <c r="V132" s="208"/>
      <c r="W132" s="209"/>
      <c r="X132" s="168"/>
      <c r="Y132" s="201"/>
    </row>
    <row r="133" ht="33.0" customHeight="1">
      <c r="A133" s="138">
        <v>132.0</v>
      </c>
      <c r="B133" s="138">
        <v>7711.0</v>
      </c>
      <c r="C133" s="138" t="s">
        <v>32</v>
      </c>
      <c r="D133" s="138" t="s">
        <v>2038</v>
      </c>
      <c r="E133" s="138" t="s">
        <v>4044</v>
      </c>
      <c r="F133" s="142" t="s">
        <v>4045</v>
      </c>
      <c r="G133" s="199" t="s">
        <v>4046</v>
      </c>
      <c r="H133" s="138" t="s">
        <v>70</v>
      </c>
      <c r="I133" s="138" t="s">
        <v>141</v>
      </c>
      <c r="J133" s="142">
        <v>15.0</v>
      </c>
      <c r="K133" s="138" t="s">
        <v>4047</v>
      </c>
      <c r="L133" s="146"/>
      <c r="M133" s="142" t="s">
        <v>4048</v>
      </c>
      <c r="N133" s="207" t="s">
        <v>4049</v>
      </c>
      <c r="O133" s="207" t="s">
        <v>4050</v>
      </c>
      <c r="P133" s="142" t="s">
        <v>1940</v>
      </c>
      <c r="Q133" s="142" t="s">
        <v>2044</v>
      </c>
      <c r="R133" s="206">
        <v>45658.0</v>
      </c>
      <c r="S133" s="206">
        <v>46022.0</v>
      </c>
      <c r="T133" s="207" t="s">
        <v>4051</v>
      </c>
      <c r="U133" s="204" t="s">
        <v>140</v>
      </c>
      <c r="V133" s="208"/>
      <c r="W133" s="209"/>
      <c r="X133" s="168"/>
      <c r="Y133" s="201"/>
    </row>
    <row r="134" ht="33.0" customHeight="1">
      <c r="A134" s="138">
        <v>133.0</v>
      </c>
      <c r="B134" s="138">
        <v>38004.0</v>
      </c>
      <c r="C134" s="138" t="s">
        <v>32</v>
      </c>
      <c r="D134" s="138" t="s">
        <v>2038</v>
      </c>
      <c r="E134" s="138" t="s">
        <v>4052</v>
      </c>
      <c r="F134" s="142" t="s">
        <v>4053</v>
      </c>
      <c r="G134" s="199" t="s">
        <v>4054</v>
      </c>
      <c r="H134" s="138" t="s">
        <v>70</v>
      </c>
      <c r="I134" s="138" t="s">
        <v>141</v>
      </c>
      <c r="J134" s="142">
        <v>14.0</v>
      </c>
      <c r="K134" s="138" t="s">
        <v>4055</v>
      </c>
      <c r="L134" s="138" t="s">
        <v>133</v>
      </c>
      <c r="M134" s="142" t="s">
        <v>4056</v>
      </c>
      <c r="N134" s="207">
        <v>9.666778177E9</v>
      </c>
      <c r="O134" s="207" t="s">
        <v>4057</v>
      </c>
      <c r="P134" s="142" t="s">
        <v>1940</v>
      </c>
      <c r="Q134" s="142" t="s">
        <v>4058</v>
      </c>
      <c r="R134" s="206">
        <v>45658.0</v>
      </c>
      <c r="S134" s="206">
        <v>46022.0</v>
      </c>
      <c r="T134" s="207" t="s">
        <v>4059</v>
      </c>
      <c r="U134" s="204" t="s">
        <v>140</v>
      </c>
      <c r="V134" s="208"/>
      <c r="W134" s="209"/>
      <c r="X134" s="168"/>
      <c r="Y134" s="201"/>
    </row>
    <row r="135" ht="33.0" customHeight="1">
      <c r="A135" s="138">
        <v>134.0</v>
      </c>
      <c r="B135" s="138">
        <v>3317.0</v>
      </c>
      <c r="C135" s="138" t="s">
        <v>32</v>
      </c>
      <c r="D135" s="138" t="s">
        <v>2038</v>
      </c>
      <c r="E135" s="138" t="s">
        <v>1060</v>
      </c>
      <c r="F135" s="142" t="s">
        <v>4060</v>
      </c>
      <c r="G135" s="199" t="s">
        <v>4061</v>
      </c>
      <c r="H135" s="138" t="s">
        <v>70</v>
      </c>
      <c r="I135" s="138" t="s">
        <v>141</v>
      </c>
      <c r="J135" s="142">
        <v>15.0</v>
      </c>
      <c r="K135" s="138" t="s">
        <v>1928</v>
      </c>
      <c r="L135" s="138" t="s">
        <v>158</v>
      </c>
      <c r="M135" s="142" t="s">
        <v>4062</v>
      </c>
      <c r="N135" s="207" t="s">
        <v>4063</v>
      </c>
      <c r="O135" s="207" t="s">
        <v>4064</v>
      </c>
      <c r="P135" s="142" t="s">
        <v>4065</v>
      </c>
      <c r="Q135" s="162"/>
      <c r="R135" s="206">
        <v>45658.0</v>
      </c>
      <c r="S135" s="206">
        <v>46022.0</v>
      </c>
      <c r="T135" s="207" t="s">
        <v>4066</v>
      </c>
      <c r="U135" s="204" t="s">
        <v>140</v>
      </c>
      <c r="V135" s="208"/>
      <c r="W135" s="209"/>
      <c r="X135" s="168"/>
      <c r="Y135" s="201"/>
    </row>
    <row r="136" ht="33.0" customHeight="1">
      <c r="A136" s="138">
        <v>135.0</v>
      </c>
      <c r="B136" s="138">
        <v>37893.0</v>
      </c>
      <c r="C136" s="138" t="s">
        <v>34</v>
      </c>
      <c r="D136" s="138" t="s">
        <v>2071</v>
      </c>
      <c r="E136" s="138" t="s">
        <v>4067</v>
      </c>
      <c r="F136" s="138" t="s">
        <v>4068</v>
      </c>
      <c r="G136" s="199" t="s">
        <v>4069</v>
      </c>
      <c r="H136" s="138" t="s">
        <v>70</v>
      </c>
      <c r="I136" s="138" t="s">
        <v>141</v>
      </c>
      <c r="J136" s="138">
        <v>6.0</v>
      </c>
      <c r="K136" s="138" t="s">
        <v>4070</v>
      </c>
      <c r="L136" s="138" t="s">
        <v>158</v>
      </c>
      <c r="M136" s="138" t="s">
        <v>4071</v>
      </c>
      <c r="N136" s="207">
        <v>9.175436373E9</v>
      </c>
      <c r="O136" s="207" t="s">
        <v>4072</v>
      </c>
      <c r="P136" s="138" t="s">
        <v>2095</v>
      </c>
      <c r="Q136" s="145"/>
      <c r="R136" s="206">
        <v>46023.0</v>
      </c>
      <c r="S136" s="206">
        <v>46387.0</v>
      </c>
      <c r="T136" s="207" t="s">
        <v>4073</v>
      </c>
      <c r="U136" s="204" t="s">
        <v>140</v>
      </c>
      <c r="V136" s="213"/>
      <c r="W136" s="209"/>
      <c r="X136" s="138" t="s">
        <v>142</v>
      </c>
      <c r="Y136" s="193"/>
    </row>
    <row r="137" ht="33.0" customHeight="1">
      <c r="A137" s="138">
        <v>136.0</v>
      </c>
      <c r="B137" s="138">
        <v>39812.0</v>
      </c>
      <c r="C137" s="138" t="s">
        <v>34</v>
      </c>
      <c r="D137" s="138" t="s">
        <v>2071</v>
      </c>
      <c r="E137" s="138" t="s">
        <v>4074</v>
      </c>
      <c r="F137" s="138" t="s">
        <v>4075</v>
      </c>
      <c r="G137" s="199" t="s">
        <v>4076</v>
      </c>
      <c r="H137" s="138" t="s">
        <v>70</v>
      </c>
      <c r="I137" s="138" t="s">
        <v>141</v>
      </c>
      <c r="J137" s="138">
        <v>28.0</v>
      </c>
      <c r="K137" s="138" t="s">
        <v>4077</v>
      </c>
      <c r="L137" s="138" t="s">
        <v>158</v>
      </c>
      <c r="M137" s="138" t="s">
        <v>4078</v>
      </c>
      <c r="N137" s="207">
        <v>9.060225833E9</v>
      </c>
      <c r="O137" s="207" t="s">
        <v>4079</v>
      </c>
      <c r="P137" s="138" t="s">
        <v>2095</v>
      </c>
      <c r="Q137" s="145"/>
      <c r="R137" s="206">
        <v>46023.0</v>
      </c>
      <c r="S137" s="206">
        <v>46387.0</v>
      </c>
      <c r="T137" s="207" t="s">
        <v>4080</v>
      </c>
      <c r="U137" s="204" t="s">
        <v>140</v>
      </c>
      <c r="V137" s="213"/>
      <c r="W137" s="209"/>
      <c r="X137" s="138" t="s">
        <v>142</v>
      </c>
      <c r="Y137" s="193"/>
    </row>
    <row r="138" ht="33.0" customHeight="1">
      <c r="A138" s="138">
        <v>137.0</v>
      </c>
      <c r="B138" s="138">
        <v>45938.0</v>
      </c>
      <c r="C138" s="142" t="s">
        <v>34</v>
      </c>
      <c r="D138" s="138" t="s">
        <v>2071</v>
      </c>
      <c r="E138" s="138" t="s">
        <v>4081</v>
      </c>
      <c r="F138" s="138" t="s">
        <v>4082</v>
      </c>
      <c r="G138" s="199" t="s">
        <v>4083</v>
      </c>
      <c r="H138" s="138" t="s">
        <v>70</v>
      </c>
      <c r="I138" s="138" t="s">
        <v>141</v>
      </c>
      <c r="J138" s="142">
        <v>9.0</v>
      </c>
      <c r="K138" s="138" t="s">
        <v>4084</v>
      </c>
      <c r="L138" s="138" t="s">
        <v>133</v>
      </c>
      <c r="M138" s="142" t="s">
        <v>4085</v>
      </c>
      <c r="N138" s="207">
        <v>9.494344854E9</v>
      </c>
      <c r="O138" s="207" t="s">
        <v>4086</v>
      </c>
      <c r="P138" s="142" t="s">
        <v>4087</v>
      </c>
      <c r="Q138" s="158"/>
      <c r="R138" s="206">
        <v>46023.0</v>
      </c>
      <c r="S138" s="206">
        <v>46387.0</v>
      </c>
      <c r="T138" s="207" t="s">
        <v>4088</v>
      </c>
      <c r="U138" s="204" t="s">
        <v>140</v>
      </c>
      <c r="V138" s="213"/>
      <c r="W138" s="209"/>
      <c r="X138" s="138" t="s">
        <v>142</v>
      </c>
      <c r="Y138" s="193"/>
    </row>
    <row r="139" ht="33.0" customHeight="1">
      <c r="A139" s="138">
        <v>138.0</v>
      </c>
      <c r="B139" s="138">
        <v>38531.0</v>
      </c>
      <c r="C139" s="142" t="s">
        <v>34</v>
      </c>
      <c r="D139" s="138" t="s">
        <v>2071</v>
      </c>
      <c r="E139" s="138" t="s">
        <v>4089</v>
      </c>
      <c r="F139" s="138" t="s">
        <v>4090</v>
      </c>
      <c r="G139" s="199" t="s">
        <v>4091</v>
      </c>
      <c r="H139" s="138" t="s">
        <v>70</v>
      </c>
      <c r="I139" s="138" t="s">
        <v>141</v>
      </c>
      <c r="J139" s="142">
        <v>28.0</v>
      </c>
      <c r="K139" s="138" t="s">
        <v>4092</v>
      </c>
      <c r="L139" s="138" t="s">
        <v>133</v>
      </c>
      <c r="M139" s="142" t="s">
        <v>4093</v>
      </c>
      <c r="N139" s="207">
        <v>9.17773852E9</v>
      </c>
      <c r="O139" s="207" t="s">
        <v>4094</v>
      </c>
      <c r="P139" s="142" t="s">
        <v>4095</v>
      </c>
      <c r="Q139" s="158"/>
      <c r="R139" s="206">
        <v>46023.0</v>
      </c>
      <c r="S139" s="206">
        <v>46387.0</v>
      </c>
      <c r="T139" s="207" t="s">
        <v>4096</v>
      </c>
      <c r="U139" s="204" t="s">
        <v>140</v>
      </c>
      <c r="V139" s="213"/>
      <c r="W139" s="209"/>
      <c r="X139" s="138" t="s">
        <v>142</v>
      </c>
      <c r="Y139" s="193"/>
    </row>
    <row r="140" ht="33.0" customHeight="1">
      <c r="A140" s="138">
        <v>139.0</v>
      </c>
      <c r="B140" s="138">
        <v>645.0</v>
      </c>
      <c r="C140" s="138" t="s">
        <v>34</v>
      </c>
      <c r="D140" s="138" t="s">
        <v>2071</v>
      </c>
      <c r="E140" s="138" t="s">
        <v>384</v>
      </c>
      <c r="F140" s="138" t="s">
        <v>4097</v>
      </c>
      <c r="G140" s="199" t="s">
        <v>4098</v>
      </c>
      <c r="H140" s="138" t="s">
        <v>70</v>
      </c>
      <c r="I140" s="138" t="s">
        <v>141</v>
      </c>
      <c r="J140" s="138">
        <v>17.0</v>
      </c>
      <c r="K140" s="138" t="s">
        <v>4099</v>
      </c>
      <c r="L140" s="138" t="s">
        <v>158</v>
      </c>
      <c r="M140" s="138" t="s">
        <v>4100</v>
      </c>
      <c r="N140" s="207" t="s">
        <v>4101</v>
      </c>
      <c r="O140" s="207" t="s">
        <v>4102</v>
      </c>
      <c r="P140" s="138" t="s">
        <v>2095</v>
      </c>
      <c r="Q140" s="145"/>
      <c r="R140" s="206">
        <v>46023.0</v>
      </c>
      <c r="S140" s="206">
        <v>46387.0</v>
      </c>
      <c r="T140" s="207" t="s">
        <v>4103</v>
      </c>
      <c r="U140" s="204" t="s">
        <v>140</v>
      </c>
      <c r="V140" s="213"/>
      <c r="W140" s="209"/>
      <c r="X140" s="138" t="s">
        <v>142</v>
      </c>
      <c r="Y140" s="193"/>
    </row>
    <row r="141" ht="33.0" customHeight="1">
      <c r="A141" s="138">
        <v>140.0</v>
      </c>
      <c r="B141" s="138">
        <v>488.0</v>
      </c>
      <c r="C141" s="138" t="s">
        <v>34</v>
      </c>
      <c r="D141" s="138" t="s">
        <v>2071</v>
      </c>
      <c r="E141" s="138" t="s">
        <v>384</v>
      </c>
      <c r="F141" s="138" t="s">
        <v>4104</v>
      </c>
      <c r="G141" s="199" t="s">
        <v>4105</v>
      </c>
      <c r="H141" s="138" t="s">
        <v>70</v>
      </c>
      <c r="I141" s="138" t="s">
        <v>141</v>
      </c>
      <c r="J141" s="138">
        <v>17.0</v>
      </c>
      <c r="K141" s="138" t="s">
        <v>2095</v>
      </c>
      <c r="L141" s="146"/>
      <c r="M141" s="138" t="s">
        <v>4106</v>
      </c>
      <c r="N141" s="203" t="s">
        <v>4107</v>
      </c>
      <c r="O141" s="207" t="s">
        <v>4108</v>
      </c>
      <c r="P141" s="138" t="s">
        <v>2095</v>
      </c>
      <c r="Q141" s="166"/>
      <c r="R141" s="206">
        <v>46023.0</v>
      </c>
      <c r="S141" s="206">
        <v>46387.0</v>
      </c>
      <c r="T141" s="207" t="s">
        <v>4109</v>
      </c>
      <c r="U141" s="204" t="s">
        <v>140</v>
      </c>
      <c r="V141" s="213"/>
      <c r="W141" s="209"/>
      <c r="X141" s="138" t="s">
        <v>142</v>
      </c>
      <c r="Y141" s="193"/>
    </row>
    <row r="142" ht="33.0" customHeight="1">
      <c r="A142" s="138">
        <v>141.0</v>
      </c>
      <c r="B142" s="138">
        <v>6892.0</v>
      </c>
      <c r="C142" s="142" t="s">
        <v>34</v>
      </c>
      <c r="D142" s="138" t="s">
        <v>2071</v>
      </c>
      <c r="E142" s="138" t="s">
        <v>384</v>
      </c>
      <c r="F142" s="138" t="s">
        <v>4110</v>
      </c>
      <c r="G142" s="199" t="s">
        <v>4111</v>
      </c>
      <c r="H142" s="138" t="s">
        <v>70</v>
      </c>
      <c r="I142" s="138" t="s">
        <v>141</v>
      </c>
      <c r="J142" s="142">
        <v>17.0</v>
      </c>
      <c r="K142" s="138" t="s">
        <v>4112</v>
      </c>
      <c r="L142" s="138" t="s">
        <v>133</v>
      </c>
      <c r="M142" s="142" t="s">
        <v>4113</v>
      </c>
      <c r="N142" s="207" t="s">
        <v>4114</v>
      </c>
      <c r="O142" s="207" t="s">
        <v>4115</v>
      </c>
      <c r="P142" s="142" t="s">
        <v>2095</v>
      </c>
      <c r="Q142" s="158"/>
      <c r="R142" s="206">
        <v>46023.0</v>
      </c>
      <c r="S142" s="206">
        <v>46387.0</v>
      </c>
      <c r="T142" s="207" t="s">
        <v>4116</v>
      </c>
      <c r="U142" s="204" t="s">
        <v>140</v>
      </c>
      <c r="V142" s="213"/>
      <c r="W142" s="209"/>
      <c r="X142" s="138" t="s">
        <v>142</v>
      </c>
      <c r="Y142" s="193"/>
    </row>
    <row r="143" ht="33.0" customHeight="1">
      <c r="A143" s="138">
        <v>142.0</v>
      </c>
      <c r="B143" s="138">
        <v>32775.0</v>
      </c>
      <c r="C143" s="138" t="s">
        <v>34</v>
      </c>
      <c r="D143" s="138" t="s">
        <v>2071</v>
      </c>
      <c r="E143" s="138" t="s">
        <v>4117</v>
      </c>
      <c r="F143" s="138" t="s">
        <v>4118</v>
      </c>
      <c r="G143" s="199" t="s">
        <v>4119</v>
      </c>
      <c r="H143" s="138" t="s">
        <v>70</v>
      </c>
      <c r="I143" s="138" t="s">
        <v>141</v>
      </c>
      <c r="J143" s="138">
        <v>6.0</v>
      </c>
      <c r="K143" s="138" t="s">
        <v>4120</v>
      </c>
      <c r="L143" s="138" t="s">
        <v>133</v>
      </c>
      <c r="M143" s="138" t="s">
        <v>4121</v>
      </c>
      <c r="N143" s="207" t="s">
        <v>4122</v>
      </c>
      <c r="O143" s="207" t="s">
        <v>4123</v>
      </c>
      <c r="P143" s="138" t="s">
        <v>2095</v>
      </c>
      <c r="Q143" s="145"/>
      <c r="R143" s="206">
        <v>46023.0</v>
      </c>
      <c r="S143" s="206">
        <v>46387.0</v>
      </c>
      <c r="T143" s="207" t="s">
        <v>4124</v>
      </c>
      <c r="U143" s="204" t="s">
        <v>140</v>
      </c>
      <c r="V143" s="213"/>
      <c r="W143" s="209"/>
      <c r="X143" s="138" t="s">
        <v>142</v>
      </c>
      <c r="Y143" s="193"/>
    </row>
    <row r="144" ht="33.0" customHeight="1">
      <c r="A144" s="138">
        <v>143.0</v>
      </c>
      <c r="B144" s="143"/>
      <c r="C144" s="138" t="s">
        <v>34</v>
      </c>
      <c r="D144" s="138" t="s">
        <v>2123</v>
      </c>
      <c r="E144" s="138" t="s">
        <v>4125</v>
      </c>
      <c r="F144" s="138" t="s">
        <v>4126</v>
      </c>
      <c r="G144" s="199" t="s">
        <v>4127</v>
      </c>
      <c r="H144" s="138" t="s">
        <v>70</v>
      </c>
      <c r="I144" s="138" t="s">
        <v>141</v>
      </c>
      <c r="J144" s="138">
        <v>17.0</v>
      </c>
      <c r="K144" s="138" t="s">
        <v>4128</v>
      </c>
      <c r="L144" s="138" t="s">
        <v>133</v>
      </c>
      <c r="M144" s="138" t="s">
        <v>4129</v>
      </c>
      <c r="N144" s="207" t="s">
        <v>4130</v>
      </c>
      <c r="O144" s="207" t="s">
        <v>4131</v>
      </c>
      <c r="P144" s="138" t="s">
        <v>4132</v>
      </c>
      <c r="Q144" s="145"/>
      <c r="R144" s="206">
        <v>46023.0</v>
      </c>
      <c r="S144" s="206">
        <v>46387.0</v>
      </c>
      <c r="T144" s="207" t="s">
        <v>4133</v>
      </c>
      <c r="U144" s="204" t="s">
        <v>140</v>
      </c>
      <c r="V144" s="213"/>
      <c r="W144" s="209"/>
      <c r="X144" s="146"/>
      <c r="Y144" s="193"/>
    </row>
    <row r="145" ht="33.0" customHeight="1">
      <c r="A145" s="138">
        <v>144.0</v>
      </c>
      <c r="B145" s="138">
        <v>48888.0</v>
      </c>
      <c r="C145" s="142" t="s">
        <v>34</v>
      </c>
      <c r="D145" s="138" t="s">
        <v>2123</v>
      </c>
      <c r="E145" s="138" t="s">
        <v>4125</v>
      </c>
      <c r="F145" s="138" t="s">
        <v>4134</v>
      </c>
      <c r="G145" s="199" t="s">
        <v>4135</v>
      </c>
      <c r="H145" s="138" t="s">
        <v>70</v>
      </c>
      <c r="I145" s="138" t="s">
        <v>141</v>
      </c>
      <c r="J145" s="142">
        <v>8.0</v>
      </c>
      <c r="K145" s="138" t="s">
        <v>2095</v>
      </c>
      <c r="L145" s="146"/>
      <c r="M145" s="142" t="s">
        <v>4136</v>
      </c>
      <c r="N145" s="207">
        <v>9.173225441E9</v>
      </c>
      <c r="O145" s="207" t="s">
        <v>4137</v>
      </c>
      <c r="P145" s="142" t="s">
        <v>2095</v>
      </c>
      <c r="Q145" s="158"/>
      <c r="R145" s="206">
        <v>46023.0</v>
      </c>
      <c r="S145" s="206">
        <v>46387.0</v>
      </c>
      <c r="T145" s="207" t="s">
        <v>4138</v>
      </c>
      <c r="U145" s="204" t="s">
        <v>140</v>
      </c>
      <c r="V145" s="213"/>
      <c r="W145" s="209"/>
      <c r="X145" s="138" t="s">
        <v>142</v>
      </c>
      <c r="Y145" s="193"/>
    </row>
    <row r="146" ht="33.0" customHeight="1">
      <c r="A146" s="138">
        <v>145.0</v>
      </c>
      <c r="B146" s="138">
        <v>6900.0</v>
      </c>
      <c r="C146" s="138" t="s">
        <v>34</v>
      </c>
      <c r="D146" s="138" t="s">
        <v>2147</v>
      </c>
      <c r="E146" s="138" t="s">
        <v>4139</v>
      </c>
      <c r="F146" s="138" t="s">
        <v>4140</v>
      </c>
      <c r="G146" s="199" t="s">
        <v>4141</v>
      </c>
      <c r="H146" s="138" t="s">
        <v>70</v>
      </c>
      <c r="I146" s="138" t="s">
        <v>141</v>
      </c>
      <c r="J146" s="138">
        <v>14.0</v>
      </c>
      <c r="K146" s="138" t="s">
        <v>2095</v>
      </c>
      <c r="L146" s="146"/>
      <c r="M146" s="138" t="s">
        <v>4142</v>
      </c>
      <c r="N146" s="203" t="s">
        <v>4143</v>
      </c>
      <c r="O146" s="207" t="s">
        <v>4144</v>
      </c>
      <c r="P146" s="138" t="s">
        <v>2095</v>
      </c>
      <c r="Q146" s="145"/>
      <c r="R146" s="206">
        <v>46023.0</v>
      </c>
      <c r="S146" s="206">
        <v>46387.0</v>
      </c>
      <c r="T146" s="207" t="s">
        <v>4145</v>
      </c>
      <c r="U146" s="204" t="s">
        <v>140</v>
      </c>
      <c r="V146" s="213"/>
      <c r="W146" s="209"/>
      <c r="X146" s="138" t="s">
        <v>142</v>
      </c>
      <c r="Y146" s="193"/>
    </row>
    <row r="147" ht="33.0" customHeight="1">
      <c r="A147" s="138">
        <v>146.0</v>
      </c>
      <c r="B147" s="138">
        <v>6717.0</v>
      </c>
      <c r="C147" s="138" t="s">
        <v>34</v>
      </c>
      <c r="D147" s="138" t="s">
        <v>2147</v>
      </c>
      <c r="E147" s="138" t="s">
        <v>1430</v>
      </c>
      <c r="F147" s="138" t="s">
        <v>4146</v>
      </c>
      <c r="G147" s="199" t="s">
        <v>4147</v>
      </c>
      <c r="H147" s="138" t="s">
        <v>70</v>
      </c>
      <c r="I147" s="138" t="s">
        <v>141</v>
      </c>
      <c r="J147" s="138">
        <v>20.0</v>
      </c>
      <c r="K147" s="138" t="s">
        <v>4148</v>
      </c>
      <c r="L147" s="138" t="s">
        <v>158</v>
      </c>
      <c r="M147" s="138" t="s">
        <v>4149</v>
      </c>
      <c r="N147" s="203" t="s">
        <v>4150</v>
      </c>
      <c r="O147" s="207" t="s">
        <v>4151</v>
      </c>
      <c r="P147" s="138" t="s">
        <v>2095</v>
      </c>
      <c r="Q147" s="166"/>
      <c r="R147" s="206">
        <v>46023.0</v>
      </c>
      <c r="S147" s="206">
        <v>46387.0</v>
      </c>
      <c r="T147" s="207" t="s">
        <v>4152</v>
      </c>
      <c r="U147" s="204" t="s">
        <v>2105</v>
      </c>
      <c r="V147" s="216" t="s">
        <v>2106</v>
      </c>
      <c r="W147" s="207" t="s">
        <v>4153</v>
      </c>
      <c r="X147" s="138" t="s">
        <v>142</v>
      </c>
      <c r="Y147" s="193"/>
    </row>
    <row r="148" ht="33.0" customHeight="1">
      <c r="A148" s="138">
        <v>147.0</v>
      </c>
      <c r="B148" s="138">
        <v>686.0</v>
      </c>
      <c r="C148" s="138" t="s">
        <v>34</v>
      </c>
      <c r="D148" s="138" t="s">
        <v>2147</v>
      </c>
      <c r="E148" s="138" t="s">
        <v>4154</v>
      </c>
      <c r="F148" s="138" t="s">
        <v>4155</v>
      </c>
      <c r="G148" s="199" t="s">
        <v>4156</v>
      </c>
      <c r="H148" s="138" t="s">
        <v>70</v>
      </c>
      <c r="I148" s="138" t="s">
        <v>141</v>
      </c>
      <c r="J148" s="138">
        <v>22.0</v>
      </c>
      <c r="K148" s="138" t="s">
        <v>4157</v>
      </c>
      <c r="L148" s="138" t="s">
        <v>158</v>
      </c>
      <c r="M148" s="138" t="s">
        <v>4158</v>
      </c>
      <c r="N148" s="203" t="s">
        <v>4159</v>
      </c>
      <c r="O148" s="207" t="s">
        <v>4160</v>
      </c>
      <c r="P148" s="138" t="s">
        <v>2095</v>
      </c>
      <c r="Q148" s="163"/>
      <c r="R148" s="206">
        <v>46023.0</v>
      </c>
      <c r="S148" s="206">
        <v>46387.0</v>
      </c>
      <c r="T148" s="207" t="s">
        <v>4161</v>
      </c>
      <c r="U148" s="204" t="s">
        <v>2105</v>
      </c>
      <c r="V148" s="216" t="s">
        <v>2106</v>
      </c>
      <c r="W148" s="207" t="s">
        <v>4162</v>
      </c>
      <c r="X148" s="138" t="s">
        <v>142</v>
      </c>
      <c r="Y148" s="193"/>
    </row>
    <row r="149" ht="33.0" customHeight="1">
      <c r="A149" s="138">
        <v>148.0</v>
      </c>
      <c r="B149" s="138">
        <v>37751.0</v>
      </c>
      <c r="C149" s="138" t="s">
        <v>34</v>
      </c>
      <c r="D149" s="138" t="s">
        <v>2147</v>
      </c>
      <c r="E149" s="138" t="s">
        <v>2156</v>
      </c>
      <c r="F149" s="138" t="s">
        <v>4163</v>
      </c>
      <c r="G149" s="199" t="s">
        <v>4164</v>
      </c>
      <c r="H149" s="138" t="s">
        <v>70</v>
      </c>
      <c r="I149" s="138" t="s">
        <v>141</v>
      </c>
      <c r="J149" s="138">
        <v>25.0</v>
      </c>
      <c r="K149" s="138" t="s">
        <v>4165</v>
      </c>
      <c r="L149" s="138" t="s">
        <v>133</v>
      </c>
      <c r="M149" s="138" t="s">
        <v>4166</v>
      </c>
      <c r="N149" s="203" t="s">
        <v>4167</v>
      </c>
      <c r="O149" s="207" t="s">
        <v>4168</v>
      </c>
      <c r="P149" s="138" t="s">
        <v>2095</v>
      </c>
      <c r="Q149" s="166"/>
      <c r="R149" s="206">
        <v>46023.0</v>
      </c>
      <c r="S149" s="206">
        <v>46387.0</v>
      </c>
      <c r="T149" s="207" t="s">
        <v>4169</v>
      </c>
      <c r="U149" s="204" t="s">
        <v>140</v>
      </c>
      <c r="V149" s="213"/>
      <c r="W149" s="209"/>
      <c r="X149" s="138" t="s">
        <v>142</v>
      </c>
      <c r="Y149" s="193"/>
    </row>
    <row r="150" ht="33.0" customHeight="1">
      <c r="A150" s="138">
        <v>149.0</v>
      </c>
      <c r="B150" s="138">
        <v>4804.0</v>
      </c>
      <c r="C150" s="138" t="s">
        <v>34</v>
      </c>
      <c r="D150" s="138" t="s">
        <v>2147</v>
      </c>
      <c r="E150" s="138" t="s">
        <v>535</v>
      </c>
      <c r="F150" s="138" t="s">
        <v>4170</v>
      </c>
      <c r="G150" s="199" t="s">
        <v>4171</v>
      </c>
      <c r="H150" s="138" t="s">
        <v>70</v>
      </c>
      <c r="I150" s="138" t="s">
        <v>141</v>
      </c>
      <c r="J150" s="138">
        <v>16.0</v>
      </c>
      <c r="K150" s="138" t="s">
        <v>4172</v>
      </c>
      <c r="L150" s="138" t="s">
        <v>158</v>
      </c>
      <c r="M150" s="138" t="s">
        <v>4173</v>
      </c>
      <c r="N150" s="203" t="s">
        <v>4174</v>
      </c>
      <c r="O150" s="207" t="s">
        <v>4175</v>
      </c>
      <c r="P150" s="138" t="s">
        <v>2095</v>
      </c>
      <c r="Q150" s="166"/>
      <c r="R150" s="206">
        <v>46023.0</v>
      </c>
      <c r="S150" s="206">
        <v>46387.0</v>
      </c>
      <c r="T150" s="207" t="s">
        <v>4176</v>
      </c>
      <c r="U150" s="204" t="s">
        <v>2105</v>
      </c>
      <c r="V150" s="216" t="s">
        <v>2106</v>
      </c>
      <c r="W150" s="207" t="s">
        <v>4177</v>
      </c>
      <c r="X150" s="138" t="s">
        <v>142</v>
      </c>
      <c r="Y150" s="193"/>
    </row>
    <row r="151" ht="33.0" customHeight="1">
      <c r="A151" s="138">
        <v>150.0</v>
      </c>
      <c r="B151" s="138">
        <v>728.0</v>
      </c>
      <c r="C151" s="138" t="s">
        <v>34</v>
      </c>
      <c r="D151" s="138" t="s">
        <v>2179</v>
      </c>
      <c r="E151" s="138" t="s">
        <v>4178</v>
      </c>
      <c r="F151" s="138" t="s">
        <v>4179</v>
      </c>
      <c r="G151" s="199" t="s">
        <v>4180</v>
      </c>
      <c r="H151" s="138" t="s">
        <v>70</v>
      </c>
      <c r="I151" s="138" t="s">
        <v>141</v>
      </c>
      <c r="J151" s="138">
        <v>12.0</v>
      </c>
      <c r="K151" s="138" t="s">
        <v>2127</v>
      </c>
      <c r="L151" s="138" t="s">
        <v>158</v>
      </c>
      <c r="M151" s="138" t="s">
        <v>4181</v>
      </c>
      <c r="N151" s="203" t="s">
        <v>4182</v>
      </c>
      <c r="O151" s="207" t="s">
        <v>4183</v>
      </c>
      <c r="P151" s="138" t="s">
        <v>4184</v>
      </c>
      <c r="Q151" s="166"/>
      <c r="R151" s="206">
        <v>46023.0</v>
      </c>
      <c r="S151" s="206">
        <v>46387.0</v>
      </c>
      <c r="T151" s="207" t="s">
        <v>4185</v>
      </c>
      <c r="U151" s="204" t="s">
        <v>140</v>
      </c>
      <c r="V151" s="213"/>
      <c r="W151" s="209"/>
      <c r="X151" s="138" t="s">
        <v>142</v>
      </c>
      <c r="Y151" s="193"/>
    </row>
    <row r="152" ht="33.0" customHeight="1">
      <c r="A152" s="138">
        <v>151.0</v>
      </c>
      <c r="B152" s="138"/>
      <c r="C152" s="138" t="s">
        <v>36</v>
      </c>
      <c r="D152" s="138" t="s">
        <v>2237</v>
      </c>
      <c r="E152" s="142" t="s">
        <v>2237</v>
      </c>
      <c r="F152" s="138" t="s">
        <v>4186</v>
      </c>
      <c r="G152" s="199" t="s">
        <v>4187</v>
      </c>
      <c r="H152" s="138" t="s">
        <v>70</v>
      </c>
      <c r="I152" s="138" t="s">
        <v>141</v>
      </c>
      <c r="J152" s="142">
        <v>21.0</v>
      </c>
      <c r="K152" s="142" t="s">
        <v>4188</v>
      </c>
      <c r="L152" s="142" t="s">
        <v>133</v>
      </c>
      <c r="M152" s="142" t="s">
        <v>4189</v>
      </c>
      <c r="N152" s="207" t="s">
        <v>4190</v>
      </c>
      <c r="O152" s="212" t="s">
        <v>4191</v>
      </c>
      <c r="P152" s="142"/>
      <c r="Q152" s="138" t="s">
        <v>2264</v>
      </c>
      <c r="R152" s="206">
        <v>46023.0</v>
      </c>
      <c r="S152" s="206">
        <v>46387.0</v>
      </c>
      <c r="T152" s="207" t="s">
        <v>4192</v>
      </c>
      <c r="U152" s="204"/>
      <c r="V152" s="213"/>
      <c r="W152" s="209"/>
      <c r="X152" s="142" t="s">
        <v>142</v>
      </c>
      <c r="Y152" s="200"/>
    </row>
    <row r="153" ht="33.0" customHeight="1">
      <c r="A153" s="138">
        <v>152.0</v>
      </c>
      <c r="B153" s="138"/>
      <c r="C153" s="138" t="s">
        <v>36</v>
      </c>
      <c r="D153" s="138" t="s">
        <v>2237</v>
      </c>
      <c r="E153" s="138" t="s">
        <v>2237</v>
      </c>
      <c r="F153" s="138" t="s">
        <v>4193</v>
      </c>
      <c r="G153" s="199" t="s">
        <v>4194</v>
      </c>
      <c r="H153" s="138" t="s">
        <v>70</v>
      </c>
      <c r="I153" s="138" t="s">
        <v>141</v>
      </c>
      <c r="J153" s="142">
        <v>30.0</v>
      </c>
      <c r="K153" s="142"/>
      <c r="L153" s="142" t="s">
        <v>133</v>
      </c>
      <c r="M153" s="142" t="s">
        <v>4195</v>
      </c>
      <c r="N153" s="207" t="s">
        <v>4196</v>
      </c>
      <c r="O153" s="212" t="s">
        <v>4197</v>
      </c>
      <c r="P153" s="142"/>
      <c r="Q153" s="142" t="s">
        <v>2264</v>
      </c>
      <c r="R153" s="206">
        <v>46023.0</v>
      </c>
      <c r="S153" s="206">
        <v>46387.0</v>
      </c>
      <c r="T153" s="207" t="s">
        <v>4198</v>
      </c>
      <c r="U153" s="204"/>
      <c r="V153" s="213"/>
      <c r="W153" s="209"/>
      <c r="X153" s="142" t="s">
        <v>142</v>
      </c>
      <c r="Y153" s="200"/>
    </row>
    <row r="154" ht="33.0" customHeight="1">
      <c r="A154" s="138">
        <v>153.0</v>
      </c>
      <c r="B154" s="138"/>
      <c r="C154" s="138" t="s">
        <v>36</v>
      </c>
      <c r="D154" s="138" t="s">
        <v>2237</v>
      </c>
      <c r="E154" s="142" t="s">
        <v>2237</v>
      </c>
      <c r="F154" s="138" t="s">
        <v>4199</v>
      </c>
      <c r="G154" s="199" t="s">
        <v>4200</v>
      </c>
      <c r="H154" s="138" t="s">
        <v>70</v>
      </c>
      <c r="I154" s="138" t="s">
        <v>141</v>
      </c>
      <c r="J154" s="142">
        <v>23.0</v>
      </c>
      <c r="K154" s="142"/>
      <c r="L154" s="142" t="s">
        <v>133</v>
      </c>
      <c r="M154" s="142" t="s">
        <v>4201</v>
      </c>
      <c r="N154" s="207" t="s">
        <v>4202</v>
      </c>
      <c r="O154" s="212" t="s">
        <v>4203</v>
      </c>
      <c r="P154" s="158"/>
      <c r="Q154" s="138"/>
      <c r="R154" s="206">
        <v>46079.0</v>
      </c>
      <c r="S154" s="206">
        <v>46387.0</v>
      </c>
      <c r="T154" s="207" t="s">
        <v>4204</v>
      </c>
      <c r="U154" s="204"/>
      <c r="V154" s="213"/>
      <c r="W154" s="209"/>
      <c r="X154" s="142" t="s">
        <v>142</v>
      </c>
      <c r="Y154" s="200"/>
    </row>
    <row r="155" ht="33.0" customHeight="1">
      <c r="A155" s="138">
        <v>154.0</v>
      </c>
      <c r="B155" s="138"/>
      <c r="C155" s="138" t="s">
        <v>36</v>
      </c>
      <c r="D155" s="138" t="s">
        <v>2237</v>
      </c>
      <c r="E155" s="142" t="s">
        <v>2237</v>
      </c>
      <c r="F155" s="138" t="s">
        <v>4205</v>
      </c>
      <c r="G155" s="199" t="s">
        <v>4206</v>
      </c>
      <c r="H155" s="138" t="s">
        <v>70</v>
      </c>
      <c r="I155" s="138" t="s">
        <v>141</v>
      </c>
      <c r="J155" s="142">
        <v>30.0</v>
      </c>
      <c r="K155" s="142"/>
      <c r="L155" s="142" t="s">
        <v>133</v>
      </c>
      <c r="M155" s="142" t="s">
        <v>4207</v>
      </c>
      <c r="N155" s="207" t="s">
        <v>4208</v>
      </c>
      <c r="O155" s="212" t="s">
        <v>4209</v>
      </c>
      <c r="P155" s="142" t="s">
        <v>4210</v>
      </c>
      <c r="Q155" s="138"/>
      <c r="R155" s="206">
        <v>46112.0</v>
      </c>
      <c r="S155" s="206">
        <v>46387.0</v>
      </c>
      <c r="T155" s="207" t="s">
        <v>4211</v>
      </c>
      <c r="U155" s="204"/>
      <c r="V155" s="216" t="s">
        <v>4212</v>
      </c>
      <c r="W155" s="209"/>
      <c r="X155" s="142" t="s">
        <v>142</v>
      </c>
      <c r="Y155" s="200"/>
    </row>
    <row r="156" ht="33.0" customHeight="1">
      <c r="A156" s="138">
        <v>155.0</v>
      </c>
      <c r="B156" s="138"/>
      <c r="C156" s="138" t="s">
        <v>36</v>
      </c>
      <c r="D156" s="138" t="s">
        <v>2237</v>
      </c>
      <c r="E156" s="138" t="s">
        <v>2237</v>
      </c>
      <c r="F156" s="138" t="s">
        <v>4213</v>
      </c>
      <c r="G156" s="199" t="s">
        <v>4214</v>
      </c>
      <c r="H156" s="138" t="s">
        <v>70</v>
      </c>
      <c r="I156" s="138" t="s">
        <v>141</v>
      </c>
      <c r="J156" s="142">
        <v>45.0</v>
      </c>
      <c r="K156" s="168"/>
      <c r="L156" s="142" t="s">
        <v>133</v>
      </c>
      <c r="M156" s="142" t="s">
        <v>4215</v>
      </c>
      <c r="N156" s="207" t="s">
        <v>4216</v>
      </c>
      <c r="O156" s="207" t="s">
        <v>4217</v>
      </c>
      <c r="P156" s="142"/>
      <c r="Q156" s="138"/>
      <c r="R156" s="206">
        <v>46023.0</v>
      </c>
      <c r="S156" s="206">
        <v>46387.0</v>
      </c>
      <c r="T156" s="207" t="s">
        <v>4218</v>
      </c>
      <c r="U156" s="204"/>
      <c r="V156" s="213"/>
      <c r="W156" s="209"/>
      <c r="X156" s="142" t="s">
        <v>142</v>
      </c>
      <c r="Y156" s="200"/>
    </row>
    <row r="157" ht="33.0" customHeight="1">
      <c r="A157" s="138">
        <v>156.0</v>
      </c>
      <c r="B157" s="138"/>
      <c r="C157" s="138" t="s">
        <v>36</v>
      </c>
      <c r="D157" s="138" t="s">
        <v>2237</v>
      </c>
      <c r="E157" s="138" t="s">
        <v>2237</v>
      </c>
      <c r="F157" s="138" t="s">
        <v>4219</v>
      </c>
      <c r="G157" s="199" t="s">
        <v>4220</v>
      </c>
      <c r="H157" s="138" t="s">
        <v>70</v>
      </c>
      <c r="I157" s="138" t="s">
        <v>141</v>
      </c>
      <c r="J157" s="142">
        <v>24.0</v>
      </c>
      <c r="K157" s="168"/>
      <c r="L157" s="142" t="s">
        <v>133</v>
      </c>
      <c r="M157" s="142" t="s">
        <v>4221</v>
      </c>
      <c r="N157" s="207" t="s">
        <v>4222</v>
      </c>
      <c r="O157" s="212" t="s">
        <v>4223</v>
      </c>
      <c r="P157" s="142"/>
      <c r="Q157" s="158"/>
      <c r="R157" s="206">
        <v>46023.0</v>
      </c>
      <c r="S157" s="206">
        <v>46387.0</v>
      </c>
      <c r="T157" s="207" t="s">
        <v>4224</v>
      </c>
      <c r="U157" s="204"/>
      <c r="V157" s="213"/>
      <c r="W157" s="209"/>
      <c r="X157" s="142" t="s">
        <v>142</v>
      </c>
      <c r="Y157" s="200"/>
    </row>
    <row r="158" ht="33.0" customHeight="1">
      <c r="A158" s="138">
        <v>157.0</v>
      </c>
      <c r="B158" s="143"/>
      <c r="C158" s="138" t="s">
        <v>36</v>
      </c>
      <c r="D158" s="138" t="s">
        <v>2237</v>
      </c>
      <c r="E158" s="138" t="s">
        <v>2251</v>
      </c>
      <c r="F158" s="138" t="s">
        <v>4225</v>
      </c>
      <c r="G158" s="199" t="s">
        <v>4226</v>
      </c>
      <c r="H158" s="138" t="s">
        <v>70</v>
      </c>
      <c r="I158" s="138" t="s">
        <v>141</v>
      </c>
      <c r="J158" s="138">
        <v>12.0</v>
      </c>
      <c r="K158" s="146"/>
      <c r="L158" s="138" t="s">
        <v>158</v>
      </c>
      <c r="M158" s="138" t="s">
        <v>4227</v>
      </c>
      <c r="N158" s="203" t="s">
        <v>4228</v>
      </c>
      <c r="O158" s="207" t="s">
        <v>4229</v>
      </c>
      <c r="P158" s="145"/>
      <c r="Q158" s="138" t="s">
        <v>2264</v>
      </c>
      <c r="R158" s="206">
        <v>46023.0</v>
      </c>
      <c r="S158" s="206">
        <v>46387.0</v>
      </c>
      <c r="T158" s="207" t="s">
        <v>4230</v>
      </c>
      <c r="U158" s="217"/>
      <c r="V158" s="213"/>
      <c r="W158" s="209"/>
      <c r="X158" s="138" t="s">
        <v>142</v>
      </c>
      <c r="Y158" s="193"/>
    </row>
    <row r="159" ht="33.0" customHeight="1">
      <c r="A159" s="138">
        <v>158.0</v>
      </c>
      <c r="B159" s="138"/>
      <c r="C159" s="138" t="s">
        <v>36</v>
      </c>
      <c r="D159" s="138" t="s">
        <v>2237</v>
      </c>
      <c r="E159" s="138" t="s">
        <v>4231</v>
      </c>
      <c r="F159" s="138" t="s">
        <v>4232</v>
      </c>
      <c r="G159" s="199" t="s">
        <v>4233</v>
      </c>
      <c r="H159" s="138" t="s">
        <v>70</v>
      </c>
      <c r="I159" s="138" t="s">
        <v>141</v>
      </c>
      <c r="J159" s="142">
        <v>18.0</v>
      </c>
      <c r="K159" s="168"/>
      <c r="L159" s="142" t="s">
        <v>158</v>
      </c>
      <c r="M159" s="142" t="s">
        <v>4234</v>
      </c>
      <c r="N159" s="207" t="s">
        <v>4235</v>
      </c>
      <c r="O159" s="212" t="s">
        <v>4236</v>
      </c>
      <c r="P159" s="142"/>
      <c r="Q159" s="142"/>
      <c r="R159" s="206">
        <v>46023.0</v>
      </c>
      <c r="S159" s="206">
        <v>46387.0</v>
      </c>
      <c r="T159" s="207" t="s">
        <v>4237</v>
      </c>
      <c r="U159" s="204"/>
      <c r="V159" s="213"/>
      <c r="W159" s="209"/>
      <c r="X159" s="142" t="s">
        <v>142</v>
      </c>
      <c r="Y159" s="200"/>
    </row>
    <row r="160" ht="33.0" customHeight="1">
      <c r="A160" s="138">
        <v>159.0</v>
      </c>
      <c r="B160" s="143"/>
      <c r="C160" s="138" t="s">
        <v>36</v>
      </c>
      <c r="D160" s="138" t="s">
        <v>2266</v>
      </c>
      <c r="E160" s="138" t="s">
        <v>4238</v>
      </c>
      <c r="F160" s="138" t="s">
        <v>4239</v>
      </c>
      <c r="G160" s="199" t="s">
        <v>4240</v>
      </c>
      <c r="H160" s="138" t="s">
        <v>70</v>
      </c>
      <c r="I160" s="138" t="s">
        <v>141</v>
      </c>
      <c r="J160" s="138">
        <v>18.0</v>
      </c>
      <c r="K160" s="146"/>
      <c r="L160" s="138" t="s">
        <v>158</v>
      </c>
      <c r="M160" s="138" t="s">
        <v>4241</v>
      </c>
      <c r="N160" s="203" t="s">
        <v>4242</v>
      </c>
      <c r="O160" s="207" t="s">
        <v>4243</v>
      </c>
      <c r="P160" s="145"/>
      <c r="Q160" s="138" t="s">
        <v>4244</v>
      </c>
      <c r="R160" s="206">
        <v>46023.0</v>
      </c>
      <c r="S160" s="206">
        <v>46387.0</v>
      </c>
      <c r="T160" s="207" t="s">
        <v>4245</v>
      </c>
      <c r="U160" s="217"/>
      <c r="V160" s="213"/>
      <c r="W160" s="209"/>
      <c r="X160" s="138" t="s">
        <v>142</v>
      </c>
      <c r="Y160" s="193"/>
    </row>
    <row r="161" ht="33.0" customHeight="1">
      <c r="A161" s="138">
        <v>160.0</v>
      </c>
      <c r="B161" s="143"/>
      <c r="C161" s="138" t="s">
        <v>36</v>
      </c>
      <c r="D161" s="138" t="s">
        <v>2266</v>
      </c>
      <c r="E161" s="138" t="s">
        <v>4246</v>
      </c>
      <c r="F161" s="138" t="s">
        <v>4247</v>
      </c>
      <c r="G161" s="199" t="s">
        <v>4248</v>
      </c>
      <c r="H161" s="138" t="s">
        <v>70</v>
      </c>
      <c r="I161" s="138" t="s">
        <v>141</v>
      </c>
      <c r="J161" s="138">
        <v>12.0</v>
      </c>
      <c r="K161" s="146"/>
      <c r="L161" s="138" t="s">
        <v>133</v>
      </c>
      <c r="M161" s="138" t="s">
        <v>4249</v>
      </c>
      <c r="N161" s="203" t="s">
        <v>4250</v>
      </c>
      <c r="O161" s="207" t="s">
        <v>4251</v>
      </c>
      <c r="P161" s="145"/>
      <c r="Q161" s="166"/>
      <c r="R161" s="206">
        <v>46023.0</v>
      </c>
      <c r="S161" s="206">
        <v>46387.0</v>
      </c>
      <c r="T161" s="207" t="s">
        <v>4252</v>
      </c>
      <c r="U161" s="217"/>
      <c r="V161" s="213"/>
      <c r="W161" s="209"/>
      <c r="X161" s="138" t="s">
        <v>142</v>
      </c>
      <c r="Y161" s="193"/>
    </row>
    <row r="162" ht="33.0" customHeight="1">
      <c r="A162" s="138">
        <v>161.0</v>
      </c>
      <c r="B162" s="138"/>
      <c r="C162" s="138" t="s">
        <v>36</v>
      </c>
      <c r="D162" s="138" t="s">
        <v>2266</v>
      </c>
      <c r="E162" s="138" t="s">
        <v>2267</v>
      </c>
      <c r="F162" s="138" t="s">
        <v>4253</v>
      </c>
      <c r="G162" s="199" t="s">
        <v>4254</v>
      </c>
      <c r="H162" s="138" t="s">
        <v>70</v>
      </c>
      <c r="I162" s="138" t="s">
        <v>141</v>
      </c>
      <c r="J162" s="142">
        <v>15.0</v>
      </c>
      <c r="K162" s="168"/>
      <c r="L162" s="142" t="s">
        <v>158</v>
      </c>
      <c r="M162" s="142" t="s">
        <v>4255</v>
      </c>
      <c r="N162" s="207" t="s">
        <v>4256</v>
      </c>
      <c r="O162" s="212" t="s">
        <v>4257</v>
      </c>
      <c r="P162" s="142"/>
      <c r="Q162" s="138"/>
      <c r="R162" s="206">
        <v>46023.0</v>
      </c>
      <c r="S162" s="206">
        <v>46387.0</v>
      </c>
      <c r="T162" s="207" t="s">
        <v>4258</v>
      </c>
      <c r="U162" s="204"/>
      <c r="V162" s="213"/>
      <c r="W162" s="209"/>
      <c r="X162" s="142" t="s">
        <v>142</v>
      </c>
      <c r="Y162" s="200"/>
    </row>
    <row r="163" ht="33.0" customHeight="1">
      <c r="A163" s="138">
        <v>162.0</v>
      </c>
      <c r="B163" s="138"/>
      <c r="C163" s="138" t="s">
        <v>36</v>
      </c>
      <c r="D163" s="138" t="s">
        <v>2266</v>
      </c>
      <c r="E163" s="142" t="s">
        <v>4259</v>
      </c>
      <c r="F163" s="138" t="s">
        <v>4260</v>
      </c>
      <c r="G163" s="199" t="s">
        <v>4261</v>
      </c>
      <c r="H163" s="138" t="s">
        <v>70</v>
      </c>
      <c r="I163" s="138" t="s">
        <v>141</v>
      </c>
      <c r="J163" s="142">
        <v>18.0</v>
      </c>
      <c r="K163" s="142"/>
      <c r="L163" s="142" t="s">
        <v>158</v>
      </c>
      <c r="M163" s="142" t="s">
        <v>4262</v>
      </c>
      <c r="N163" s="207" t="s">
        <v>4263</v>
      </c>
      <c r="O163" s="212" t="s">
        <v>4264</v>
      </c>
      <c r="P163" s="142"/>
      <c r="Q163" s="138" t="s">
        <v>4265</v>
      </c>
      <c r="R163" s="206">
        <v>46023.0</v>
      </c>
      <c r="S163" s="206">
        <v>46387.0</v>
      </c>
      <c r="T163" s="207" t="s">
        <v>4266</v>
      </c>
      <c r="U163" s="204"/>
      <c r="V163" s="213"/>
      <c r="W163" s="209"/>
      <c r="X163" s="142" t="s">
        <v>142</v>
      </c>
      <c r="Y163" s="200"/>
    </row>
    <row r="164" ht="33.0" customHeight="1">
      <c r="A164" s="138">
        <v>163.0</v>
      </c>
      <c r="B164" s="138"/>
      <c r="C164" s="138" t="s">
        <v>36</v>
      </c>
      <c r="D164" s="138" t="s">
        <v>2266</v>
      </c>
      <c r="E164" s="138" t="s">
        <v>4267</v>
      </c>
      <c r="F164" s="138" t="s">
        <v>4268</v>
      </c>
      <c r="G164" s="199" t="s">
        <v>4269</v>
      </c>
      <c r="H164" s="138" t="s">
        <v>70</v>
      </c>
      <c r="I164" s="138" t="s">
        <v>141</v>
      </c>
      <c r="J164" s="142">
        <v>17.0</v>
      </c>
      <c r="K164" s="168"/>
      <c r="L164" s="142" t="s">
        <v>133</v>
      </c>
      <c r="M164" s="142" t="s">
        <v>4270</v>
      </c>
      <c r="N164" s="207" t="s">
        <v>4271</v>
      </c>
      <c r="O164" s="212" t="s">
        <v>4272</v>
      </c>
      <c r="P164" s="142"/>
      <c r="Q164" s="138" t="s">
        <v>4273</v>
      </c>
      <c r="R164" s="206">
        <v>46023.0</v>
      </c>
      <c r="S164" s="206">
        <v>46387.0</v>
      </c>
      <c r="T164" s="207" t="s">
        <v>4274</v>
      </c>
      <c r="U164" s="204"/>
      <c r="V164" s="213"/>
      <c r="W164" s="209"/>
      <c r="X164" s="142"/>
      <c r="Y164" s="200"/>
    </row>
    <row r="165" ht="33.0" customHeight="1">
      <c r="A165" s="138">
        <v>164.0</v>
      </c>
      <c r="B165" s="143"/>
      <c r="C165" s="138" t="s">
        <v>36</v>
      </c>
      <c r="D165" s="138" t="s">
        <v>2274</v>
      </c>
      <c r="E165" s="138" t="s">
        <v>4275</v>
      </c>
      <c r="F165" s="138" t="s">
        <v>4276</v>
      </c>
      <c r="G165" s="199" t="s">
        <v>4277</v>
      </c>
      <c r="H165" s="138" t="s">
        <v>70</v>
      </c>
      <c r="I165" s="138" t="s">
        <v>141</v>
      </c>
      <c r="J165" s="138">
        <v>38.0</v>
      </c>
      <c r="K165" s="146"/>
      <c r="L165" s="138" t="s">
        <v>133</v>
      </c>
      <c r="M165" s="138" t="s">
        <v>4278</v>
      </c>
      <c r="N165" s="203" t="s">
        <v>4279</v>
      </c>
      <c r="O165" s="207" t="s">
        <v>4280</v>
      </c>
      <c r="P165" s="145"/>
      <c r="Q165" s="166"/>
      <c r="R165" s="206">
        <v>46023.0</v>
      </c>
      <c r="S165" s="206">
        <v>46387.0</v>
      </c>
      <c r="T165" s="207" t="s">
        <v>4281</v>
      </c>
      <c r="U165" s="217"/>
      <c r="V165" s="213"/>
      <c r="W165" s="209"/>
      <c r="X165" s="138" t="s">
        <v>142</v>
      </c>
      <c r="Y165" s="193"/>
    </row>
    <row r="166" ht="33.0" customHeight="1">
      <c r="A166" s="138">
        <v>165.0</v>
      </c>
      <c r="B166" s="138"/>
      <c r="C166" s="138" t="s">
        <v>36</v>
      </c>
      <c r="D166" s="138" t="s">
        <v>2274</v>
      </c>
      <c r="E166" s="142" t="s">
        <v>4282</v>
      </c>
      <c r="F166" s="138" t="s">
        <v>4283</v>
      </c>
      <c r="G166" s="199" t="s">
        <v>4284</v>
      </c>
      <c r="H166" s="138" t="s">
        <v>70</v>
      </c>
      <c r="I166" s="138" t="s">
        <v>141</v>
      </c>
      <c r="J166" s="142">
        <v>18.0</v>
      </c>
      <c r="K166" s="168"/>
      <c r="L166" s="142" t="s">
        <v>133</v>
      </c>
      <c r="M166" s="142" t="s">
        <v>4285</v>
      </c>
      <c r="N166" s="207" t="s">
        <v>4286</v>
      </c>
      <c r="O166" s="212" t="s">
        <v>4287</v>
      </c>
      <c r="P166" s="142"/>
      <c r="Q166" s="138"/>
      <c r="R166" s="206">
        <v>46023.0</v>
      </c>
      <c r="S166" s="206">
        <v>46387.0</v>
      </c>
      <c r="T166" s="207" t="s">
        <v>4288</v>
      </c>
      <c r="U166" s="204"/>
      <c r="V166" s="213"/>
      <c r="W166" s="209"/>
      <c r="X166" s="142" t="s">
        <v>142</v>
      </c>
      <c r="Y166" s="200"/>
    </row>
    <row r="167" ht="33.0" customHeight="1">
      <c r="A167" s="138">
        <v>166.0</v>
      </c>
      <c r="B167" s="143"/>
      <c r="C167" s="138" t="s">
        <v>36</v>
      </c>
      <c r="D167" s="138" t="s">
        <v>2274</v>
      </c>
      <c r="E167" s="138" t="s">
        <v>4289</v>
      </c>
      <c r="F167" s="138" t="s">
        <v>4290</v>
      </c>
      <c r="G167" s="199" t="s">
        <v>4291</v>
      </c>
      <c r="H167" s="138" t="s">
        <v>70</v>
      </c>
      <c r="I167" s="138" t="s">
        <v>141</v>
      </c>
      <c r="J167" s="138">
        <v>16.0</v>
      </c>
      <c r="K167" s="146"/>
      <c r="L167" s="138" t="s">
        <v>141</v>
      </c>
      <c r="M167" s="138" t="s">
        <v>4292</v>
      </c>
      <c r="N167" s="203" t="s">
        <v>4293</v>
      </c>
      <c r="O167" s="207" t="s">
        <v>4294</v>
      </c>
      <c r="P167" s="145"/>
      <c r="Q167" s="138" t="s">
        <v>211</v>
      </c>
      <c r="R167" s="206">
        <v>46023.0</v>
      </c>
      <c r="S167" s="206">
        <v>46387.0</v>
      </c>
      <c r="T167" s="207" t="s">
        <v>4295</v>
      </c>
      <c r="U167" s="217"/>
      <c r="V167" s="213"/>
      <c r="W167" s="209"/>
      <c r="X167" s="138" t="s">
        <v>142</v>
      </c>
      <c r="Y167" s="193"/>
    </row>
    <row r="168" ht="33.0" customHeight="1">
      <c r="A168" s="138">
        <v>167.0</v>
      </c>
      <c r="B168" s="138"/>
      <c r="C168" s="138" t="s">
        <v>36</v>
      </c>
      <c r="D168" s="138" t="s">
        <v>2274</v>
      </c>
      <c r="E168" s="142" t="s">
        <v>4289</v>
      </c>
      <c r="F168" s="138" t="s">
        <v>4296</v>
      </c>
      <c r="G168" s="199" t="s">
        <v>4297</v>
      </c>
      <c r="H168" s="138" t="s">
        <v>70</v>
      </c>
      <c r="I168" s="138" t="s">
        <v>141</v>
      </c>
      <c r="J168" s="142">
        <v>10.0</v>
      </c>
      <c r="K168" s="168"/>
      <c r="L168" s="142" t="s">
        <v>133</v>
      </c>
      <c r="M168" s="142" t="s">
        <v>4298</v>
      </c>
      <c r="N168" s="207" t="s">
        <v>4299</v>
      </c>
      <c r="O168" s="212" t="s">
        <v>4300</v>
      </c>
      <c r="P168" s="142"/>
      <c r="Q168" s="138" t="s">
        <v>211</v>
      </c>
      <c r="R168" s="206">
        <v>46023.0</v>
      </c>
      <c r="S168" s="206">
        <v>46387.0</v>
      </c>
      <c r="T168" s="207" t="s">
        <v>4301</v>
      </c>
      <c r="U168" s="204"/>
      <c r="V168" s="213"/>
      <c r="W168" s="209"/>
      <c r="X168" s="142" t="s">
        <v>142</v>
      </c>
      <c r="Y168" s="200"/>
    </row>
    <row r="169" ht="33.0" customHeight="1">
      <c r="A169" s="138">
        <v>168.0</v>
      </c>
      <c r="B169" s="138"/>
      <c r="C169" s="138" t="s">
        <v>36</v>
      </c>
      <c r="D169" s="138" t="s">
        <v>2274</v>
      </c>
      <c r="E169" s="138" t="s">
        <v>4289</v>
      </c>
      <c r="F169" s="138" t="s">
        <v>4302</v>
      </c>
      <c r="G169" s="199" t="s">
        <v>4303</v>
      </c>
      <c r="H169" s="138" t="s">
        <v>70</v>
      </c>
      <c r="I169" s="138" t="s">
        <v>141</v>
      </c>
      <c r="J169" s="142">
        <v>12.0</v>
      </c>
      <c r="K169" s="142"/>
      <c r="L169" s="142" t="s">
        <v>133</v>
      </c>
      <c r="M169" s="142" t="s">
        <v>4304</v>
      </c>
      <c r="N169" s="207" t="s">
        <v>4305</v>
      </c>
      <c r="O169" s="212" t="s">
        <v>4306</v>
      </c>
      <c r="P169" s="142"/>
      <c r="Q169" s="138" t="s">
        <v>211</v>
      </c>
      <c r="R169" s="206">
        <v>46023.0</v>
      </c>
      <c r="S169" s="206">
        <v>46387.0</v>
      </c>
      <c r="T169" s="207" t="s">
        <v>4307</v>
      </c>
      <c r="U169" s="204"/>
      <c r="V169" s="213"/>
      <c r="W169" s="209"/>
      <c r="X169" s="142" t="s">
        <v>142</v>
      </c>
      <c r="Y169" s="200"/>
    </row>
    <row r="170" ht="33.0" customHeight="1">
      <c r="A170" s="138">
        <v>169.0</v>
      </c>
      <c r="B170" s="138"/>
      <c r="C170" s="138" t="s">
        <v>36</v>
      </c>
      <c r="D170" s="138" t="s">
        <v>2281</v>
      </c>
      <c r="E170" s="138" t="s">
        <v>4308</v>
      </c>
      <c r="F170" s="138" t="s">
        <v>4309</v>
      </c>
      <c r="G170" s="199" t="s">
        <v>4310</v>
      </c>
      <c r="H170" s="138" t="s">
        <v>70</v>
      </c>
      <c r="I170" s="138" t="s">
        <v>141</v>
      </c>
      <c r="J170" s="142">
        <v>9.0</v>
      </c>
      <c r="K170" s="168"/>
      <c r="L170" s="142" t="s">
        <v>141</v>
      </c>
      <c r="M170" s="142" t="s">
        <v>4311</v>
      </c>
      <c r="N170" s="207" t="s">
        <v>4312</v>
      </c>
      <c r="O170" s="212" t="s">
        <v>4313</v>
      </c>
      <c r="P170" s="142"/>
      <c r="Q170" s="142" t="s">
        <v>4314</v>
      </c>
      <c r="R170" s="206">
        <v>46023.0</v>
      </c>
      <c r="S170" s="206">
        <v>46387.0</v>
      </c>
      <c r="T170" s="207" t="s">
        <v>4315</v>
      </c>
      <c r="U170" s="204"/>
      <c r="V170" s="213"/>
      <c r="W170" s="209"/>
      <c r="X170" s="142" t="s">
        <v>142</v>
      </c>
      <c r="Y170" s="200"/>
    </row>
    <row r="171" ht="33.0" customHeight="1">
      <c r="A171" s="138">
        <v>170.0</v>
      </c>
      <c r="B171" s="138"/>
      <c r="C171" s="138" t="s">
        <v>36</v>
      </c>
      <c r="D171" s="138" t="s">
        <v>2281</v>
      </c>
      <c r="E171" s="142" t="s">
        <v>4308</v>
      </c>
      <c r="F171" s="138" t="s">
        <v>4316</v>
      </c>
      <c r="G171" s="199" t="s">
        <v>4317</v>
      </c>
      <c r="H171" s="138" t="s">
        <v>70</v>
      </c>
      <c r="I171" s="138" t="s">
        <v>141</v>
      </c>
      <c r="J171" s="142">
        <v>10.0</v>
      </c>
      <c r="K171" s="168"/>
      <c r="L171" s="142" t="s">
        <v>141</v>
      </c>
      <c r="M171" s="142" t="s">
        <v>4318</v>
      </c>
      <c r="N171" s="207" t="s">
        <v>4319</v>
      </c>
      <c r="O171" s="212" t="s">
        <v>4320</v>
      </c>
      <c r="P171" s="142"/>
      <c r="Q171" s="138" t="s">
        <v>4321</v>
      </c>
      <c r="R171" s="206">
        <v>46023.0</v>
      </c>
      <c r="S171" s="206">
        <v>46387.0</v>
      </c>
      <c r="T171" s="207" t="s">
        <v>4322</v>
      </c>
      <c r="U171" s="204"/>
      <c r="V171" s="213"/>
      <c r="W171" s="209"/>
      <c r="X171" s="142" t="s">
        <v>142</v>
      </c>
      <c r="Y171" s="200"/>
    </row>
    <row r="172" ht="33.0" customHeight="1">
      <c r="A172" s="138">
        <v>171.0</v>
      </c>
      <c r="B172" s="143"/>
      <c r="C172" s="138" t="s">
        <v>36</v>
      </c>
      <c r="D172" s="138" t="s">
        <v>2281</v>
      </c>
      <c r="E172" s="138" t="s">
        <v>4323</v>
      </c>
      <c r="F172" s="138" t="s">
        <v>4324</v>
      </c>
      <c r="G172" s="199" t="s">
        <v>4325</v>
      </c>
      <c r="H172" s="138" t="s">
        <v>70</v>
      </c>
      <c r="I172" s="138" t="s">
        <v>141</v>
      </c>
      <c r="J172" s="138">
        <v>15.0</v>
      </c>
      <c r="K172" s="146"/>
      <c r="L172" s="138" t="s">
        <v>141</v>
      </c>
      <c r="M172" s="138" t="s">
        <v>4326</v>
      </c>
      <c r="N172" s="203" t="s">
        <v>4327</v>
      </c>
      <c r="O172" s="207" t="s">
        <v>4328</v>
      </c>
      <c r="P172" s="145"/>
      <c r="Q172" s="166"/>
      <c r="R172" s="206">
        <v>46023.0</v>
      </c>
      <c r="S172" s="206">
        <v>46387.0</v>
      </c>
      <c r="T172" s="207" t="s">
        <v>4329</v>
      </c>
      <c r="U172" s="217"/>
      <c r="V172" s="213"/>
      <c r="W172" s="209"/>
      <c r="X172" s="138" t="s">
        <v>142</v>
      </c>
      <c r="Y172" s="193"/>
    </row>
    <row r="173" ht="33.0" customHeight="1">
      <c r="A173" s="138">
        <v>172.0</v>
      </c>
      <c r="B173" s="138"/>
      <c r="C173" s="138" t="s">
        <v>36</v>
      </c>
      <c r="D173" s="138" t="s">
        <v>2281</v>
      </c>
      <c r="E173" s="138" t="s">
        <v>316</v>
      </c>
      <c r="F173" s="138" t="s">
        <v>4330</v>
      </c>
      <c r="G173" s="199" t="s">
        <v>4331</v>
      </c>
      <c r="H173" s="138" t="s">
        <v>70</v>
      </c>
      <c r="I173" s="138" t="s">
        <v>141</v>
      </c>
      <c r="J173" s="142">
        <v>12.0</v>
      </c>
      <c r="K173" s="142"/>
      <c r="L173" s="142" t="s">
        <v>141</v>
      </c>
      <c r="M173" s="142" t="s">
        <v>4332</v>
      </c>
      <c r="N173" s="207" t="s">
        <v>4333</v>
      </c>
      <c r="O173" s="212" t="s">
        <v>4334</v>
      </c>
      <c r="P173" s="142" t="s">
        <v>4335</v>
      </c>
      <c r="Q173" s="142"/>
      <c r="R173" s="206">
        <v>46023.0</v>
      </c>
      <c r="S173" s="206">
        <v>46387.0</v>
      </c>
      <c r="T173" s="207" t="s">
        <v>4336</v>
      </c>
      <c r="U173" s="204"/>
      <c r="V173" s="213"/>
      <c r="W173" s="209"/>
      <c r="X173" s="142" t="s">
        <v>142</v>
      </c>
      <c r="Y173" s="200"/>
    </row>
    <row r="174" ht="33.0" customHeight="1">
      <c r="A174" s="138">
        <v>173.0</v>
      </c>
      <c r="B174" s="138"/>
      <c r="C174" s="138" t="s">
        <v>36</v>
      </c>
      <c r="D174" s="138" t="s">
        <v>2281</v>
      </c>
      <c r="E174" s="138" t="s">
        <v>4337</v>
      </c>
      <c r="F174" s="138" t="s">
        <v>4338</v>
      </c>
      <c r="G174" s="199" t="s">
        <v>4339</v>
      </c>
      <c r="H174" s="138" t="s">
        <v>70</v>
      </c>
      <c r="I174" s="138" t="s">
        <v>141</v>
      </c>
      <c r="J174" s="142">
        <v>18.0</v>
      </c>
      <c r="K174" s="168"/>
      <c r="L174" s="142" t="s">
        <v>158</v>
      </c>
      <c r="M174" s="142" t="s">
        <v>4340</v>
      </c>
      <c r="N174" s="207" t="s">
        <v>4341</v>
      </c>
      <c r="O174" s="212" t="s">
        <v>4342</v>
      </c>
      <c r="P174" s="142"/>
      <c r="Q174" s="153" t="s">
        <v>4343</v>
      </c>
      <c r="R174" s="206">
        <v>46023.0</v>
      </c>
      <c r="S174" s="206">
        <v>46387.0</v>
      </c>
      <c r="T174" s="207" t="s">
        <v>4344</v>
      </c>
      <c r="U174" s="204"/>
      <c r="V174" s="213"/>
      <c r="W174" s="209"/>
      <c r="X174" s="142" t="s">
        <v>142</v>
      </c>
      <c r="Y174" s="200"/>
    </row>
    <row r="175" ht="33.0" customHeight="1">
      <c r="A175" s="138">
        <v>174.0</v>
      </c>
      <c r="B175" s="138"/>
      <c r="C175" s="138" t="s">
        <v>36</v>
      </c>
      <c r="D175" s="138" t="s">
        <v>2281</v>
      </c>
      <c r="E175" s="138" t="s">
        <v>3503</v>
      </c>
      <c r="F175" s="138" t="s">
        <v>4345</v>
      </c>
      <c r="G175" s="199" t="s">
        <v>4346</v>
      </c>
      <c r="H175" s="138" t="s">
        <v>70</v>
      </c>
      <c r="I175" s="138" t="s">
        <v>141</v>
      </c>
      <c r="J175" s="142">
        <v>18.0</v>
      </c>
      <c r="K175" s="142"/>
      <c r="L175" s="142" t="s">
        <v>141</v>
      </c>
      <c r="M175" s="142" t="s">
        <v>4347</v>
      </c>
      <c r="N175" s="207" t="s">
        <v>4348</v>
      </c>
      <c r="O175" s="212" t="s">
        <v>4349</v>
      </c>
      <c r="P175" s="142"/>
      <c r="Q175" s="138"/>
      <c r="R175" s="206">
        <v>46023.0</v>
      </c>
      <c r="S175" s="206">
        <v>46387.0</v>
      </c>
      <c r="T175" s="207" t="s">
        <v>4350</v>
      </c>
      <c r="U175" s="204"/>
      <c r="V175" s="213"/>
      <c r="W175" s="209"/>
      <c r="X175" s="142" t="s">
        <v>142</v>
      </c>
      <c r="Y175" s="200"/>
    </row>
    <row r="176" ht="33.0" customHeight="1">
      <c r="A176" s="138">
        <v>175.0</v>
      </c>
      <c r="B176" s="138"/>
      <c r="C176" s="138" t="s">
        <v>36</v>
      </c>
      <c r="D176" s="138" t="s">
        <v>2281</v>
      </c>
      <c r="E176" s="138" t="s">
        <v>4351</v>
      </c>
      <c r="F176" s="138" t="s">
        <v>4352</v>
      </c>
      <c r="G176" s="199" t="s">
        <v>4353</v>
      </c>
      <c r="H176" s="138" t="s">
        <v>70</v>
      </c>
      <c r="I176" s="138" t="s">
        <v>141</v>
      </c>
      <c r="J176" s="142">
        <v>18.0</v>
      </c>
      <c r="K176" s="142"/>
      <c r="L176" s="142" t="s">
        <v>158</v>
      </c>
      <c r="M176" s="142" t="s">
        <v>4354</v>
      </c>
      <c r="N176" s="207" t="s">
        <v>4355</v>
      </c>
      <c r="O176" s="212" t="s">
        <v>4356</v>
      </c>
      <c r="P176" s="142"/>
      <c r="Q176" s="142" t="s">
        <v>4357</v>
      </c>
      <c r="R176" s="206">
        <v>46023.0</v>
      </c>
      <c r="S176" s="206">
        <v>46387.0</v>
      </c>
      <c r="T176" s="207" t="s">
        <v>4358</v>
      </c>
      <c r="U176" s="204"/>
      <c r="V176" s="213"/>
      <c r="W176" s="209"/>
      <c r="X176" s="142" t="s">
        <v>142</v>
      </c>
      <c r="Y176" s="200"/>
    </row>
    <row r="177" ht="33.0" customHeight="1">
      <c r="A177" s="138">
        <v>176.0</v>
      </c>
      <c r="B177" s="138"/>
      <c r="C177" s="138" t="s">
        <v>36</v>
      </c>
      <c r="D177" s="138" t="s">
        <v>2281</v>
      </c>
      <c r="E177" s="138" t="s">
        <v>4351</v>
      </c>
      <c r="F177" s="138" t="s">
        <v>4359</v>
      </c>
      <c r="G177" s="199" t="s">
        <v>4360</v>
      </c>
      <c r="H177" s="138" t="s">
        <v>70</v>
      </c>
      <c r="I177" s="138" t="s">
        <v>141</v>
      </c>
      <c r="J177" s="142">
        <v>24.0</v>
      </c>
      <c r="K177" s="168"/>
      <c r="L177" s="142" t="s">
        <v>158</v>
      </c>
      <c r="M177" s="142" t="s">
        <v>4361</v>
      </c>
      <c r="N177" s="207" t="s">
        <v>4362</v>
      </c>
      <c r="O177" s="212" t="s">
        <v>4363</v>
      </c>
      <c r="P177" s="142"/>
      <c r="Q177" s="142" t="s">
        <v>4364</v>
      </c>
      <c r="R177" s="206">
        <v>46023.0</v>
      </c>
      <c r="S177" s="206">
        <v>46387.0</v>
      </c>
      <c r="T177" s="207" t="s">
        <v>4365</v>
      </c>
      <c r="U177" s="204"/>
      <c r="V177" s="213"/>
      <c r="W177" s="209"/>
      <c r="X177" s="142" t="s">
        <v>142</v>
      </c>
      <c r="Y177" s="200"/>
    </row>
    <row r="178" ht="33.0" customHeight="1">
      <c r="A178" s="138">
        <v>177.0</v>
      </c>
      <c r="B178" s="138"/>
      <c r="C178" s="138" t="s">
        <v>36</v>
      </c>
      <c r="D178" s="138" t="s">
        <v>2291</v>
      </c>
      <c r="E178" s="138" t="s">
        <v>4366</v>
      </c>
      <c r="F178" s="138" t="s">
        <v>4367</v>
      </c>
      <c r="G178" s="199" t="s">
        <v>4368</v>
      </c>
      <c r="H178" s="138" t="s">
        <v>70</v>
      </c>
      <c r="I178" s="138" t="s">
        <v>141</v>
      </c>
      <c r="J178" s="138">
        <v>18.0</v>
      </c>
      <c r="K178" s="146"/>
      <c r="L178" s="138" t="s">
        <v>158</v>
      </c>
      <c r="M178" s="138" t="s">
        <v>4369</v>
      </c>
      <c r="N178" s="207" t="s">
        <v>4370</v>
      </c>
      <c r="O178" s="207" t="s">
        <v>4371</v>
      </c>
      <c r="P178" s="142"/>
      <c r="Q178" s="138" t="s">
        <v>4321</v>
      </c>
      <c r="R178" s="206">
        <v>46023.0</v>
      </c>
      <c r="S178" s="206">
        <v>46387.0</v>
      </c>
      <c r="T178" s="207" t="s">
        <v>4372</v>
      </c>
      <c r="U178" s="204"/>
      <c r="V178" s="213"/>
      <c r="W178" s="209"/>
      <c r="X178" s="142" t="s">
        <v>142</v>
      </c>
      <c r="Y178" s="200"/>
    </row>
    <row r="179" ht="33.0" customHeight="1">
      <c r="A179" s="138">
        <v>178.0</v>
      </c>
      <c r="B179" s="138"/>
      <c r="C179" s="138" t="s">
        <v>36</v>
      </c>
      <c r="D179" s="138" t="s">
        <v>2291</v>
      </c>
      <c r="E179" s="142" t="s">
        <v>4373</v>
      </c>
      <c r="F179" s="138" t="s">
        <v>4374</v>
      </c>
      <c r="G179" s="199" t="s">
        <v>4375</v>
      </c>
      <c r="H179" s="138" t="s">
        <v>70</v>
      </c>
      <c r="I179" s="138" t="s">
        <v>141</v>
      </c>
      <c r="J179" s="142">
        <v>18.0</v>
      </c>
      <c r="K179" s="142" t="s">
        <v>4376</v>
      </c>
      <c r="L179" s="142" t="s">
        <v>158</v>
      </c>
      <c r="M179" s="142" t="s">
        <v>4377</v>
      </c>
      <c r="N179" s="207" t="s">
        <v>4378</v>
      </c>
      <c r="O179" s="212" t="s">
        <v>4379</v>
      </c>
      <c r="P179" s="142"/>
      <c r="Q179" s="138"/>
      <c r="R179" s="206">
        <v>46023.0</v>
      </c>
      <c r="S179" s="206">
        <v>46387.0</v>
      </c>
      <c r="T179" s="207" t="s">
        <v>4380</v>
      </c>
      <c r="U179" s="204"/>
      <c r="V179" s="213"/>
      <c r="W179" s="209"/>
      <c r="X179" s="142" t="s">
        <v>142</v>
      </c>
      <c r="Y179" s="200"/>
    </row>
    <row r="180" ht="33.0" customHeight="1">
      <c r="A180" s="138">
        <v>179.0</v>
      </c>
      <c r="B180" s="138"/>
      <c r="C180" s="138" t="s">
        <v>36</v>
      </c>
      <c r="D180" s="138" t="s">
        <v>2291</v>
      </c>
      <c r="E180" s="142" t="s">
        <v>408</v>
      </c>
      <c r="F180" s="138" t="s">
        <v>4381</v>
      </c>
      <c r="G180" s="199" t="s">
        <v>4382</v>
      </c>
      <c r="H180" s="138" t="s">
        <v>70</v>
      </c>
      <c r="I180" s="138" t="s">
        <v>141</v>
      </c>
      <c r="J180" s="142">
        <v>16.0</v>
      </c>
      <c r="K180" s="142" t="s">
        <v>4383</v>
      </c>
      <c r="L180" s="142" t="s">
        <v>158</v>
      </c>
      <c r="M180" s="142" t="s">
        <v>4384</v>
      </c>
      <c r="N180" s="207" t="s">
        <v>4385</v>
      </c>
      <c r="O180" s="212" t="s">
        <v>4386</v>
      </c>
      <c r="P180" s="142"/>
      <c r="Q180" s="138" t="s">
        <v>4387</v>
      </c>
      <c r="R180" s="206">
        <v>46045.0</v>
      </c>
      <c r="S180" s="206">
        <v>46387.0</v>
      </c>
      <c r="T180" s="207" t="s">
        <v>4388</v>
      </c>
      <c r="U180" s="204"/>
      <c r="V180" s="213"/>
      <c r="W180" s="209"/>
      <c r="X180" s="142" t="s">
        <v>142</v>
      </c>
      <c r="Y180" s="200"/>
    </row>
    <row r="181" ht="33.0" customHeight="1">
      <c r="A181" s="138">
        <v>180.0</v>
      </c>
      <c r="B181" s="138">
        <v>3096.0</v>
      </c>
      <c r="C181" s="138" t="s">
        <v>38</v>
      </c>
      <c r="D181" s="138" t="s">
        <v>4389</v>
      </c>
      <c r="E181" s="138" t="s">
        <v>4390</v>
      </c>
      <c r="F181" s="138" t="s">
        <v>4391</v>
      </c>
      <c r="G181" s="190" t="s">
        <v>4392</v>
      </c>
      <c r="H181" s="138" t="s">
        <v>70</v>
      </c>
      <c r="I181" s="146"/>
      <c r="J181" s="138">
        <v>20.0</v>
      </c>
      <c r="K181" s="146"/>
      <c r="L181" s="138" t="s">
        <v>158</v>
      </c>
      <c r="M181" s="138" t="s">
        <v>4393</v>
      </c>
      <c r="N181" s="142">
        <v>9.055152705E9</v>
      </c>
      <c r="O181" s="142" t="s">
        <v>4394</v>
      </c>
      <c r="P181" s="158"/>
      <c r="Q181" s="142" t="s">
        <v>4395</v>
      </c>
      <c r="R181" s="141">
        <v>46023.0</v>
      </c>
      <c r="S181" s="141">
        <v>46387.0</v>
      </c>
      <c r="T181" s="138" t="s">
        <v>4396</v>
      </c>
      <c r="U181" s="142" t="s">
        <v>140</v>
      </c>
      <c r="W181" s="143"/>
      <c r="X181" s="146"/>
      <c r="Y181" s="193"/>
    </row>
    <row r="182" ht="33.0" customHeight="1">
      <c r="A182" s="138">
        <v>181.0</v>
      </c>
      <c r="B182" s="138">
        <v>5287.0</v>
      </c>
      <c r="C182" s="138" t="s">
        <v>38</v>
      </c>
      <c r="D182" s="138" t="s">
        <v>2342</v>
      </c>
      <c r="E182" s="138" t="s">
        <v>4397</v>
      </c>
      <c r="F182" s="138" t="s">
        <v>4398</v>
      </c>
      <c r="G182" s="199" t="s">
        <v>4399</v>
      </c>
      <c r="H182" s="138" t="s">
        <v>70</v>
      </c>
      <c r="I182" s="146"/>
      <c r="J182" s="138">
        <v>23.0</v>
      </c>
      <c r="K182" s="146"/>
      <c r="L182" s="146"/>
      <c r="M182" s="138" t="s">
        <v>4400</v>
      </c>
      <c r="N182" s="142">
        <v>9.177977115E9</v>
      </c>
      <c r="O182" s="142" t="s">
        <v>4401</v>
      </c>
      <c r="P182" s="158"/>
      <c r="Q182" s="142" t="s">
        <v>4402</v>
      </c>
      <c r="R182" s="141">
        <v>46023.0</v>
      </c>
      <c r="S182" s="141">
        <v>46387.0</v>
      </c>
      <c r="T182" s="138" t="s">
        <v>4403</v>
      </c>
      <c r="U182" s="142" t="s">
        <v>140</v>
      </c>
      <c r="W182" s="143"/>
      <c r="X182" s="168"/>
      <c r="Y182" s="201"/>
    </row>
    <row r="183" ht="33.0" customHeight="1">
      <c r="A183" s="138">
        <v>182.0</v>
      </c>
      <c r="B183" s="138">
        <v>38478.0</v>
      </c>
      <c r="C183" s="138" t="s">
        <v>38</v>
      </c>
      <c r="D183" s="138" t="s">
        <v>2342</v>
      </c>
      <c r="E183" s="138" t="s">
        <v>4397</v>
      </c>
      <c r="F183" s="138" t="s">
        <v>4404</v>
      </c>
      <c r="G183" s="199" t="s">
        <v>4405</v>
      </c>
      <c r="H183" s="138" t="s">
        <v>70</v>
      </c>
      <c r="I183" s="146"/>
      <c r="J183" s="138">
        <v>18.0</v>
      </c>
      <c r="K183" s="138" t="s">
        <v>274</v>
      </c>
      <c r="L183" s="138" t="s">
        <v>133</v>
      </c>
      <c r="M183" s="138" t="s">
        <v>4406</v>
      </c>
      <c r="N183" s="142">
        <v>9.189881818E9</v>
      </c>
      <c r="O183" s="142" t="s">
        <v>4407</v>
      </c>
      <c r="P183" s="138" t="s">
        <v>141</v>
      </c>
      <c r="Q183" s="142" t="s">
        <v>4408</v>
      </c>
      <c r="R183" s="141">
        <v>46027.0</v>
      </c>
      <c r="S183" s="141">
        <v>46387.0</v>
      </c>
      <c r="T183" s="138" t="s">
        <v>4409</v>
      </c>
      <c r="U183" s="142" t="s">
        <v>140</v>
      </c>
      <c r="W183" s="143"/>
      <c r="X183" s="146"/>
      <c r="Y183" s="193"/>
    </row>
    <row r="184" ht="33.0" customHeight="1">
      <c r="A184" s="138">
        <v>183.0</v>
      </c>
      <c r="B184" s="138">
        <v>644.0</v>
      </c>
      <c r="C184" s="138" t="s">
        <v>38</v>
      </c>
      <c r="D184" s="138" t="s">
        <v>2342</v>
      </c>
      <c r="E184" s="138" t="s">
        <v>2358</v>
      </c>
      <c r="F184" s="138" t="s">
        <v>4410</v>
      </c>
      <c r="G184" s="199" t="s">
        <v>4411</v>
      </c>
      <c r="H184" s="138" t="s">
        <v>70</v>
      </c>
      <c r="I184" s="138"/>
      <c r="J184" s="142">
        <v>12.0</v>
      </c>
      <c r="K184" s="142"/>
      <c r="L184" s="142" t="s">
        <v>133</v>
      </c>
      <c r="M184" s="142" t="s">
        <v>4412</v>
      </c>
      <c r="N184" s="142">
        <v>9.202698611E9</v>
      </c>
      <c r="O184" s="164" t="s">
        <v>4413</v>
      </c>
      <c r="P184" s="142"/>
      <c r="Q184" s="138" t="s">
        <v>2364</v>
      </c>
      <c r="R184" s="141">
        <v>46023.0</v>
      </c>
      <c r="S184" s="141">
        <v>46387.0</v>
      </c>
      <c r="T184" s="142" t="s">
        <v>4414</v>
      </c>
      <c r="U184" s="142" t="s">
        <v>140</v>
      </c>
      <c r="W184" s="143"/>
      <c r="X184" s="142"/>
      <c r="Y184" s="200"/>
    </row>
    <row r="185" ht="33.0" customHeight="1">
      <c r="A185" s="138">
        <v>184.0</v>
      </c>
      <c r="B185" s="138">
        <v>796.0</v>
      </c>
      <c r="C185" s="138" t="s">
        <v>38</v>
      </c>
      <c r="D185" s="138" t="s">
        <v>2342</v>
      </c>
      <c r="E185" s="138" t="s">
        <v>2358</v>
      </c>
      <c r="F185" s="138" t="s">
        <v>4415</v>
      </c>
      <c r="G185" s="199" t="s">
        <v>4416</v>
      </c>
      <c r="H185" s="138" t="s">
        <v>70</v>
      </c>
      <c r="I185" s="138"/>
      <c r="J185" s="142">
        <v>15.0</v>
      </c>
      <c r="K185" s="142" t="s">
        <v>4417</v>
      </c>
      <c r="L185" s="142" t="s">
        <v>133</v>
      </c>
      <c r="M185" s="142" t="s">
        <v>4418</v>
      </c>
      <c r="N185" s="138">
        <v>9.288405567E9</v>
      </c>
      <c r="O185" s="164" t="s">
        <v>4419</v>
      </c>
      <c r="P185" s="142"/>
      <c r="Q185" s="142" t="s">
        <v>2364</v>
      </c>
      <c r="R185" s="141">
        <v>46023.0</v>
      </c>
      <c r="S185" s="141">
        <v>46387.0</v>
      </c>
      <c r="T185" s="142" t="s">
        <v>4420</v>
      </c>
      <c r="U185" s="142" t="s">
        <v>140</v>
      </c>
      <c r="W185" s="143"/>
      <c r="X185" s="142"/>
      <c r="Y185" s="200"/>
    </row>
    <row r="186" ht="33.0" customHeight="1">
      <c r="A186" s="138">
        <v>185.0</v>
      </c>
      <c r="B186" s="138">
        <v>3496.0</v>
      </c>
      <c r="C186" s="138" t="s">
        <v>38</v>
      </c>
      <c r="D186" s="142" t="s">
        <v>2342</v>
      </c>
      <c r="E186" s="138" t="s">
        <v>4421</v>
      </c>
      <c r="F186" s="142" t="s">
        <v>4422</v>
      </c>
      <c r="G186" s="199" t="s">
        <v>4423</v>
      </c>
      <c r="H186" s="138" t="s">
        <v>70</v>
      </c>
      <c r="I186" s="146"/>
      <c r="J186" s="142">
        <v>25.0</v>
      </c>
      <c r="K186" s="138" t="s">
        <v>274</v>
      </c>
      <c r="L186" s="142" t="s">
        <v>133</v>
      </c>
      <c r="M186" s="142" t="s">
        <v>4424</v>
      </c>
      <c r="N186" s="138">
        <v>9.175852051E9</v>
      </c>
      <c r="O186" s="138" t="s">
        <v>4425</v>
      </c>
      <c r="P186" s="158"/>
      <c r="Q186" s="142" t="s">
        <v>2348</v>
      </c>
      <c r="R186" s="141">
        <v>46023.0</v>
      </c>
      <c r="S186" s="141">
        <v>46387.0</v>
      </c>
      <c r="T186" s="138" t="s">
        <v>4426</v>
      </c>
      <c r="U186" s="142" t="s">
        <v>140</v>
      </c>
      <c r="W186" s="143"/>
      <c r="X186" s="146"/>
      <c r="Y186" s="193"/>
    </row>
    <row r="187" ht="33.0" customHeight="1">
      <c r="A187" s="138">
        <v>186.0</v>
      </c>
      <c r="B187" s="138">
        <v>35953.0</v>
      </c>
      <c r="C187" s="138" t="s">
        <v>38</v>
      </c>
      <c r="D187" s="138" t="s">
        <v>2342</v>
      </c>
      <c r="E187" s="142" t="s">
        <v>4427</v>
      </c>
      <c r="F187" s="138" t="s">
        <v>4428</v>
      </c>
      <c r="G187" s="199" t="s">
        <v>4429</v>
      </c>
      <c r="H187" s="138" t="s">
        <v>70</v>
      </c>
      <c r="I187" s="138"/>
      <c r="J187" s="142">
        <v>18.0</v>
      </c>
      <c r="K187" s="142" t="s">
        <v>4430</v>
      </c>
      <c r="L187" s="142" t="s">
        <v>133</v>
      </c>
      <c r="M187" s="142" t="s">
        <v>4431</v>
      </c>
      <c r="N187" s="142">
        <v>9.708802499E9</v>
      </c>
      <c r="O187" s="164" t="s">
        <v>4432</v>
      </c>
      <c r="P187" s="142"/>
      <c r="Q187" s="138" t="s">
        <v>4433</v>
      </c>
      <c r="R187" s="141">
        <v>46023.0</v>
      </c>
      <c r="S187" s="141">
        <v>46387.0</v>
      </c>
      <c r="T187" s="142" t="s">
        <v>4434</v>
      </c>
      <c r="U187" s="142" t="s">
        <v>140</v>
      </c>
      <c r="W187" s="143"/>
      <c r="X187" s="142"/>
      <c r="Y187" s="200"/>
    </row>
    <row r="188" ht="33.0" customHeight="1">
      <c r="A188" s="138">
        <v>187.0</v>
      </c>
      <c r="B188" s="138">
        <v>2312.0</v>
      </c>
      <c r="C188" s="138" t="s">
        <v>38</v>
      </c>
      <c r="D188" s="138" t="s">
        <v>2342</v>
      </c>
      <c r="E188" s="138" t="s">
        <v>4435</v>
      </c>
      <c r="F188" s="138" t="s">
        <v>4436</v>
      </c>
      <c r="G188" s="199" t="s">
        <v>4437</v>
      </c>
      <c r="H188" s="138" t="s">
        <v>70</v>
      </c>
      <c r="I188" s="146"/>
      <c r="J188" s="138">
        <v>32.0</v>
      </c>
      <c r="K188" s="146"/>
      <c r="L188" s="138" t="s">
        <v>133</v>
      </c>
      <c r="M188" s="138" t="s">
        <v>4438</v>
      </c>
      <c r="N188" s="138">
        <v>9.177001001E9</v>
      </c>
      <c r="O188" s="138" t="s">
        <v>4439</v>
      </c>
      <c r="P188" s="158"/>
      <c r="Q188" s="138" t="s">
        <v>4440</v>
      </c>
      <c r="R188" s="141">
        <v>46023.0</v>
      </c>
      <c r="S188" s="141">
        <v>46387.0</v>
      </c>
      <c r="T188" s="138" t="s">
        <v>4441</v>
      </c>
      <c r="U188" s="142" t="s">
        <v>140</v>
      </c>
      <c r="W188" s="143"/>
      <c r="X188" s="146"/>
      <c r="Y188" s="193"/>
    </row>
    <row r="189" ht="33.0" customHeight="1">
      <c r="A189" s="138">
        <v>188.0</v>
      </c>
      <c r="B189" s="138">
        <v>49961.0</v>
      </c>
      <c r="C189" s="138" t="s">
        <v>38</v>
      </c>
      <c r="D189" s="138" t="s">
        <v>2342</v>
      </c>
      <c r="E189" s="138" t="s">
        <v>4442</v>
      </c>
      <c r="F189" s="138" t="s">
        <v>4443</v>
      </c>
      <c r="G189" s="199" t="s">
        <v>4444</v>
      </c>
      <c r="H189" s="138" t="s">
        <v>70</v>
      </c>
      <c r="I189" s="138"/>
      <c r="J189" s="142">
        <v>16.0</v>
      </c>
      <c r="K189" s="142" t="s">
        <v>4445</v>
      </c>
      <c r="L189" s="142" t="s">
        <v>158</v>
      </c>
      <c r="M189" s="142" t="s">
        <v>4446</v>
      </c>
      <c r="N189" s="138">
        <v>9.176220994E9</v>
      </c>
      <c r="O189" s="164" t="s">
        <v>4447</v>
      </c>
      <c r="P189" s="142"/>
      <c r="Q189" s="142" t="s">
        <v>4448</v>
      </c>
      <c r="R189" s="141">
        <v>46023.0</v>
      </c>
      <c r="S189" s="141">
        <v>46387.0</v>
      </c>
      <c r="T189" s="142" t="s">
        <v>4449</v>
      </c>
      <c r="U189" s="142" t="s">
        <v>140</v>
      </c>
      <c r="W189" s="143"/>
      <c r="X189" s="142"/>
      <c r="Y189" s="200"/>
    </row>
    <row r="190" ht="33.0" customHeight="1">
      <c r="A190" s="138">
        <v>189.0</v>
      </c>
      <c r="B190" s="138">
        <v>47839.0</v>
      </c>
      <c r="C190" s="138" t="s">
        <v>38</v>
      </c>
      <c r="D190" s="138" t="s">
        <v>2342</v>
      </c>
      <c r="E190" s="142" t="s">
        <v>4450</v>
      </c>
      <c r="F190" s="138" t="s">
        <v>4451</v>
      </c>
      <c r="G190" s="199" t="s">
        <v>4452</v>
      </c>
      <c r="H190" s="138" t="s">
        <v>70</v>
      </c>
      <c r="I190" s="138"/>
      <c r="J190" s="142">
        <v>23.0</v>
      </c>
      <c r="K190" s="168"/>
      <c r="L190" s="142"/>
      <c r="M190" s="142" t="s">
        <v>4453</v>
      </c>
      <c r="N190" s="138">
        <v>9.51306315E9</v>
      </c>
      <c r="O190" s="164" t="s">
        <v>4454</v>
      </c>
      <c r="P190" s="142"/>
      <c r="Q190" s="138" t="s">
        <v>4455</v>
      </c>
      <c r="R190" s="141">
        <v>46023.0</v>
      </c>
      <c r="S190" s="141">
        <v>46387.0</v>
      </c>
      <c r="T190" s="142" t="s">
        <v>4456</v>
      </c>
      <c r="U190" s="142" t="s">
        <v>140</v>
      </c>
      <c r="W190" s="143"/>
      <c r="X190" s="142"/>
      <c r="Y190" s="200"/>
    </row>
    <row r="191" ht="33.0" customHeight="1">
      <c r="A191" s="138">
        <v>190.0</v>
      </c>
      <c r="B191" s="138">
        <v>52009.0</v>
      </c>
      <c r="C191" s="138" t="s">
        <v>38</v>
      </c>
      <c r="D191" s="138" t="s">
        <v>2342</v>
      </c>
      <c r="E191" s="138" t="s">
        <v>4457</v>
      </c>
      <c r="F191" s="138" t="s">
        <v>4458</v>
      </c>
      <c r="G191" s="199" t="s">
        <v>4459</v>
      </c>
      <c r="H191" s="138" t="s">
        <v>70</v>
      </c>
      <c r="I191" s="146"/>
      <c r="J191" s="138">
        <v>15.0</v>
      </c>
      <c r="K191" s="146"/>
      <c r="L191" s="138" t="s">
        <v>158</v>
      </c>
      <c r="M191" s="138" t="s">
        <v>4460</v>
      </c>
      <c r="N191" s="142">
        <v>9.504544398E9</v>
      </c>
      <c r="O191" s="142" t="s">
        <v>4461</v>
      </c>
      <c r="P191" s="158"/>
      <c r="Q191" s="142" t="s">
        <v>4462</v>
      </c>
      <c r="R191" s="141">
        <v>46023.0</v>
      </c>
      <c r="S191" s="141">
        <v>46387.0</v>
      </c>
      <c r="T191" s="138" t="s">
        <v>4463</v>
      </c>
      <c r="U191" s="142" t="s">
        <v>140</v>
      </c>
      <c r="W191" s="143"/>
      <c r="X191" s="146"/>
      <c r="Y191" s="193"/>
    </row>
    <row r="192" ht="33.0" customHeight="1">
      <c r="A192" s="138">
        <v>191.0</v>
      </c>
      <c r="B192" s="138">
        <v>5445.0</v>
      </c>
      <c r="C192" s="138" t="s">
        <v>38</v>
      </c>
      <c r="D192" s="138" t="s">
        <v>2342</v>
      </c>
      <c r="E192" s="138" t="s">
        <v>4464</v>
      </c>
      <c r="F192" s="138" t="s">
        <v>4465</v>
      </c>
      <c r="G192" s="199" t="s">
        <v>4466</v>
      </c>
      <c r="H192" s="138" t="s">
        <v>70</v>
      </c>
      <c r="I192" s="146"/>
      <c r="J192" s="138">
        <v>30.0</v>
      </c>
      <c r="K192" s="146"/>
      <c r="L192" s="138" t="s">
        <v>133</v>
      </c>
      <c r="M192" s="138" t="s">
        <v>4467</v>
      </c>
      <c r="N192" s="142">
        <v>9.351879173E9</v>
      </c>
      <c r="O192" s="142" t="s">
        <v>4468</v>
      </c>
      <c r="P192" s="158"/>
      <c r="Q192" s="142" t="s">
        <v>4469</v>
      </c>
      <c r="R192" s="141">
        <v>46023.0</v>
      </c>
      <c r="S192" s="141">
        <v>46387.0</v>
      </c>
      <c r="T192" s="138" t="s">
        <v>4470</v>
      </c>
      <c r="U192" s="142" t="s">
        <v>140</v>
      </c>
      <c r="W192" s="143"/>
      <c r="X192" s="146"/>
      <c r="Y192" s="193"/>
    </row>
    <row r="193" ht="33.0" customHeight="1">
      <c r="A193" s="138">
        <v>192.0</v>
      </c>
      <c r="B193" s="138">
        <v>3098.0</v>
      </c>
      <c r="C193" s="138" t="s">
        <v>38</v>
      </c>
      <c r="D193" s="138" t="s">
        <v>2300</v>
      </c>
      <c r="E193" s="138" t="s">
        <v>4471</v>
      </c>
      <c r="F193" s="138" t="s">
        <v>4472</v>
      </c>
      <c r="G193" s="199" t="s">
        <v>4473</v>
      </c>
      <c r="H193" s="138" t="s">
        <v>70</v>
      </c>
      <c r="I193" s="146"/>
      <c r="J193" s="138">
        <v>16.0</v>
      </c>
      <c r="K193" s="138" t="s">
        <v>274</v>
      </c>
      <c r="L193" s="138" t="s">
        <v>158</v>
      </c>
      <c r="M193" s="138" t="s">
        <v>4474</v>
      </c>
      <c r="N193" s="142">
        <v>9.705017446E9</v>
      </c>
      <c r="O193" s="142" t="s">
        <v>4475</v>
      </c>
      <c r="P193" s="142" t="s">
        <v>4476</v>
      </c>
      <c r="Q193" s="158"/>
      <c r="R193" s="141">
        <v>46023.0</v>
      </c>
      <c r="S193" s="141">
        <v>46387.0</v>
      </c>
      <c r="T193" s="138" t="s">
        <v>4477</v>
      </c>
      <c r="U193" s="142" t="s">
        <v>140</v>
      </c>
      <c r="W193" s="143"/>
      <c r="X193" s="146"/>
      <c r="Y193" s="193"/>
    </row>
    <row r="194" ht="33.0" customHeight="1">
      <c r="A194" s="138">
        <v>193.0</v>
      </c>
      <c r="B194" s="138">
        <v>35952.0</v>
      </c>
      <c r="C194" s="138" t="s">
        <v>38</v>
      </c>
      <c r="D194" s="138" t="s">
        <v>2393</v>
      </c>
      <c r="E194" s="138" t="s">
        <v>4478</v>
      </c>
      <c r="F194" s="138" t="s">
        <v>4479</v>
      </c>
      <c r="G194" s="199" t="s">
        <v>4480</v>
      </c>
      <c r="H194" s="138" t="s">
        <v>70</v>
      </c>
      <c r="I194" s="146"/>
      <c r="J194" s="138">
        <v>18.0</v>
      </c>
      <c r="K194" s="138" t="s">
        <v>4445</v>
      </c>
      <c r="L194" s="138" t="s">
        <v>133</v>
      </c>
      <c r="M194" s="138" t="s">
        <v>4481</v>
      </c>
      <c r="N194" s="142">
        <v>9.102912862E9</v>
      </c>
      <c r="O194" s="142" t="s">
        <v>4482</v>
      </c>
      <c r="P194" s="158"/>
      <c r="Q194" s="142" t="s">
        <v>4483</v>
      </c>
      <c r="R194" s="141">
        <v>46023.0</v>
      </c>
      <c r="S194" s="141">
        <v>46387.0</v>
      </c>
      <c r="T194" s="138" t="s">
        <v>4484</v>
      </c>
      <c r="U194" s="142" t="s">
        <v>140</v>
      </c>
      <c r="W194" s="143"/>
      <c r="X194" s="146"/>
      <c r="Y194" s="193"/>
    </row>
    <row r="195" ht="33.0" customHeight="1">
      <c r="A195" s="138">
        <v>194.0</v>
      </c>
      <c r="B195" s="138">
        <v>4203.0</v>
      </c>
      <c r="C195" s="138" t="s">
        <v>38</v>
      </c>
      <c r="D195" s="138" t="s">
        <v>2393</v>
      </c>
      <c r="E195" s="138" t="s">
        <v>4478</v>
      </c>
      <c r="F195" s="138" t="s">
        <v>4485</v>
      </c>
      <c r="G195" s="199" t="s">
        <v>4486</v>
      </c>
      <c r="H195" s="138" t="s">
        <v>70</v>
      </c>
      <c r="I195" s="146"/>
      <c r="J195" s="138">
        <v>18.0</v>
      </c>
      <c r="K195" s="138" t="s">
        <v>4445</v>
      </c>
      <c r="L195" s="138" t="s">
        <v>133</v>
      </c>
      <c r="M195" s="142" t="s">
        <v>4487</v>
      </c>
      <c r="N195" s="138">
        <v>9.164987112E9</v>
      </c>
      <c r="O195" s="138" t="s">
        <v>4488</v>
      </c>
      <c r="P195" s="145"/>
      <c r="Q195" s="138" t="s">
        <v>4489</v>
      </c>
      <c r="R195" s="141">
        <v>46023.0</v>
      </c>
      <c r="S195" s="141">
        <v>46387.0</v>
      </c>
      <c r="T195" s="138" t="s">
        <v>4490</v>
      </c>
      <c r="U195" s="142" t="s">
        <v>140</v>
      </c>
      <c r="W195" s="143"/>
      <c r="X195" s="146"/>
      <c r="Y195" s="193"/>
    </row>
    <row r="196" ht="33.0" customHeight="1">
      <c r="A196" s="138">
        <v>195.0</v>
      </c>
      <c r="B196" s="138">
        <v>2560.0</v>
      </c>
      <c r="C196" s="138" t="s">
        <v>38</v>
      </c>
      <c r="D196" s="138" t="s">
        <v>2393</v>
      </c>
      <c r="E196" s="138" t="s">
        <v>4390</v>
      </c>
      <c r="F196" s="138" t="s">
        <v>4491</v>
      </c>
      <c r="G196" s="199" t="s">
        <v>4492</v>
      </c>
      <c r="H196" s="138" t="s">
        <v>70</v>
      </c>
      <c r="I196" s="146"/>
      <c r="J196" s="138">
        <v>18.0</v>
      </c>
      <c r="K196" s="138" t="s">
        <v>4445</v>
      </c>
      <c r="L196" s="138" t="s">
        <v>158</v>
      </c>
      <c r="M196" s="138" t="s">
        <v>4493</v>
      </c>
      <c r="N196" s="142">
        <v>9.706772378E9</v>
      </c>
      <c r="O196" s="142" t="s">
        <v>4494</v>
      </c>
      <c r="P196" s="158"/>
      <c r="Q196" s="142" t="s">
        <v>4395</v>
      </c>
      <c r="R196" s="141">
        <v>46023.0</v>
      </c>
      <c r="S196" s="141">
        <v>46387.0</v>
      </c>
      <c r="T196" s="138" t="s">
        <v>4495</v>
      </c>
      <c r="U196" s="142" t="s">
        <v>140</v>
      </c>
      <c r="W196" s="143"/>
      <c r="X196" s="146"/>
      <c r="Y196" s="193"/>
    </row>
    <row r="197" ht="33.0" customHeight="1">
      <c r="A197" s="138">
        <v>196.0</v>
      </c>
      <c r="B197" s="138">
        <v>492.0</v>
      </c>
      <c r="C197" s="138" t="s">
        <v>38</v>
      </c>
      <c r="D197" s="138" t="s">
        <v>2393</v>
      </c>
      <c r="E197" s="138" t="s">
        <v>4496</v>
      </c>
      <c r="F197" s="138" t="s">
        <v>4497</v>
      </c>
      <c r="G197" s="199" t="s">
        <v>4498</v>
      </c>
      <c r="H197" s="138" t="s">
        <v>70</v>
      </c>
      <c r="I197" s="146"/>
      <c r="J197" s="138">
        <v>18.0</v>
      </c>
      <c r="K197" s="138" t="s">
        <v>4445</v>
      </c>
      <c r="L197" s="138" t="s">
        <v>133</v>
      </c>
      <c r="M197" s="138" t="s">
        <v>4499</v>
      </c>
      <c r="N197" s="138">
        <v>9.189413947E9</v>
      </c>
      <c r="O197" s="138" t="s">
        <v>4500</v>
      </c>
      <c r="P197" s="145"/>
      <c r="Q197" s="138" t="s">
        <v>4501</v>
      </c>
      <c r="R197" s="141">
        <v>46023.0</v>
      </c>
      <c r="S197" s="141">
        <v>46387.0</v>
      </c>
      <c r="T197" s="138" t="s">
        <v>4502</v>
      </c>
      <c r="U197" s="142" t="s">
        <v>140</v>
      </c>
      <c r="W197" s="143"/>
      <c r="X197" s="146"/>
      <c r="Y197" s="193"/>
    </row>
    <row r="198" ht="33.0" customHeight="1">
      <c r="A198" s="138">
        <v>197.0</v>
      </c>
      <c r="B198" s="138">
        <v>4935.0</v>
      </c>
      <c r="C198" s="138" t="s">
        <v>38</v>
      </c>
      <c r="D198" s="138" t="s">
        <v>2393</v>
      </c>
      <c r="E198" s="138" t="s">
        <v>4496</v>
      </c>
      <c r="F198" s="138" t="s">
        <v>4503</v>
      </c>
      <c r="G198" s="199" t="s">
        <v>4504</v>
      </c>
      <c r="H198" s="138" t="s">
        <v>70</v>
      </c>
      <c r="I198" s="146"/>
      <c r="J198" s="138">
        <v>18.0</v>
      </c>
      <c r="K198" s="146"/>
      <c r="L198" s="146"/>
      <c r="M198" s="138" t="s">
        <v>4505</v>
      </c>
      <c r="N198" s="142">
        <v>9.205423327E9</v>
      </c>
      <c r="O198" s="142" t="s">
        <v>4506</v>
      </c>
      <c r="P198" s="145"/>
      <c r="Q198" s="142" t="s">
        <v>4483</v>
      </c>
      <c r="R198" s="141">
        <v>46023.0</v>
      </c>
      <c r="S198" s="141">
        <v>46387.0</v>
      </c>
      <c r="T198" s="138" t="s">
        <v>4507</v>
      </c>
      <c r="U198" s="142" t="s">
        <v>140</v>
      </c>
      <c r="W198" s="143"/>
      <c r="X198" s="146"/>
      <c r="Y198" s="193"/>
    </row>
    <row r="199" ht="33.0" customHeight="1">
      <c r="A199" s="138">
        <v>198.0</v>
      </c>
      <c r="B199" s="138">
        <v>5371.0</v>
      </c>
      <c r="C199" s="138" t="s">
        <v>38</v>
      </c>
      <c r="D199" s="138" t="s">
        <v>2393</v>
      </c>
      <c r="E199" s="138" t="s">
        <v>4508</v>
      </c>
      <c r="F199" s="138" t="s">
        <v>4509</v>
      </c>
      <c r="G199" s="199" t="s">
        <v>4510</v>
      </c>
      <c r="H199" s="138" t="s">
        <v>70</v>
      </c>
      <c r="I199" s="146"/>
      <c r="J199" s="138">
        <v>25.0</v>
      </c>
      <c r="K199" s="138" t="s">
        <v>4445</v>
      </c>
      <c r="L199" s="138" t="s">
        <v>133</v>
      </c>
      <c r="M199" s="138" t="s">
        <v>4511</v>
      </c>
      <c r="N199" s="142">
        <v>9.088217239E9</v>
      </c>
      <c r="O199" s="142" t="s">
        <v>4512</v>
      </c>
      <c r="P199" s="142" t="s">
        <v>4513</v>
      </c>
      <c r="Q199" s="158"/>
      <c r="R199" s="141">
        <v>46023.0</v>
      </c>
      <c r="S199" s="141">
        <v>46387.0</v>
      </c>
      <c r="T199" s="138" t="s">
        <v>4514</v>
      </c>
      <c r="U199" s="142" t="s">
        <v>140</v>
      </c>
      <c r="W199" s="143"/>
      <c r="X199" s="146"/>
      <c r="Y199" s="193"/>
    </row>
    <row r="200" ht="33.0" customHeight="1">
      <c r="A200" s="138">
        <v>199.0</v>
      </c>
      <c r="B200" s="138">
        <v>52410.0</v>
      </c>
      <c r="C200" s="138" t="s">
        <v>38</v>
      </c>
      <c r="D200" s="138" t="s">
        <v>2393</v>
      </c>
      <c r="E200" s="138" t="s">
        <v>2415</v>
      </c>
      <c r="F200" s="138" t="s">
        <v>4515</v>
      </c>
      <c r="G200" s="199" t="s">
        <v>4516</v>
      </c>
      <c r="H200" s="138" t="s">
        <v>70</v>
      </c>
      <c r="I200" s="146"/>
      <c r="J200" s="138">
        <v>18.0</v>
      </c>
      <c r="K200" s="138" t="s">
        <v>4517</v>
      </c>
      <c r="L200" s="138" t="s">
        <v>158</v>
      </c>
      <c r="M200" s="138" t="s">
        <v>4518</v>
      </c>
      <c r="N200" s="142">
        <v>9.338789334E9</v>
      </c>
      <c r="O200" s="142" t="s">
        <v>4519</v>
      </c>
      <c r="P200" s="142" t="s">
        <v>4520</v>
      </c>
      <c r="Q200" s="158"/>
      <c r="R200" s="141">
        <v>46023.0</v>
      </c>
      <c r="S200" s="141">
        <v>46387.0</v>
      </c>
      <c r="T200" s="138" t="s">
        <v>4521</v>
      </c>
      <c r="U200" s="142" t="s">
        <v>140</v>
      </c>
      <c r="W200" s="143"/>
      <c r="X200" s="146"/>
      <c r="Y200" s="193"/>
    </row>
    <row r="201" ht="33.0" customHeight="1">
      <c r="A201" s="138">
        <v>200.0</v>
      </c>
      <c r="B201" s="138">
        <v>5180.0</v>
      </c>
      <c r="C201" s="138" t="s">
        <v>38</v>
      </c>
      <c r="D201" s="138" t="s">
        <v>2422</v>
      </c>
      <c r="E201" s="138" t="s">
        <v>4522</v>
      </c>
      <c r="F201" s="138" t="s">
        <v>4523</v>
      </c>
      <c r="G201" s="199" t="s">
        <v>4524</v>
      </c>
      <c r="H201" s="138" t="s">
        <v>70</v>
      </c>
      <c r="I201" s="146"/>
      <c r="J201" s="138">
        <v>25.0</v>
      </c>
      <c r="K201" s="138" t="s">
        <v>4525</v>
      </c>
      <c r="L201" s="138" t="s">
        <v>133</v>
      </c>
      <c r="M201" s="138" t="s">
        <v>4526</v>
      </c>
      <c r="N201" s="142">
        <v>9.399700913E9</v>
      </c>
      <c r="O201" s="138" t="s">
        <v>4527</v>
      </c>
      <c r="P201" s="145"/>
      <c r="Q201" s="138" t="s">
        <v>4528</v>
      </c>
      <c r="R201" s="141">
        <v>46023.0</v>
      </c>
      <c r="S201" s="141">
        <v>46387.0</v>
      </c>
      <c r="T201" s="138" t="s">
        <v>4529</v>
      </c>
      <c r="U201" s="142" t="s">
        <v>140</v>
      </c>
      <c r="W201" s="143"/>
      <c r="X201" s="146"/>
      <c r="Y201" s="193"/>
    </row>
    <row r="202" ht="33.0" customHeight="1">
      <c r="A202" s="138">
        <v>201.0</v>
      </c>
      <c r="B202" s="138">
        <v>5636.0</v>
      </c>
      <c r="C202" s="138" t="s">
        <v>38</v>
      </c>
      <c r="D202" s="138" t="s">
        <v>2422</v>
      </c>
      <c r="E202" s="138" t="s">
        <v>4530</v>
      </c>
      <c r="F202" s="138" t="s">
        <v>4531</v>
      </c>
      <c r="G202" s="199" t="s">
        <v>4532</v>
      </c>
      <c r="H202" s="138" t="s">
        <v>70</v>
      </c>
      <c r="I202" s="146"/>
      <c r="J202" s="138">
        <v>15.0</v>
      </c>
      <c r="K202" s="138" t="s">
        <v>4445</v>
      </c>
      <c r="L202" s="138" t="s">
        <v>133</v>
      </c>
      <c r="M202" s="138" t="s">
        <v>4533</v>
      </c>
      <c r="N202" s="138">
        <v>9.100424876E9</v>
      </c>
      <c r="O202" s="138" t="s">
        <v>4534</v>
      </c>
      <c r="P202" s="145"/>
      <c r="Q202" s="138" t="s">
        <v>4535</v>
      </c>
      <c r="R202" s="141">
        <v>46023.0</v>
      </c>
      <c r="S202" s="141">
        <v>46387.0</v>
      </c>
      <c r="T202" s="138" t="s">
        <v>4536</v>
      </c>
      <c r="U202" s="142" t="s">
        <v>140</v>
      </c>
      <c r="W202" s="143"/>
      <c r="X202" s="146"/>
      <c r="Y202" s="193"/>
    </row>
    <row r="203" ht="33.0" customHeight="1">
      <c r="A203" s="138">
        <v>202.0</v>
      </c>
      <c r="B203" s="138">
        <v>7978.0</v>
      </c>
      <c r="C203" s="138" t="s">
        <v>38</v>
      </c>
      <c r="D203" s="138" t="s">
        <v>2422</v>
      </c>
      <c r="E203" s="138" t="s">
        <v>4530</v>
      </c>
      <c r="F203" s="138" t="s">
        <v>4537</v>
      </c>
      <c r="G203" s="199" t="s">
        <v>4538</v>
      </c>
      <c r="H203" s="138" t="s">
        <v>70</v>
      </c>
      <c r="I203" s="146"/>
      <c r="J203" s="138">
        <v>25.0</v>
      </c>
      <c r="K203" s="138" t="s">
        <v>4539</v>
      </c>
      <c r="L203" s="138" t="s">
        <v>133</v>
      </c>
      <c r="M203" s="138" t="s">
        <v>4540</v>
      </c>
      <c r="N203" s="138">
        <v>9.363239104E9</v>
      </c>
      <c r="O203" s="150" t="s">
        <v>4541</v>
      </c>
      <c r="P203" s="158"/>
      <c r="Q203" s="138" t="s">
        <v>4542</v>
      </c>
      <c r="R203" s="141">
        <v>46023.0</v>
      </c>
      <c r="S203" s="141">
        <v>46387.0</v>
      </c>
      <c r="T203" s="138" t="s">
        <v>4543</v>
      </c>
      <c r="U203" s="142" t="s">
        <v>140</v>
      </c>
      <c r="W203" s="143"/>
      <c r="X203" s="146"/>
      <c r="Y203" s="193"/>
    </row>
    <row r="204" ht="33.0" customHeight="1">
      <c r="A204" s="138">
        <v>203.0</v>
      </c>
      <c r="B204" s="138">
        <v>733.0</v>
      </c>
      <c r="C204" s="138" t="s">
        <v>38</v>
      </c>
      <c r="D204" s="138" t="s">
        <v>2422</v>
      </c>
      <c r="E204" s="138" t="s">
        <v>4544</v>
      </c>
      <c r="F204" s="138" t="s">
        <v>4545</v>
      </c>
      <c r="G204" s="199" t="s">
        <v>4546</v>
      </c>
      <c r="H204" s="138" t="s">
        <v>70</v>
      </c>
      <c r="I204" s="138"/>
      <c r="J204" s="142">
        <v>18.0</v>
      </c>
      <c r="K204" s="142" t="s">
        <v>4417</v>
      </c>
      <c r="L204" s="142" t="s">
        <v>158</v>
      </c>
      <c r="M204" s="142" t="s">
        <v>4547</v>
      </c>
      <c r="N204" s="138">
        <v>9.121929383E9</v>
      </c>
      <c r="O204" s="164" t="s">
        <v>4548</v>
      </c>
      <c r="P204" s="142"/>
      <c r="Q204" s="138" t="s">
        <v>2441</v>
      </c>
      <c r="R204" s="141">
        <v>46023.0</v>
      </c>
      <c r="S204" s="141">
        <v>46387.0</v>
      </c>
      <c r="T204" s="142" t="s">
        <v>4549</v>
      </c>
      <c r="U204" s="142" t="s">
        <v>140</v>
      </c>
      <c r="W204" s="143"/>
      <c r="X204" s="142"/>
      <c r="Y204" s="200"/>
    </row>
    <row r="205" ht="33.0" customHeight="1">
      <c r="A205" s="138">
        <v>204.0</v>
      </c>
      <c r="B205" s="138">
        <v>32025.0</v>
      </c>
      <c r="C205" s="138" t="s">
        <v>38</v>
      </c>
      <c r="D205" s="138" t="s">
        <v>2422</v>
      </c>
      <c r="E205" s="138" t="s">
        <v>4550</v>
      </c>
      <c r="F205" s="138" t="s">
        <v>4551</v>
      </c>
      <c r="G205" s="199" t="s">
        <v>4552</v>
      </c>
      <c r="H205" s="138" t="s">
        <v>70</v>
      </c>
      <c r="I205" s="146"/>
      <c r="J205" s="138">
        <v>12.0</v>
      </c>
      <c r="K205" s="146"/>
      <c r="L205" s="146"/>
      <c r="M205" s="138" t="s">
        <v>4553</v>
      </c>
      <c r="N205" s="142">
        <v>9.995792403E9</v>
      </c>
      <c r="O205" s="142" t="s">
        <v>4554</v>
      </c>
      <c r="P205" s="158"/>
      <c r="Q205" s="142" t="s">
        <v>4555</v>
      </c>
      <c r="R205" s="141">
        <v>46023.0</v>
      </c>
      <c r="S205" s="141">
        <v>46387.0</v>
      </c>
      <c r="T205" s="138" t="s">
        <v>4556</v>
      </c>
      <c r="U205" s="142" t="s">
        <v>140</v>
      </c>
      <c r="W205" s="143"/>
      <c r="X205" s="168"/>
      <c r="Y205" s="201"/>
    </row>
    <row r="206" ht="33.0" customHeight="1">
      <c r="A206" s="138">
        <v>205.0</v>
      </c>
      <c r="B206" s="138">
        <v>5372.0</v>
      </c>
      <c r="C206" s="138" t="s">
        <v>38</v>
      </c>
      <c r="D206" s="138" t="s">
        <v>2422</v>
      </c>
      <c r="E206" s="142" t="s">
        <v>4550</v>
      </c>
      <c r="F206" s="138" t="s">
        <v>4557</v>
      </c>
      <c r="G206" s="199" t="s">
        <v>4558</v>
      </c>
      <c r="H206" s="138" t="s">
        <v>70</v>
      </c>
      <c r="I206" s="138"/>
      <c r="J206" s="142">
        <v>14.0</v>
      </c>
      <c r="K206" s="142"/>
      <c r="L206" s="142"/>
      <c r="M206" s="142" t="s">
        <v>4559</v>
      </c>
      <c r="N206" s="138">
        <v>9.20927684E9</v>
      </c>
      <c r="O206" s="164" t="s">
        <v>4560</v>
      </c>
      <c r="P206" s="142"/>
      <c r="Q206" s="142" t="s">
        <v>4555</v>
      </c>
      <c r="R206" s="141">
        <v>46023.0</v>
      </c>
      <c r="S206" s="141">
        <v>46387.0</v>
      </c>
      <c r="T206" s="142" t="s">
        <v>4561</v>
      </c>
      <c r="U206" s="142" t="s">
        <v>140</v>
      </c>
      <c r="W206" s="143"/>
      <c r="X206" s="142"/>
      <c r="Y206" s="200"/>
    </row>
    <row r="207" ht="33.0" customHeight="1">
      <c r="A207" s="138">
        <v>206.0</v>
      </c>
      <c r="B207" s="138">
        <v>52023.0</v>
      </c>
      <c r="C207" s="138" t="s">
        <v>40</v>
      </c>
      <c r="D207" s="138" t="s">
        <v>83</v>
      </c>
      <c r="E207" s="138" t="s">
        <v>67</v>
      </c>
      <c r="F207" s="138" t="s">
        <v>4562</v>
      </c>
      <c r="G207" s="199" t="s">
        <v>4563</v>
      </c>
      <c r="H207" s="138" t="s">
        <v>70</v>
      </c>
      <c r="I207" s="138" t="s">
        <v>141</v>
      </c>
      <c r="J207" s="138">
        <v>24.0</v>
      </c>
      <c r="K207" s="146"/>
      <c r="L207" s="138" t="s">
        <v>133</v>
      </c>
      <c r="M207" s="138" t="s">
        <v>4564</v>
      </c>
      <c r="N207" s="142">
        <v>8.53001595E8</v>
      </c>
      <c r="O207" s="142" t="s">
        <v>4565</v>
      </c>
      <c r="P207" s="168"/>
      <c r="Q207" s="142" t="s">
        <v>4566</v>
      </c>
      <c r="R207" s="141">
        <v>46023.0</v>
      </c>
      <c r="S207" s="141">
        <v>46387.0</v>
      </c>
      <c r="T207" s="138" t="s">
        <v>4567</v>
      </c>
      <c r="U207" s="142" t="s">
        <v>140</v>
      </c>
      <c r="W207" s="143"/>
      <c r="X207" s="168"/>
      <c r="Y207" s="201"/>
    </row>
    <row r="208" ht="33.0" customHeight="1">
      <c r="A208" s="138">
        <v>207.0</v>
      </c>
      <c r="B208" s="138">
        <v>454.0</v>
      </c>
      <c r="C208" s="138" t="s">
        <v>40</v>
      </c>
      <c r="D208" s="138" t="s">
        <v>83</v>
      </c>
      <c r="E208" s="138" t="s">
        <v>84</v>
      </c>
      <c r="F208" s="138" t="s">
        <v>85</v>
      </c>
      <c r="G208" s="199" t="s">
        <v>4568</v>
      </c>
      <c r="H208" s="138" t="s">
        <v>70</v>
      </c>
      <c r="I208" s="138" t="s">
        <v>141</v>
      </c>
      <c r="J208" s="138">
        <v>12.0</v>
      </c>
      <c r="K208" s="146"/>
      <c r="L208" s="138" t="s">
        <v>133</v>
      </c>
      <c r="M208" s="138" t="s">
        <v>4569</v>
      </c>
      <c r="N208" s="142">
        <v>8060030.0</v>
      </c>
      <c r="O208" s="142" t="s">
        <v>4570</v>
      </c>
      <c r="P208" s="142" t="s">
        <v>88</v>
      </c>
      <c r="Q208" s="158"/>
      <c r="R208" s="141">
        <v>46023.0</v>
      </c>
      <c r="S208" s="141">
        <v>46387.0</v>
      </c>
      <c r="T208" s="138" t="s">
        <v>4571</v>
      </c>
      <c r="U208" s="142" t="s">
        <v>140</v>
      </c>
      <c r="W208" s="143"/>
      <c r="X208" s="146"/>
      <c r="Y208" s="193"/>
    </row>
    <row r="209" ht="33.0" customHeight="1">
      <c r="A209" s="138">
        <v>208.0</v>
      </c>
      <c r="B209" s="138">
        <v>4766.0</v>
      </c>
      <c r="C209" s="138" t="s">
        <v>40</v>
      </c>
      <c r="D209" s="138" t="s">
        <v>83</v>
      </c>
      <c r="E209" s="138" t="s">
        <v>84</v>
      </c>
      <c r="F209" s="138" t="s">
        <v>4572</v>
      </c>
      <c r="G209" s="199" t="s">
        <v>4573</v>
      </c>
      <c r="H209" s="138" t="s">
        <v>70</v>
      </c>
      <c r="I209" s="138" t="s">
        <v>141</v>
      </c>
      <c r="J209" s="138">
        <v>15.0</v>
      </c>
      <c r="K209" s="146"/>
      <c r="L209" s="138" t="s">
        <v>141</v>
      </c>
      <c r="M209" s="138" t="s">
        <v>4574</v>
      </c>
      <c r="N209" s="142" t="s">
        <v>4575</v>
      </c>
      <c r="O209" s="142" t="s">
        <v>4576</v>
      </c>
      <c r="P209" s="158"/>
      <c r="Q209" s="158"/>
      <c r="R209" s="141">
        <v>46023.0</v>
      </c>
      <c r="S209" s="141">
        <v>46387.0</v>
      </c>
      <c r="T209" s="138" t="s">
        <v>4577</v>
      </c>
      <c r="U209" s="142" t="s">
        <v>140</v>
      </c>
      <c r="W209" s="143"/>
      <c r="X209" s="146"/>
      <c r="Y209" s="193"/>
    </row>
    <row r="210" ht="33.0" customHeight="1">
      <c r="A210" s="138">
        <v>209.0</v>
      </c>
      <c r="B210" s="138">
        <v>23766.0</v>
      </c>
      <c r="C210" s="138" t="s">
        <v>40</v>
      </c>
      <c r="D210" s="138" t="s">
        <v>2489</v>
      </c>
      <c r="E210" s="138" t="s">
        <v>4578</v>
      </c>
      <c r="F210" s="138" t="s">
        <v>4579</v>
      </c>
      <c r="G210" s="199" t="s">
        <v>4580</v>
      </c>
      <c r="H210" s="138" t="s">
        <v>70</v>
      </c>
      <c r="I210" s="138" t="s">
        <v>141</v>
      </c>
      <c r="J210" s="138">
        <v>14.0</v>
      </c>
      <c r="K210" s="146"/>
      <c r="L210" s="138" t="s">
        <v>133</v>
      </c>
      <c r="M210" s="138" t="s">
        <v>4581</v>
      </c>
      <c r="N210" s="142" t="s">
        <v>4582</v>
      </c>
      <c r="O210" s="142" t="s">
        <v>4583</v>
      </c>
      <c r="P210" s="142" t="s">
        <v>4584</v>
      </c>
      <c r="Q210" s="158"/>
      <c r="R210" s="141">
        <v>46023.0</v>
      </c>
      <c r="S210" s="141">
        <v>46387.0</v>
      </c>
      <c r="T210" s="138" t="s">
        <v>4585</v>
      </c>
      <c r="U210" s="142" t="s">
        <v>140</v>
      </c>
      <c r="W210" s="143"/>
      <c r="X210" s="146"/>
      <c r="Y210" s="193"/>
    </row>
    <row r="211" ht="33.0" customHeight="1">
      <c r="A211" s="138">
        <v>210.0</v>
      </c>
      <c r="B211" s="138">
        <v>787.0</v>
      </c>
      <c r="C211" s="138" t="s">
        <v>40</v>
      </c>
      <c r="D211" s="138" t="s">
        <v>101</v>
      </c>
      <c r="E211" s="138" t="s">
        <v>4586</v>
      </c>
      <c r="F211" s="138" t="s">
        <v>4586</v>
      </c>
      <c r="G211" s="199" t="s">
        <v>4587</v>
      </c>
      <c r="H211" s="138" t="s">
        <v>70</v>
      </c>
      <c r="I211" s="138" t="s">
        <v>141</v>
      </c>
      <c r="J211" s="138">
        <v>35.0</v>
      </c>
      <c r="K211" s="146"/>
      <c r="L211" s="138" t="s">
        <v>133</v>
      </c>
      <c r="M211" s="138" t="s">
        <v>4588</v>
      </c>
      <c r="N211" s="142">
        <v>9.102405925E9</v>
      </c>
      <c r="O211" s="142" t="s">
        <v>4589</v>
      </c>
      <c r="P211" s="138" t="s">
        <v>4590</v>
      </c>
      <c r="Q211" s="158"/>
      <c r="R211" s="141">
        <v>46023.0</v>
      </c>
      <c r="S211" s="141">
        <v>46387.0</v>
      </c>
      <c r="T211" s="138" t="s">
        <v>4591</v>
      </c>
      <c r="U211" s="142" t="s">
        <v>140</v>
      </c>
      <c r="W211" s="143"/>
      <c r="X211" s="146"/>
      <c r="Y211" s="193"/>
    </row>
    <row r="212" ht="33.0" customHeight="1">
      <c r="A212" s="138">
        <v>211.0</v>
      </c>
      <c r="B212" s="138" t="s">
        <v>4592</v>
      </c>
      <c r="C212" s="138" t="s">
        <v>12</v>
      </c>
      <c r="D212" s="138" t="s">
        <v>2584</v>
      </c>
      <c r="E212" s="138" t="s">
        <v>4593</v>
      </c>
      <c r="F212" s="138" t="s">
        <v>4594</v>
      </c>
      <c r="G212" s="199" t="s">
        <v>4595</v>
      </c>
      <c r="H212" s="138" t="s">
        <v>70</v>
      </c>
      <c r="I212" s="146"/>
      <c r="J212" s="138">
        <v>12.0</v>
      </c>
      <c r="K212" s="146"/>
      <c r="L212" s="138" t="s">
        <v>158</v>
      </c>
      <c r="M212" s="138" t="s">
        <v>4596</v>
      </c>
      <c r="N212" s="142" t="s">
        <v>4597</v>
      </c>
      <c r="O212" s="142" t="s">
        <v>4598</v>
      </c>
      <c r="P212" s="145"/>
      <c r="Q212" s="158"/>
      <c r="R212" s="160">
        <v>46023.0</v>
      </c>
      <c r="S212" s="160">
        <v>46387.0</v>
      </c>
      <c r="T212" s="142" t="s">
        <v>4599</v>
      </c>
      <c r="U212" s="142" t="s">
        <v>140</v>
      </c>
      <c r="W212" s="143"/>
      <c r="X212" s="142" t="s">
        <v>142</v>
      </c>
      <c r="Y212" s="201"/>
    </row>
    <row r="213" ht="33.0" customHeight="1">
      <c r="A213" s="138">
        <v>212.0</v>
      </c>
      <c r="B213" s="138" t="s">
        <v>4600</v>
      </c>
      <c r="C213" s="138" t="s">
        <v>12</v>
      </c>
      <c r="D213" s="138" t="s">
        <v>2584</v>
      </c>
      <c r="E213" s="138" t="s">
        <v>4593</v>
      </c>
      <c r="F213" s="138" t="s">
        <v>4601</v>
      </c>
      <c r="G213" s="199" t="s">
        <v>4602</v>
      </c>
      <c r="H213" s="138" t="s">
        <v>70</v>
      </c>
      <c r="I213" s="146"/>
      <c r="J213" s="138">
        <v>8.0</v>
      </c>
      <c r="K213" s="146"/>
      <c r="L213" s="138" t="s">
        <v>133</v>
      </c>
      <c r="M213" s="138" t="s">
        <v>4603</v>
      </c>
      <c r="N213" s="142" t="s">
        <v>4604</v>
      </c>
      <c r="O213" s="142" t="s">
        <v>4605</v>
      </c>
      <c r="P213" s="158"/>
      <c r="Q213" s="158"/>
      <c r="R213" s="141">
        <v>46023.0</v>
      </c>
      <c r="S213" s="141">
        <v>46387.0</v>
      </c>
      <c r="T213" s="138" t="s">
        <v>4606</v>
      </c>
      <c r="U213" s="142" t="s">
        <v>140</v>
      </c>
      <c r="W213" s="143"/>
      <c r="X213" s="138" t="s">
        <v>142</v>
      </c>
      <c r="Y213" s="193"/>
    </row>
    <row r="214" ht="33.0" customHeight="1">
      <c r="A214" s="138">
        <v>213.0</v>
      </c>
      <c r="B214" s="138" t="s">
        <v>4607</v>
      </c>
      <c r="C214" s="138" t="s">
        <v>12</v>
      </c>
      <c r="D214" s="138" t="s">
        <v>2584</v>
      </c>
      <c r="E214" s="142" t="s">
        <v>4593</v>
      </c>
      <c r="F214" s="142" t="s">
        <v>4608</v>
      </c>
      <c r="G214" s="199" t="s">
        <v>4609</v>
      </c>
      <c r="H214" s="138" t="s">
        <v>70</v>
      </c>
      <c r="I214" s="146"/>
      <c r="J214" s="142">
        <v>15.0</v>
      </c>
      <c r="K214" s="168"/>
      <c r="L214" s="142" t="s">
        <v>158</v>
      </c>
      <c r="M214" s="142" t="s">
        <v>4610</v>
      </c>
      <c r="N214" s="142">
        <v>8.9396042E7</v>
      </c>
      <c r="O214" s="142" t="s">
        <v>4611</v>
      </c>
      <c r="P214" s="158"/>
      <c r="Q214" s="145"/>
      <c r="R214" s="160">
        <v>46023.0</v>
      </c>
      <c r="S214" s="141">
        <v>46387.0</v>
      </c>
      <c r="T214" s="142" t="s">
        <v>4612</v>
      </c>
      <c r="U214" s="142" t="s">
        <v>140</v>
      </c>
      <c r="W214" s="143"/>
      <c r="X214" s="138" t="s">
        <v>142</v>
      </c>
      <c r="Y214" s="193"/>
    </row>
    <row r="215" ht="33.0" customHeight="1">
      <c r="A215" s="138">
        <v>214.0</v>
      </c>
      <c r="B215" s="138" t="s">
        <v>4613</v>
      </c>
      <c r="C215" s="138" t="s">
        <v>12</v>
      </c>
      <c r="D215" s="138" t="s">
        <v>2584</v>
      </c>
      <c r="E215" s="138" t="s">
        <v>4614</v>
      </c>
      <c r="F215" s="138" t="s">
        <v>4615</v>
      </c>
      <c r="G215" s="199" t="s">
        <v>4616</v>
      </c>
      <c r="H215" s="138" t="s">
        <v>70</v>
      </c>
      <c r="I215" s="146"/>
      <c r="J215" s="138">
        <v>12.0</v>
      </c>
      <c r="K215" s="146"/>
      <c r="L215" s="146"/>
      <c r="M215" s="138" t="s">
        <v>4617</v>
      </c>
      <c r="N215" s="142">
        <v>8.8742506E7</v>
      </c>
      <c r="O215" s="142" t="s">
        <v>4618</v>
      </c>
      <c r="P215" s="158"/>
      <c r="Q215" s="158"/>
      <c r="R215" s="160">
        <v>46023.0</v>
      </c>
      <c r="S215" s="160">
        <v>46387.0</v>
      </c>
      <c r="T215" s="142" t="s">
        <v>4619</v>
      </c>
      <c r="U215" s="142" t="s">
        <v>140</v>
      </c>
      <c r="W215" s="143"/>
      <c r="X215" s="142" t="s">
        <v>142</v>
      </c>
      <c r="Y215" s="201"/>
    </row>
    <row r="216" ht="33.0" customHeight="1">
      <c r="A216" s="138">
        <v>215.0</v>
      </c>
      <c r="B216" s="218" t="s">
        <v>4620</v>
      </c>
      <c r="C216" s="138" t="s">
        <v>12</v>
      </c>
      <c r="D216" s="138" t="s">
        <v>2584</v>
      </c>
      <c r="E216" s="142" t="s">
        <v>4614</v>
      </c>
      <c r="F216" s="142" t="s">
        <v>4621</v>
      </c>
      <c r="G216" s="199" t="s">
        <v>4622</v>
      </c>
      <c r="H216" s="138" t="s">
        <v>70</v>
      </c>
      <c r="I216" s="146"/>
      <c r="J216" s="142">
        <v>10.0</v>
      </c>
      <c r="K216" s="142"/>
      <c r="L216" s="168"/>
      <c r="M216" s="142" t="s">
        <v>4623</v>
      </c>
      <c r="N216" s="219" t="s">
        <v>4624</v>
      </c>
      <c r="O216" s="219" t="s">
        <v>4625</v>
      </c>
      <c r="P216" s="158"/>
      <c r="Q216" s="145"/>
      <c r="R216" s="160">
        <v>46023.0</v>
      </c>
      <c r="S216" s="141">
        <v>46387.0</v>
      </c>
      <c r="T216" s="219" t="s">
        <v>4626</v>
      </c>
      <c r="U216" s="142" t="s">
        <v>140</v>
      </c>
      <c r="V216" s="202"/>
      <c r="W216" s="138"/>
      <c r="X216" s="138" t="s">
        <v>142</v>
      </c>
      <c r="Y216" s="193"/>
    </row>
    <row r="217" ht="33.0" customHeight="1">
      <c r="A217" s="138">
        <v>216.0</v>
      </c>
      <c r="B217" s="138" t="s">
        <v>4627</v>
      </c>
      <c r="C217" s="138" t="s">
        <v>12</v>
      </c>
      <c r="D217" s="138" t="s">
        <v>2584</v>
      </c>
      <c r="E217" s="138" t="s">
        <v>4628</v>
      </c>
      <c r="F217" s="138" t="s">
        <v>4629</v>
      </c>
      <c r="G217" s="199" t="s">
        <v>4630</v>
      </c>
      <c r="H217" s="138" t="s">
        <v>70</v>
      </c>
      <c r="I217" s="146"/>
      <c r="J217" s="138">
        <v>8.0</v>
      </c>
      <c r="K217" s="146"/>
      <c r="L217" s="138" t="s">
        <v>133</v>
      </c>
      <c r="M217" s="138" t="s">
        <v>4631</v>
      </c>
      <c r="N217" s="138">
        <v>7.3697231E7</v>
      </c>
      <c r="O217" s="138" t="s">
        <v>4632</v>
      </c>
      <c r="P217" s="145"/>
      <c r="Q217" s="158"/>
      <c r="R217" s="141">
        <v>46023.0</v>
      </c>
      <c r="S217" s="141">
        <v>46387.0</v>
      </c>
      <c r="T217" s="138" t="s">
        <v>4633</v>
      </c>
      <c r="U217" s="142" t="s">
        <v>140</v>
      </c>
      <c r="W217" s="143"/>
      <c r="X217" s="138" t="s">
        <v>142</v>
      </c>
      <c r="Y217" s="193"/>
    </row>
    <row r="218" ht="33.0" customHeight="1">
      <c r="A218" s="138">
        <v>217.0</v>
      </c>
      <c r="B218" s="138" t="s">
        <v>4634</v>
      </c>
      <c r="C218" s="138" t="s">
        <v>12</v>
      </c>
      <c r="D218" s="138" t="s">
        <v>2584</v>
      </c>
      <c r="E218" s="138" t="s">
        <v>4635</v>
      </c>
      <c r="F218" s="138" t="s">
        <v>4636</v>
      </c>
      <c r="G218" s="190" t="s">
        <v>4637</v>
      </c>
      <c r="H218" s="138" t="s">
        <v>70</v>
      </c>
      <c r="I218" s="146"/>
      <c r="J218" s="138">
        <v>12.0</v>
      </c>
      <c r="K218" s="146"/>
      <c r="L218" s="138" t="s">
        <v>158</v>
      </c>
      <c r="M218" s="138" t="s">
        <v>4638</v>
      </c>
      <c r="N218" s="142" t="s">
        <v>4639</v>
      </c>
      <c r="O218" s="142" t="s">
        <v>4640</v>
      </c>
      <c r="P218" s="158"/>
      <c r="Q218" s="158"/>
      <c r="R218" s="160">
        <v>46023.0</v>
      </c>
      <c r="S218" s="160">
        <v>46387.0</v>
      </c>
      <c r="T218" s="142" t="s">
        <v>4641</v>
      </c>
      <c r="U218" s="142" t="s">
        <v>140</v>
      </c>
      <c r="W218" s="143"/>
      <c r="X218" s="142" t="s">
        <v>142</v>
      </c>
      <c r="Y218" s="201"/>
    </row>
    <row r="219" ht="33.0" customHeight="1">
      <c r="A219" s="138">
        <v>218.0</v>
      </c>
      <c r="B219" s="138" t="s">
        <v>4642</v>
      </c>
      <c r="C219" s="138" t="s">
        <v>12</v>
      </c>
      <c r="D219" s="138" t="s">
        <v>2584</v>
      </c>
      <c r="E219" s="138" t="s">
        <v>2595</v>
      </c>
      <c r="F219" s="138" t="s">
        <v>4643</v>
      </c>
      <c r="G219" s="199" t="s">
        <v>4644</v>
      </c>
      <c r="H219" s="138" t="s">
        <v>70</v>
      </c>
      <c r="I219" s="146"/>
      <c r="J219" s="138">
        <v>9.0</v>
      </c>
      <c r="K219" s="146"/>
      <c r="L219" s="138" t="s">
        <v>133</v>
      </c>
      <c r="M219" s="138" t="s">
        <v>4645</v>
      </c>
      <c r="N219" s="142">
        <v>9.258575589E9</v>
      </c>
      <c r="O219" s="142" t="s">
        <v>4646</v>
      </c>
      <c r="P219" s="158"/>
      <c r="Q219" s="158"/>
      <c r="R219" s="141">
        <v>46023.0</v>
      </c>
      <c r="S219" s="141">
        <v>46387.0</v>
      </c>
      <c r="T219" s="138" t="s">
        <v>4647</v>
      </c>
      <c r="U219" s="142" t="s">
        <v>140</v>
      </c>
      <c r="W219" s="143"/>
      <c r="X219" s="138" t="s">
        <v>142</v>
      </c>
      <c r="Y219" s="193"/>
    </row>
    <row r="220" ht="33.0" customHeight="1">
      <c r="A220" s="138">
        <v>219.0</v>
      </c>
      <c r="B220" s="138" t="s">
        <v>4648</v>
      </c>
      <c r="C220" s="138" t="s">
        <v>12</v>
      </c>
      <c r="D220" s="138" t="s">
        <v>2584</v>
      </c>
      <c r="E220" s="138" t="s">
        <v>2595</v>
      </c>
      <c r="F220" s="138" t="s">
        <v>4649</v>
      </c>
      <c r="G220" s="199" t="s">
        <v>4650</v>
      </c>
      <c r="H220" s="138" t="s">
        <v>70</v>
      </c>
      <c r="I220" s="146"/>
      <c r="J220" s="138">
        <v>8.0</v>
      </c>
      <c r="K220" s="146"/>
      <c r="L220" s="146"/>
      <c r="M220" s="138" t="s">
        <v>4651</v>
      </c>
      <c r="N220" s="142" t="s">
        <v>4652</v>
      </c>
      <c r="O220" s="142" t="s">
        <v>4653</v>
      </c>
      <c r="P220" s="145"/>
      <c r="Q220" s="158"/>
      <c r="R220" s="141">
        <v>46023.0</v>
      </c>
      <c r="S220" s="141">
        <v>46387.0</v>
      </c>
      <c r="T220" s="138" t="s">
        <v>4654</v>
      </c>
      <c r="U220" s="142" t="s">
        <v>140</v>
      </c>
      <c r="W220" s="143"/>
      <c r="X220" s="138" t="s">
        <v>142</v>
      </c>
      <c r="Y220" s="193"/>
    </row>
    <row r="221" ht="33.0" customHeight="1">
      <c r="A221" s="138">
        <v>220.0</v>
      </c>
      <c r="B221" s="138" t="s">
        <v>4655</v>
      </c>
      <c r="C221" s="138" t="s">
        <v>12</v>
      </c>
      <c r="D221" s="138" t="s">
        <v>2584</v>
      </c>
      <c r="E221" s="138" t="s">
        <v>2595</v>
      </c>
      <c r="F221" s="142" t="s">
        <v>4656</v>
      </c>
      <c r="G221" s="199" t="s">
        <v>4657</v>
      </c>
      <c r="H221" s="138" t="s">
        <v>70</v>
      </c>
      <c r="I221" s="146"/>
      <c r="J221" s="138">
        <v>8.0</v>
      </c>
      <c r="K221" s="146"/>
      <c r="L221" s="138" t="s">
        <v>133</v>
      </c>
      <c r="M221" s="138" t="s">
        <v>4658</v>
      </c>
      <c r="N221" s="142">
        <v>8.9276628E7</v>
      </c>
      <c r="O221" s="142" t="s">
        <v>4659</v>
      </c>
      <c r="P221" s="158"/>
      <c r="Q221" s="158"/>
      <c r="R221" s="160">
        <v>46023.0</v>
      </c>
      <c r="S221" s="160">
        <v>46387.0</v>
      </c>
      <c r="T221" s="142" t="s">
        <v>4660</v>
      </c>
      <c r="U221" s="142" t="s">
        <v>140</v>
      </c>
      <c r="W221" s="143"/>
      <c r="X221" s="142" t="s">
        <v>142</v>
      </c>
      <c r="Y221" s="201"/>
    </row>
    <row r="222" ht="33.0" customHeight="1">
      <c r="A222" s="138">
        <v>221.0</v>
      </c>
      <c r="B222" s="138" t="s">
        <v>4661</v>
      </c>
      <c r="C222" s="138" t="s">
        <v>12</v>
      </c>
      <c r="D222" s="138" t="s">
        <v>2584</v>
      </c>
      <c r="E222" s="138" t="s">
        <v>2595</v>
      </c>
      <c r="F222" s="138" t="s">
        <v>4662</v>
      </c>
      <c r="G222" s="199" t="s">
        <v>4663</v>
      </c>
      <c r="H222" s="138" t="s">
        <v>70</v>
      </c>
      <c r="I222" s="146"/>
      <c r="J222" s="138">
        <v>12.0</v>
      </c>
      <c r="K222" s="146"/>
      <c r="L222" s="138" t="s">
        <v>133</v>
      </c>
      <c r="M222" s="138" t="s">
        <v>4664</v>
      </c>
      <c r="N222" s="138" t="s">
        <v>4665</v>
      </c>
      <c r="O222" s="138" t="s">
        <v>4666</v>
      </c>
      <c r="P222" s="145"/>
      <c r="Q222" s="158"/>
      <c r="R222" s="141">
        <v>46023.0</v>
      </c>
      <c r="S222" s="141">
        <v>46387.0</v>
      </c>
      <c r="T222" s="138" t="s">
        <v>4667</v>
      </c>
      <c r="U222" s="142" t="s">
        <v>140</v>
      </c>
      <c r="W222" s="143"/>
      <c r="X222" s="138" t="s">
        <v>142</v>
      </c>
      <c r="Y222" s="193"/>
    </row>
    <row r="223" ht="33.0" customHeight="1">
      <c r="A223" s="138">
        <v>222.0</v>
      </c>
      <c r="B223" s="138" t="s">
        <v>4668</v>
      </c>
      <c r="C223" s="138" t="s">
        <v>12</v>
      </c>
      <c r="D223" s="138" t="s">
        <v>2584</v>
      </c>
      <c r="E223" s="142" t="s">
        <v>2595</v>
      </c>
      <c r="F223" s="142" t="s">
        <v>4669</v>
      </c>
      <c r="G223" s="199" t="s">
        <v>4670</v>
      </c>
      <c r="H223" s="138" t="s">
        <v>70</v>
      </c>
      <c r="I223" s="146"/>
      <c r="J223" s="142">
        <v>6.0</v>
      </c>
      <c r="K223" s="142"/>
      <c r="L223" s="142"/>
      <c r="M223" s="142" t="s">
        <v>4671</v>
      </c>
      <c r="N223" s="142" t="s">
        <v>4672</v>
      </c>
      <c r="O223" s="142" t="s">
        <v>4673</v>
      </c>
      <c r="P223" s="158"/>
      <c r="Q223" s="145"/>
      <c r="R223" s="160">
        <v>46023.0</v>
      </c>
      <c r="S223" s="141">
        <v>46387.0</v>
      </c>
      <c r="T223" s="142" t="s">
        <v>4674</v>
      </c>
      <c r="U223" s="142" t="s">
        <v>140</v>
      </c>
      <c r="V223" s="202"/>
      <c r="W223" s="138"/>
      <c r="X223" s="138" t="s">
        <v>142</v>
      </c>
      <c r="Y223" s="193"/>
    </row>
    <row r="224" ht="33.0" customHeight="1">
      <c r="A224" s="138">
        <v>223.0</v>
      </c>
      <c r="B224" s="138" t="s">
        <v>4675</v>
      </c>
      <c r="C224" s="138" t="s">
        <v>12</v>
      </c>
      <c r="D224" s="138" t="s">
        <v>2584</v>
      </c>
      <c r="E224" s="138" t="s">
        <v>2595</v>
      </c>
      <c r="F224" s="142" t="s">
        <v>4676</v>
      </c>
      <c r="G224" s="199" t="s">
        <v>4677</v>
      </c>
      <c r="H224" s="138" t="s">
        <v>70</v>
      </c>
      <c r="I224" s="146"/>
      <c r="J224" s="138">
        <v>10.0</v>
      </c>
      <c r="K224" s="146"/>
      <c r="L224" s="138" t="s">
        <v>158</v>
      </c>
      <c r="M224" s="138" t="s">
        <v>4678</v>
      </c>
      <c r="N224" s="142" t="s">
        <v>4679</v>
      </c>
      <c r="O224" s="142" t="s">
        <v>4680</v>
      </c>
      <c r="P224" s="158"/>
      <c r="Q224" s="158"/>
      <c r="R224" s="160">
        <v>46023.0</v>
      </c>
      <c r="S224" s="160">
        <v>46387.0</v>
      </c>
      <c r="T224" s="142" t="s">
        <v>4681</v>
      </c>
      <c r="U224" s="142" t="s">
        <v>140</v>
      </c>
      <c r="W224" s="143"/>
      <c r="X224" s="142" t="s">
        <v>142</v>
      </c>
      <c r="Y224" s="201"/>
    </row>
    <row r="225" ht="33.0" customHeight="1">
      <c r="A225" s="138">
        <v>224.0</v>
      </c>
      <c r="B225" s="218" t="s">
        <v>4682</v>
      </c>
      <c r="C225" s="138" t="s">
        <v>12</v>
      </c>
      <c r="D225" s="138" t="s">
        <v>2584</v>
      </c>
      <c r="E225" s="142" t="s">
        <v>2595</v>
      </c>
      <c r="F225" s="142" t="s">
        <v>4683</v>
      </c>
      <c r="G225" s="199" t="s">
        <v>4684</v>
      </c>
      <c r="H225" s="138" t="s">
        <v>70</v>
      </c>
      <c r="I225" s="146"/>
      <c r="J225" s="142">
        <v>10.0</v>
      </c>
      <c r="K225" s="168"/>
      <c r="L225" s="142" t="s">
        <v>133</v>
      </c>
      <c r="M225" s="142" t="s">
        <v>4685</v>
      </c>
      <c r="N225" s="220" t="s">
        <v>4686</v>
      </c>
      <c r="O225" s="220" t="s">
        <v>4687</v>
      </c>
      <c r="P225" s="158"/>
      <c r="Q225" s="145"/>
      <c r="R225" s="206">
        <v>46023.0</v>
      </c>
      <c r="S225" s="206">
        <v>46387.0</v>
      </c>
      <c r="T225" s="220" t="s">
        <v>4688</v>
      </c>
      <c r="U225" s="204" t="s">
        <v>140</v>
      </c>
      <c r="W225" s="209"/>
      <c r="X225" s="138" t="s">
        <v>142</v>
      </c>
      <c r="Y225" s="193"/>
    </row>
    <row r="226" ht="33.0" customHeight="1">
      <c r="A226" s="138">
        <v>225.0</v>
      </c>
      <c r="B226" s="138" t="s">
        <v>4689</v>
      </c>
      <c r="C226" s="138" t="s">
        <v>12</v>
      </c>
      <c r="D226" s="138" t="s">
        <v>2584</v>
      </c>
      <c r="E226" s="138" t="s">
        <v>4690</v>
      </c>
      <c r="F226" s="138" t="s">
        <v>4691</v>
      </c>
      <c r="G226" s="199" t="s">
        <v>4692</v>
      </c>
      <c r="H226" s="138" t="s">
        <v>70</v>
      </c>
      <c r="I226" s="146"/>
      <c r="J226" s="138">
        <v>8.0</v>
      </c>
      <c r="K226" s="146"/>
      <c r="L226" s="138" t="s">
        <v>133</v>
      </c>
      <c r="M226" s="138" t="s">
        <v>4693</v>
      </c>
      <c r="N226" s="142" t="s">
        <v>4694</v>
      </c>
      <c r="O226" s="142" t="s">
        <v>4695</v>
      </c>
      <c r="P226" s="145"/>
      <c r="Q226" s="158"/>
      <c r="R226" s="160">
        <v>46023.0</v>
      </c>
      <c r="S226" s="160">
        <v>46387.0</v>
      </c>
      <c r="T226" s="142" t="s">
        <v>4696</v>
      </c>
      <c r="U226" s="142" t="s">
        <v>140</v>
      </c>
      <c r="W226" s="143"/>
      <c r="X226" s="142" t="s">
        <v>142</v>
      </c>
      <c r="Y226" s="201"/>
    </row>
    <row r="227" ht="33.0" customHeight="1">
      <c r="A227" s="138">
        <v>226.0</v>
      </c>
      <c r="B227" s="138" t="s">
        <v>4697</v>
      </c>
      <c r="C227" s="138" t="s">
        <v>12</v>
      </c>
      <c r="D227" s="138" t="s">
        <v>2584</v>
      </c>
      <c r="E227" s="138" t="s">
        <v>2613</v>
      </c>
      <c r="F227" s="138" t="s">
        <v>4698</v>
      </c>
      <c r="G227" s="199" t="s">
        <v>4699</v>
      </c>
      <c r="H227" s="138" t="s">
        <v>70</v>
      </c>
      <c r="I227" s="146"/>
      <c r="J227" s="138">
        <v>12.0</v>
      </c>
      <c r="K227" s="146"/>
      <c r="L227" s="138" t="s">
        <v>158</v>
      </c>
      <c r="M227" s="138" t="s">
        <v>4671</v>
      </c>
      <c r="N227" s="142" t="s">
        <v>4700</v>
      </c>
      <c r="O227" s="142" t="s">
        <v>4701</v>
      </c>
      <c r="P227" s="158"/>
      <c r="Q227" s="158"/>
      <c r="R227" s="141">
        <v>46023.0</v>
      </c>
      <c r="S227" s="141">
        <v>46387.0</v>
      </c>
      <c r="T227" s="138" t="s">
        <v>4702</v>
      </c>
      <c r="U227" s="142" t="s">
        <v>140</v>
      </c>
      <c r="W227" s="143"/>
      <c r="X227" s="138" t="s">
        <v>142</v>
      </c>
      <c r="Y227" s="193"/>
    </row>
    <row r="228" ht="33.0" customHeight="1">
      <c r="A228" s="138">
        <v>227.0</v>
      </c>
      <c r="B228" s="138">
        <v>494.0</v>
      </c>
      <c r="C228" s="138" t="s">
        <v>118</v>
      </c>
      <c r="D228" s="138" t="s">
        <v>2621</v>
      </c>
      <c r="E228" s="142" t="s">
        <v>4703</v>
      </c>
      <c r="F228" s="142" t="s">
        <v>4704</v>
      </c>
      <c r="G228" s="199" t="s">
        <v>4705</v>
      </c>
      <c r="H228" s="138" t="s">
        <v>70</v>
      </c>
      <c r="I228" s="138" t="s">
        <v>141</v>
      </c>
      <c r="J228" s="142">
        <v>25.0</v>
      </c>
      <c r="K228" s="142" t="s">
        <v>4706</v>
      </c>
      <c r="L228" s="142" t="s">
        <v>133</v>
      </c>
      <c r="M228" s="142" t="s">
        <v>4707</v>
      </c>
      <c r="N228" s="142">
        <v>9.196534378E9</v>
      </c>
      <c r="O228" s="142" t="s">
        <v>4708</v>
      </c>
      <c r="P228" s="142" t="s">
        <v>4709</v>
      </c>
      <c r="Q228" s="138" t="s">
        <v>141</v>
      </c>
      <c r="R228" s="160">
        <v>46023.0</v>
      </c>
      <c r="S228" s="141">
        <v>46387.0</v>
      </c>
      <c r="T228" s="142" t="s">
        <v>4710</v>
      </c>
      <c r="U228" s="142" t="s">
        <v>140</v>
      </c>
      <c r="W228" s="143"/>
      <c r="X228" s="146"/>
      <c r="Y228" s="193"/>
    </row>
    <row r="229" ht="33.0" customHeight="1">
      <c r="A229" s="138">
        <v>228.0</v>
      </c>
      <c r="B229" s="218" t="s">
        <v>4711</v>
      </c>
      <c r="C229" s="138" t="s">
        <v>118</v>
      </c>
      <c r="D229" s="138" t="s">
        <v>2621</v>
      </c>
      <c r="E229" s="142" t="s">
        <v>4703</v>
      </c>
      <c r="F229" s="142" t="s">
        <v>4712</v>
      </c>
      <c r="G229" s="199" t="s">
        <v>4713</v>
      </c>
      <c r="H229" s="138" t="s">
        <v>70</v>
      </c>
      <c r="I229" s="138" t="s">
        <v>141</v>
      </c>
      <c r="J229" s="142">
        <v>10.0</v>
      </c>
      <c r="K229" s="142" t="s">
        <v>4714</v>
      </c>
      <c r="L229" s="142" t="s">
        <v>158</v>
      </c>
      <c r="M229" s="142" t="s">
        <v>4715</v>
      </c>
      <c r="N229" s="219" t="s">
        <v>4716</v>
      </c>
      <c r="O229" s="219" t="s">
        <v>4717</v>
      </c>
      <c r="P229" s="142" t="s">
        <v>211</v>
      </c>
      <c r="Q229" s="138" t="s">
        <v>2656</v>
      </c>
      <c r="R229" s="160">
        <v>46023.0</v>
      </c>
      <c r="S229" s="141">
        <v>46387.0</v>
      </c>
      <c r="T229" s="219" t="s">
        <v>4718</v>
      </c>
      <c r="U229" s="142" t="s">
        <v>140</v>
      </c>
      <c r="W229" s="143"/>
      <c r="X229" s="146"/>
      <c r="Y229" s="193"/>
    </row>
    <row r="230" ht="33.0" customHeight="1">
      <c r="A230" s="138">
        <v>229.0</v>
      </c>
      <c r="B230" s="138">
        <v>2214.0</v>
      </c>
      <c r="C230" s="138" t="s">
        <v>42</v>
      </c>
      <c r="D230" s="138" t="s">
        <v>2762</v>
      </c>
      <c r="E230" s="142" t="s">
        <v>4719</v>
      </c>
      <c r="F230" s="142" t="s">
        <v>4720</v>
      </c>
      <c r="G230" s="199" t="s">
        <v>4721</v>
      </c>
      <c r="H230" s="138" t="s">
        <v>70</v>
      </c>
      <c r="I230" s="138" t="s">
        <v>141</v>
      </c>
      <c r="J230" s="142">
        <v>15.0</v>
      </c>
      <c r="K230" s="142" t="s">
        <v>4722</v>
      </c>
      <c r="L230" s="142" t="s">
        <v>133</v>
      </c>
      <c r="M230" s="142" t="s">
        <v>4723</v>
      </c>
      <c r="N230" s="142">
        <v>9.164874468E9</v>
      </c>
      <c r="O230" s="142" t="s">
        <v>4724</v>
      </c>
      <c r="P230" s="142" t="s">
        <v>4725</v>
      </c>
      <c r="Q230" s="138" t="s">
        <v>141</v>
      </c>
      <c r="R230" s="160">
        <v>46023.0</v>
      </c>
      <c r="S230" s="141">
        <v>46387.0</v>
      </c>
      <c r="T230" s="142" t="s">
        <v>4726</v>
      </c>
      <c r="U230" s="142" t="s">
        <v>140</v>
      </c>
      <c r="W230" s="143"/>
      <c r="X230" s="146"/>
      <c r="Y230" s="193"/>
    </row>
    <row r="231" ht="33.0" customHeight="1">
      <c r="A231" s="138">
        <v>230.0</v>
      </c>
      <c r="B231" s="138">
        <v>4577.0</v>
      </c>
      <c r="C231" s="138" t="s">
        <v>42</v>
      </c>
      <c r="D231" s="138" t="s">
        <v>2762</v>
      </c>
      <c r="E231" s="142" t="s">
        <v>4727</v>
      </c>
      <c r="F231" s="142" t="s">
        <v>4728</v>
      </c>
      <c r="G231" s="199" t="s">
        <v>4729</v>
      </c>
      <c r="H231" s="138" t="s">
        <v>70</v>
      </c>
      <c r="I231" s="138" t="s">
        <v>141</v>
      </c>
      <c r="J231" s="142">
        <v>12.0</v>
      </c>
      <c r="K231" s="142" t="s">
        <v>4730</v>
      </c>
      <c r="L231" s="142" t="s">
        <v>158</v>
      </c>
      <c r="M231" s="142" t="s">
        <v>4731</v>
      </c>
      <c r="N231" s="142">
        <v>9.778268084E9</v>
      </c>
      <c r="O231" s="142" t="s">
        <v>4732</v>
      </c>
      <c r="P231" s="142" t="s">
        <v>4733</v>
      </c>
      <c r="Q231" s="138" t="s">
        <v>4734</v>
      </c>
      <c r="R231" s="160">
        <v>46023.0</v>
      </c>
      <c r="S231" s="141">
        <v>46387.0</v>
      </c>
      <c r="T231" s="142" t="s">
        <v>4735</v>
      </c>
      <c r="U231" s="142" t="s">
        <v>140</v>
      </c>
      <c r="W231" s="143"/>
      <c r="X231" s="146"/>
      <c r="Y231" s="193"/>
    </row>
    <row r="232" ht="33.0" customHeight="1">
      <c r="A232" s="138">
        <v>231.0</v>
      </c>
      <c r="B232" s="138">
        <v>368.0</v>
      </c>
      <c r="C232" s="138" t="s">
        <v>42</v>
      </c>
      <c r="D232" s="138" t="s">
        <v>2826</v>
      </c>
      <c r="E232" s="138" t="s">
        <v>4736</v>
      </c>
      <c r="F232" s="138" t="s">
        <v>4737</v>
      </c>
      <c r="G232" s="199" t="s">
        <v>4738</v>
      </c>
      <c r="H232" s="138" t="s">
        <v>70</v>
      </c>
      <c r="I232" s="138" t="s">
        <v>141</v>
      </c>
      <c r="J232" s="138">
        <v>12.0</v>
      </c>
      <c r="K232" s="142" t="s">
        <v>4739</v>
      </c>
      <c r="L232" s="138" t="s">
        <v>158</v>
      </c>
      <c r="M232" s="138" t="s">
        <v>4740</v>
      </c>
      <c r="N232" s="138">
        <v>9.213143503E9</v>
      </c>
      <c r="O232" s="138" t="s">
        <v>4741</v>
      </c>
      <c r="P232" s="138" t="s">
        <v>4742</v>
      </c>
      <c r="Q232" s="138" t="s">
        <v>141</v>
      </c>
      <c r="R232" s="160">
        <v>46023.0</v>
      </c>
      <c r="S232" s="141">
        <v>46387.0</v>
      </c>
      <c r="T232" s="138" t="s">
        <v>4743</v>
      </c>
      <c r="U232" s="142" t="s">
        <v>140</v>
      </c>
      <c r="W232" s="143"/>
      <c r="X232" s="146"/>
      <c r="Y232" s="193"/>
    </row>
    <row r="233" ht="33.0" customHeight="1">
      <c r="A233" s="138">
        <v>232.0</v>
      </c>
      <c r="B233" s="138">
        <v>7493.0</v>
      </c>
      <c r="C233" s="138" t="s">
        <v>42</v>
      </c>
      <c r="D233" s="138" t="s">
        <v>2826</v>
      </c>
      <c r="E233" s="142" t="s">
        <v>4744</v>
      </c>
      <c r="F233" s="142" t="s">
        <v>4745</v>
      </c>
      <c r="G233" s="199" t="s">
        <v>4746</v>
      </c>
      <c r="H233" s="138" t="s">
        <v>70</v>
      </c>
      <c r="I233" s="138" t="s">
        <v>141</v>
      </c>
      <c r="J233" s="142">
        <v>17.0</v>
      </c>
      <c r="K233" s="142" t="s">
        <v>4747</v>
      </c>
      <c r="L233" s="142" t="s">
        <v>133</v>
      </c>
      <c r="M233" s="142" t="s">
        <v>4748</v>
      </c>
      <c r="N233" s="142">
        <v>9.189193266E9</v>
      </c>
      <c r="O233" s="142" t="s">
        <v>4749</v>
      </c>
      <c r="P233" s="142" t="s">
        <v>4750</v>
      </c>
      <c r="Q233" s="138" t="s">
        <v>141</v>
      </c>
      <c r="R233" s="160">
        <v>46023.0</v>
      </c>
      <c r="S233" s="141">
        <v>46387.0</v>
      </c>
      <c r="T233" s="142" t="s">
        <v>4751</v>
      </c>
      <c r="U233" s="142" t="s">
        <v>140</v>
      </c>
      <c r="W233" s="143"/>
      <c r="X233" s="146"/>
      <c r="Y233" s="193"/>
    </row>
    <row r="234" ht="33.0" customHeight="1">
      <c r="A234" s="138">
        <v>233.0</v>
      </c>
      <c r="B234" s="221">
        <v>38663.0</v>
      </c>
      <c r="C234" s="138" t="s">
        <v>42</v>
      </c>
      <c r="D234" s="138" t="s">
        <v>2826</v>
      </c>
      <c r="E234" s="142" t="s">
        <v>4752</v>
      </c>
      <c r="F234" s="222" t="s">
        <v>4753</v>
      </c>
      <c r="G234" s="223" t="s">
        <v>4754</v>
      </c>
      <c r="H234" s="138" t="s">
        <v>70</v>
      </c>
      <c r="I234" s="138" t="s">
        <v>141</v>
      </c>
      <c r="J234" s="222">
        <v>4.0</v>
      </c>
      <c r="K234" s="222" t="s">
        <v>4755</v>
      </c>
      <c r="L234" s="222" t="s">
        <v>133</v>
      </c>
      <c r="M234" s="222" t="s">
        <v>4756</v>
      </c>
      <c r="N234" s="222">
        <v>9.207295946E9</v>
      </c>
      <c r="O234" s="222" t="s">
        <v>4757</v>
      </c>
      <c r="P234" s="224" t="s">
        <v>200</v>
      </c>
      <c r="Q234" s="224" t="s">
        <v>4758</v>
      </c>
      <c r="R234" s="225">
        <v>46023.0</v>
      </c>
      <c r="S234" s="226">
        <v>46387.0</v>
      </c>
      <c r="T234" s="222" t="s">
        <v>4759</v>
      </c>
      <c r="U234" s="142" t="s">
        <v>140</v>
      </c>
      <c r="W234" s="169"/>
      <c r="X234" s="227"/>
      <c r="Y234" s="228"/>
    </row>
    <row r="235" ht="33.0" customHeight="1">
      <c r="A235" s="138">
        <v>234.0</v>
      </c>
      <c r="B235" s="138">
        <v>1811.0</v>
      </c>
      <c r="C235" s="138" t="s">
        <v>42</v>
      </c>
      <c r="D235" s="138" t="s">
        <v>2861</v>
      </c>
      <c r="E235" s="142" t="s">
        <v>4760</v>
      </c>
      <c r="F235" s="138" t="s">
        <v>4761</v>
      </c>
      <c r="G235" s="199" t="s">
        <v>4762</v>
      </c>
      <c r="H235" s="138" t="s">
        <v>70</v>
      </c>
      <c r="I235" s="138" t="s">
        <v>141</v>
      </c>
      <c r="J235" s="138">
        <v>25.0</v>
      </c>
      <c r="K235" s="142" t="s">
        <v>4763</v>
      </c>
      <c r="L235" s="138" t="s">
        <v>133</v>
      </c>
      <c r="M235" s="138" t="s">
        <v>443</v>
      </c>
      <c r="N235" s="138">
        <v>9.759165249E9</v>
      </c>
      <c r="O235" s="138" t="s">
        <v>4764</v>
      </c>
      <c r="P235" s="138" t="s">
        <v>2095</v>
      </c>
      <c r="Q235" s="138" t="s">
        <v>141</v>
      </c>
      <c r="R235" s="160">
        <v>46023.0</v>
      </c>
      <c r="S235" s="141">
        <v>46387.0</v>
      </c>
      <c r="T235" s="138" t="s">
        <v>4765</v>
      </c>
      <c r="U235" s="142" t="s">
        <v>140</v>
      </c>
      <c r="W235" s="143"/>
      <c r="X235" s="146"/>
      <c r="Y235" s="193"/>
    </row>
    <row r="236" ht="33.0" customHeight="1">
      <c r="A236" s="138">
        <v>235.0</v>
      </c>
      <c r="B236" s="138">
        <v>38664.0</v>
      </c>
      <c r="C236" s="138" t="s">
        <v>42</v>
      </c>
      <c r="D236" s="138" t="s">
        <v>2861</v>
      </c>
      <c r="E236" s="142" t="s">
        <v>4766</v>
      </c>
      <c r="F236" s="142" t="s">
        <v>4767</v>
      </c>
      <c r="G236" s="199" t="s">
        <v>4768</v>
      </c>
      <c r="H236" s="138" t="s">
        <v>70</v>
      </c>
      <c r="I236" s="138" t="s">
        <v>141</v>
      </c>
      <c r="J236" s="142">
        <v>8.0</v>
      </c>
      <c r="K236" s="142" t="s">
        <v>4769</v>
      </c>
      <c r="L236" s="142" t="s">
        <v>133</v>
      </c>
      <c r="M236" s="142" t="s">
        <v>4770</v>
      </c>
      <c r="N236" s="142">
        <v>9.773031608E9</v>
      </c>
      <c r="O236" s="142" t="s">
        <v>4771</v>
      </c>
      <c r="P236" s="142" t="s">
        <v>200</v>
      </c>
      <c r="Q236" s="138" t="s">
        <v>4772</v>
      </c>
      <c r="R236" s="160">
        <v>46023.0</v>
      </c>
      <c r="S236" s="141">
        <v>46387.0</v>
      </c>
      <c r="T236" s="142" t="s">
        <v>4773</v>
      </c>
      <c r="U236" s="142" t="s">
        <v>140</v>
      </c>
      <c r="W236" s="143"/>
      <c r="X236" s="146"/>
      <c r="Y236" s="193"/>
    </row>
    <row r="237" ht="33.0" customHeight="1">
      <c r="A237" s="138">
        <v>236.0</v>
      </c>
      <c r="B237" s="138">
        <v>38665.0</v>
      </c>
      <c r="C237" s="138" t="s">
        <v>42</v>
      </c>
      <c r="D237" s="138" t="s">
        <v>2894</v>
      </c>
      <c r="E237" s="142" t="s">
        <v>2924</v>
      </c>
      <c r="F237" s="142" t="s">
        <v>4774</v>
      </c>
      <c r="G237" s="199" t="s">
        <v>4775</v>
      </c>
      <c r="H237" s="138" t="s">
        <v>70</v>
      </c>
      <c r="I237" s="138" t="s">
        <v>141</v>
      </c>
      <c r="J237" s="142">
        <v>12.0</v>
      </c>
      <c r="K237" s="142" t="s">
        <v>4776</v>
      </c>
      <c r="L237" s="142" t="s">
        <v>133</v>
      </c>
      <c r="M237" s="142" t="s">
        <v>4777</v>
      </c>
      <c r="N237" s="142" t="s">
        <v>4778</v>
      </c>
      <c r="O237" s="142" t="s">
        <v>4779</v>
      </c>
      <c r="P237" s="142" t="s">
        <v>200</v>
      </c>
      <c r="Q237" s="138" t="s">
        <v>4780</v>
      </c>
      <c r="R237" s="160">
        <v>46023.0</v>
      </c>
      <c r="S237" s="141">
        <v>46387.0</v>
      </c>
      <c r="T237" s="142" t="s">
        <v>4781</v>
      </c>
      <c r="U237" s="142" t="s">
        <v>140</v>
      </c>
      <c r="W237" s="143"/>
      <c r="X237" s="146"/>
      <c r="Y237" s="193"/>
    </row>
    <row r="238" ht="33.0" customHeight="1">
      <c r="A238" s="138">
        <v>237.0</v>
      </c>
      <c r="B238" s="138">
        <v>500.0</v>
      </c>
      <c r="C238" s="138" t="s">
        <v>44</v>
      </c>
      <c r="D238" s="138" t="s">
        <v>2949</v>
      </c>
      <c r="E238" s="142" t="s">
        <v>4782</v>
      </c>
      <c r="F238" s="142" t="s">
        <v>4783</v>
      </c>
      <c r="G238" s="199" t="s">
        <v>4784</v>
      </c>
      <c r="H238" s="138" t="s">
        <v>70</v>
      </c>
      <c r="I238" s="138" t="s">
        <v>141</v>
      </c>
      <c r="J238" s="142">
        <v>21.0</v>
      </c>
      <c r="K238" s="142" t="s">
        <v>141</v>
      </c>
      <c r="L238" s="142" t="s">
        <v>133</v>
      </c>
      <c r="M238" s="142" t="s">
        <v>4785</v>
      </c>
      <c r="N238" s="142" t="s">
        <v>4786</v>
      </c>
      <c r="O238" s="142" t="s">
        <v>4787</v>
      </c>
      <c r="P238" s="142" t="s">
        <v>4788</v>
      </c>
      <c r="Q238" s="145"/>
      <c r="R238" s="160">
        <v>46023.0</v>
      </c>
      <c r="S238" s="141">
        <v>46387.0</v>
      </c>
      <c r="T238" s="142" t="s">
        <v>4789</v>
      </c>
      <c r="U238" s="142" t="s">
        <v>140</v>
      </c>
      <c r="V238" s="202" t="s">
        <v>141</v>
      </c>
      <c r="W238" s="138" t="s">
        <v>4790</v>
      </c>
      <c r="X238" s="146"/>
      <c r="Y238" s="193"/>
    </row>
    <row r="239" ht="33.0" customHeight="1">
      <c r="A239" s="138">
        <v>238.0</v>
      </c>
      <c r="B239" s="138">
        <v>13925.0</v>
      </c>
      <c r="C239" s="138" t="s">
        <v>44</v>
      </c>
      <c r="D239" s="138" t="s">
        <v>2958</v>
      </c>
      <c r="E239" s="138" t="s">
        <v>4791</v>
      </c>
      <c r="F239" s="138" t="s">
        <v>4792</v>
      </c>
      <c r="G239" s="199" t="s">
        <v>4793</v>
      </c>
      <c r="H239" s="138" t="s">
        <v>70</v>
      </c>
      <c r="I239" s="138" t="s">
        <v>141</v>
      </c>
      <c r="J239" s="138">
        <v>15.0</v>
      </c>
      <c r="K239" s="138" t="s">
        <v>4794</v>
      </c>
      <c r="L239" s="138" t="s">
        <v>133</v>
      </c>
      <c r="M239" s="138" t="s">
        <v>4795</v>
      </c>
      <c r="N239" s="139" t="s">
        <v>4796</v>
      </c>
      <c r="O239" s="138" t="s">
        <v>4797</v>
      </c>
      <c r="P239" s="138" t="s">
        <v>4798</v>
      </c>
      <c r="Q239" s="138" t="s">
        <v>141</v>
      </c>
      <c r="R239" s="141">
        <v>46023.0</v>
      </c>
      <c r="S239" s="141">
        <v>46387.0</v>
      </c>
      <c r="T239" s="138" t="s">
        <v>4799</v>
      </c>
      <c r="U239" s="142" t="s">
        <v>140</v>
      </c>
      <c r="V239" s="202" t="s">
        <v>141</v>
      </c>
      <c r="W239" s="143"/>
      <c r="X239" s="146"/>
      <c r="Y239" s="193"/>
    </row>
    <row r="240" ht="33.0" customHeight="1">
      <c r="A240" s="138">
        <v>239.0</v>
      </c>
      <c r="B240" s="138">
        <v>38477.0</v>
      </c>
      <c r="C240" s="138" t="s">
        <v>44</v>
      </c>
      <c r="D240" s="138" t="s">
        <v>2958</v>
      </c>
      <c r="E240" s="138" t="s">
        <v>2959</v>
      </c>
      <c r="F240" s="142" t="s">
        <v>4800</v>
      </c>
      <c r="G240" s="199" t="s">
        <v>4801</v>
      </c>
      <c r="H240" s="138" t="s">
        <v>70</v>
      </c>
      <c r="I240" s="138" t="s">
        <v>141</v>
      </c>
      <c r="J240" s="138">
        <v>5.0</v>
      </c>
      <c r="K240" s="138" t="s">
        <v>141</v>
      </c>
      <c r="L240" s="146"/>
      <c r="M240" s="142" t="s">
        <v>4802</v>
      </c>
      <c r="N240" s="142" t="s">
        <v>4803</v>
      </c>
      <c r="O240" s="142" t="s">
        <v>4804</v>
      </c>
      <c r="P240" s="153" t="s">
        <v>141</v>
      </c>
      <c r="Q240" s="138" t="s">
        <v>4805</v>
      </c>
      <c r="R240" s="141">
        <v>46023.0</v>
      </c>
      <c r="S240" s="141">
        <v>46387.0</v>
      </c>
      <c r="T240" s="142" t="s">
        <v>4806</v>
      </c>
      <c r="U240" s="142" t="s">
        <v>140</v>
      </c>
      <c r="V240" s="202" t="s">
        <v>141</v>
      </c>
      <c r="W240" s="143"/>
      <c r="X240" s="146"/>
      <c r="Y240" s="193"/>
    </row>
    <row r="241" ht="33.0" customHeight="1">
      <c r="A241" s="138">
        <v>240.0</v>
      </c>
      <c r="B241" s="138">
        <v>38498.0</v>
      </c>
      <c r="C241" s="138" t="s">
        <v>44</v>
      </c>
      <c r="D241" s="138" t="s">
        <v>2958</v>
      </c>
      <c r="E241" s="138" t="s">
        <v>2959</v>
      </c>
      <c r="F241" s="138" t="s">
        <v>4807</v>
      </c>
      <c r="G241" s="199" t="s">
        <v>4808</v>
      </c>
      <c r="H241" s="138" t="s">
        <v>70</v>
      </c>
      <c r="I241" s="138" t="s">
        <v>141</v>
      </c>
      <c r="J241" s="138">
        <v>10.0</v>
      </c>
      <c r="K241" s="138" t="s">
        <v>141</v>
      </c>
      <c r="L241" s="138" t="s">
        <v>133</v>
      </c>
      <c r="M241" s="138" t="s">
        <v>4809</v>
      </c>
      <c r="N241" s="139" t="s">
        <v>4810</v>
      </c>
      <c r="O241" s="138" t="s">
        <v>4811</v>
      </c>
      <c r="P241" s="138" t="s">
        <v>141</v>
      </c>
      <c r="Q241" s="138" t="s">
        <v>4805</v>
      </c>
      <c r="R241" s="141">
        <v>46023.0</v>
      </c>
      <c r="S241" s="141">
        <v>46387.0</v>
      </c>
      <c r="T241" s="138" t="s">
        <v>4812</v>
      </c>
      <c r="U241" s="142" t="s">
        <v>140</v>
      </c>
      <c r="V241" s="202" t="s">
        <v>141</v>
      </c>
      <c r="W241" s="143"/>
      <c r="X241" s="146"/>
      <c r="Y241" s="193"/>
    </row>
    <row r="242" ht="33.0" customHeight="1">
      <c r="A242" s="138">
        <v>241.0</v>
      </c>
      <c r="B242" s="138">
        <v>33065.0</v>
      </c>
      <c r="C242" s="138" t="s">
        <v>44</v>
      </c>
      <c r="D242" s="138" t="s">
        <v>2958</v>
      </c>
      <c r="E242" s="138" t="s">
        <v>2959</v>
      </c>
      <c r="F242" s="138" t="s">
        <v>4813</v>
      </c>
      <c r="G242" s="199" t="s">
        <v>4814</v>
      </c>
      <c r="H242" s="138" t="s">
        <v>70</v>
      </c>
      <c r="I242" s="138" t="s">
        <v>141</v>
      </c>
      <c r="J242" s="138">
        <v>10.0</v>
      </c>
      <c r="K242" s="138" t="s">
        <v>141</v>
      </c>
      <c r="L242" s="146"/>
      <c r="M242" s="138" t="s">
        <v>4815</v>
      </c>
      <c r="N242" s="139" t="s">
        <v>4816</v>
      </c>
      <c r="O242" s="138" t="s">
        <v>4817</v>
      </c>
      <c r="P242" s="138" t="s">
        <v>141</v>
      </c>
      <c r="Q242" s="138" t="s">
        <v>4818</v>
      </c>
      <c r="R242" s="141">
        <v>46023.0</v>
      </c>
      <c r="S242" s="141">
        <v>46387.0</v>
      </c>
      <c r="T242" s="138" t="s">
        <v>4819</v>
      </c>
      <c r="U242" s="142" t="s">
        <v>140</v>
      </c>
      <c r="V242" s="202" t="s">
        <v>141</v>
      </c>
      <c r="W242" s="143"/>
      <c r="X242" s="146"/>
      <c r="Y242" s="193"/>
    </row>
    <row r="243" ht="33.0" customHeight="1">
      <c r="A243" s="138">
        <v>242.0</v>
      </c>
      <c r="B243" s="138">
        <v>32924.0</v>
      </c>
      <c r="C243" s="138" t="s">
        <v>44</v>
      </c>
      <c r="D243" s="138" t="s">
        <v>2958</v>
      </c>
      <c r="E243" s="138" t="s">
        <v>2959</v>
      </c>
      <c r="F243" s="138" t="s">
        <v>4820</v>
      </c>
      <c r="G243" s="199" t="s">
        <v>4821</v>
      </c>
      <c r="H243" s="138" t="s">
        <v>70</v>
      </c>
      <c r="I243" s="138" t="s">
        <v>141</v>
      </c>
      <c r="J243" s="138">
        <v>12.0</v>
      </c>
      <c r="K243" s="138" t="s">
        <v>141</v>
      </c>
      <c r="L243" s="138" t="s">
        <v>158</v>
      </c>
      <c r="M243" s="138" t="s">
        <v>4822</v>
      </c>
      <c r="N243" s="139" t="s">
        <v>4823</v>
      </c>
      <c r="O243" s="138" t="s">
        <v>4824</v>
      </c>
      <c r="P243" s="138" t="s">
        <v>141</v>
      </c>
      <c r="Q243" s="138" t="s">
        <v>4825</v>
      </c>
      <c r="R243" s="141">
        <v>46023.0</v>
      </c>
      <c r="S243" s="141">
        <v>46387.0</v>
      </c>
      <c r="T243" s="138" t="s">
        <v>4826</v>
      </c>
      <c r="U243" s="142" t="s">
        <v>140</v>
      </c>
      <c r="V243" s="202" t="s">
        <v>141</v>
      </c>
      <c r="W243" s="143"/>
      <c r="X243" s="146"/>
      <c r="Y243" s="193"/>
    </row>
    <row r="244" ht="33.0" customHeight="1">
      <c r="A244" s="138">
        <v>243.0</v>
      </c>
      <c r="B244" s="138">
        <v>38403.0</v>
      </c>
      <c r="C244" s="138" t="s">
        <v>44</v>
      </c>
      <c r="D244" s="138" t="s">
        <v>4827</v>
      </c>
      <c r="E244" s="142" t="s">
        <v>4828</v>
      </c>
      <c r="F244" s="142" t="s">
        <v>4829</v>
      </c>
      <c r="G244" s="199" t="s">
        <v>4830</v>
      </c>
      <c r="H244" s="138" t="s">
        <v>70</v>
      </c>
      <c r="I244" s="138" t="s">
        <v>141</v>
      </c>
      <c r="J244" s="142">
        <v>18.0</v>
      </c>
      <c r="K244" s="142" t="s">
        <v>141</v>
      </c>
      <c r="L244" s="142" t="s">
        <v>133</v>
      </c>
      <c r="M244" s="142" t="s">
        <v>4831</v>
      </c>
      <c r="N244" s="142" t="s">
        <v>4832</v>
      </c>
      <c r="O244" s="142" t="s">
        <v>4833</v>
      </c>
      <c r="P244" s="142" t="s">
        <v>141</v>
      </c>
      <c r="Q244" s="138" t="s">
        <v>2988</v>
      </c>
      <c r="R244" s="160">
        <v>46023.0</v>
      </c>
      <c r="S244" s="141">
        <v>46387.0</v>
      </c>
      <c r="T244" s="142" t="s">
        <v>4834</v>
      </c>
      <c r="U244" s="142" t="s">
        <v>140</v>
      </c>
      <c r="V244" s="202" t="s">
        <v>141</v>
      </c>
      <c r="W244" s="143"/>
      <c r="X244" s="146"/>
      <c r="Y244" s="193"/>
    </row>
    <row r="245" ht="33.0" customHeight="1">
      <c r="A245" s="138">
        <v>244.0</v>
      </c>
      <c r="B245" s="138">
        <v>2339.0</v>
      </c>
      <c r="C245" s="138" t="s">
        <v>44</v>
      </c>
      <c r="D245" s="138" t="s">
        <v>4835</v>
      </c>
      <c r="E245" s="138" t="s">
        <v>4836</v>
      </c>
      <c r="F245" s="138" t="s">
        <v>4837</v>
      </c>
      <c r="G245" s="199" t="s">
        <v>4838</v>
      </c>
      <c r="H245" s="138" t="s">
        <v>70</v>
      </c>
      <c r="I245" s="138" t="s">
        <v>141</v>
      </c>
      <c r="J245" s="138">
        <v>20.0</v>
      </c>
      <c r="K245" s="138" t="s">
        <v>141</v>
      </c>
      <c r="L245" s="146"/>
      <c r="M245" s="138" t="s">
        <v>4839</v>
      </c>
      <c r="N245" s="161" t="s">
        <v>4840</v>
      </c>
      <c r="O245" s="138" t="s">
        <v>4841</v>
      </c>
      <c r="P245" s="138" t="s">
        <v>141</v>
      </c>
      <c r="Q245" s="138" t="s">
        <v>4842</v>
      </c>
      <c r="R245" s="141">
        <v>46023.0</v>
      </c>
      <c r="S245" s="141">
        <v>46387.0</v>
      </c>
      <c r="T245" s="138" t="s">
        <v>4843</v>
      </c>
      <c r="U245" s="142" t="s">
        <v>140</v>
      </c>
      <c r="V245" s="202" t="s">
        <v>141</v>
      </c>
      <c r="W245" s="143"/>
      <c r="X245" s="146"/>
      <c r="Y245" s="193"/>
    </row>
    <row r="246" ht="33.0" customHeight="1">
      <c r="A246" s="138">
        <v>245.0</v>
      </c>
      <c r="B246" s="138">
        <v>4760.0</v>
      </c>
      <c r="C246" s="138" t="s">
        <v>44</v>
      </c>
      <c r="D246" s="138" t="s">
        <v>4835</v>
      </c>
      <c r="E246" s="138" t="s">
        <v>4836</v>
      </c>
      <c r="F246" s="138" t="s">
        <v>4837</v>
      </c>
      <c r="G246" s="199" t="s">
        <v>4844</v>
      </c>
      <c r="H246" s="138" t="s">
        <v>70</v>
      </c>
      <c r="I246" s="138" t="s">
        <v>141</v>
      </c>
      <c r="J246" s="138">
        <v>20.0</v>
      </c>
      <c r="K246" s="138" t="s">
        <v>141</v>
      </c>
      <c r="L246" s="146"/>
      <c r="M246" s="143"/>
      <c r="N246" s="139" t="s">
        <v>4845</v>
      </c>
      <c r="O246" s="138" t="s">
        <v>4846</v>
      </c>
      <c r="P246" s="138" t="s">
        <v>141</v>
      </c>
      <c r="Q246" s="138" t="s">
        <v>4842</v>
      </c>
      <c r="R246" s="141">
        <v>46111.0</v>
      </c>
      <c r="S246" s="141">
        <v>46387.0</v>
      </c>
      <c r="T246" s="138" t="s">
        <v>4847</v>
      </c>
      <c r="U246" s="142" t="s">
        <v>140</v>
      </c>
      <c r="V246" s="202" t="s">
        <v>141</v>
      </c>
      <c r="W246" s="138" t="s">
        <v>4848</v>
      </c>
      <c r="X246" s="146"/>
      <c r="Y246" s="193"/>
    </row>
    <row r="247" ht="33.0" customHeight="1">
      <c r="A247" s="138">
        <v>246.0</v>
      </c>
      <c r="B247" s="138">
        <v>32920.0</v>
      </c>
      <c r="C247" s="138" t="s">
        <v>44</v>
      </c>
      <c r="D247" s="138" t="s">
        <v>4835</v>
      </c>
      <c r="E247" s="142" t="s">
        <v>4849</v>
      </c>
      <c r="F247" s="142" t="s">
        <v>4849</v>
      </c>
      <c r="G247" s="199" t="s">
        <v>4850</v>
      </c>
      <c r="H247" s="138" t="s">
        <v>70</v>
      </c>
      <c r="I247" s="138" t="s">
        <v>141</v>
      </c>
      <c r="J247" s="142">
        <v>12.0</v>
      </c>
      <c r="K247" s="142" t="s">
        <v>141</v>
      </c>
      <c r="L247" s="142" t="s">
        <v>158</v>
      </c>
      <c r="M247" s="142" t="s">
        <v>4851</v>
      </c>
      <c r="N247" s="142" t="s">
        <v>4852</v>
      </c>
      <c r="O247" s="142" t="s">
        <v>4853</v>
      </c>
      <c r="P247" s="142" t="s">
        <v>141</v>
      </c>
      <c r="Q247" s="138" t="s">
        <v>4854</v>
      </c>
      <c r="R247" s="160">
        <v>46023.0</v>
      </c>
      <c r="S247" s="141">
        <v>46387.0</v>
      </c>
      <c r="T247" s="142" t="s">
        <v>4855</v>
      </c>
      <c r="U247" s="142" t="s">
        <v>140</v>
      </c>
      <c r="V247" s="202" t="s">
        <v>2106</v>
      </c>
      <c r="W247" s="138" t="s">
        <v>4856</v>
      </c>
      <c r="X247" s="146"/>
      <c r="Y247" s="193"/>
    </row>
    <row r="248" ht="33.0" customHeight="1">
      <c r="A248" s="138">
        <v>247.0</v>
      </c>
      <c r="B248" s="138">
        <v>50623.0</v>
      </c>
      <c r="C248" s="138" t="s">
        <v>44</v>
      </c>
      <c r="D248" s="138" t="s">
        <v>4835</v>
      </c>
      <c r="E248" s="142" t="s">
        <v>4857</v>
      </c>
      <c r="F248" s="142" t="s">
        <v>4858</v>
      </c>
      <c r="G248" s="199" t="s">
        <v>4859</v>
      </c>
      <c r="H248" s="138" t="s">
        <v>70</v>
      </c>
      <c r="I248" s="138" t="s">
        <v>141</v>
      </c>
      <c r="J248" s="142">
        <v>10.0</v>
      </c>
      <c r="K248" s="142" t="s">
        <v>141</v>
      </c>
      <c r="L248" s="142" t="s">
        <v>133</v>
      </c>
      <c r="M248" s="142" t="s">
        <v>4860</v>
      </c>
      <c r="N248" s="142" t="s">
        <v>4861</v>
      </c>
      <c r="O248" s="142" t="s">
        <v>4862</v>
      </c>
      <c r="P248" s="142" t="s">
        <v>141</v>
      </c>
      <c r="Q248" s="138" t="s">
        <v>2988</v>
      </c>
      <c r="R248" s="160">
        <v>46023.0</v>
      </c>
      <c r="S248" s="141">
        <v>46387.0</v>
      </c>
      <c r="T248" s="142" t="s">
        <v>4863</v>
      </c>
      <c r="U248" s="142" t="s">
        <v>140</v>
      </c>
      <c r="V248" s="202" t="s">
        <v>332</v>
      </c>
      <c r="W248" s="138" t="s">
        <v>4864</v>
      </c>
      <c r="X248" s="146"/>
      <c r="Y248" s="193"/>
    </row>
    <row r="249" ht="33.0" customHeight="1">
      <c r="A249" s="138">
        <v>248.0</v>
      </c>
      <c r="B249" s="138">
        <v>33045.0</v>
      </c>
      <c r="C249" s="138" t="s">
        <v>44</v>
      </c>
      <c r="D249" s="138" t="s">
        <v>4835</v>
      </c>
      <c r="E249" s="138" t="s">
        <v>4865</v>
      </c>
      <c r="F249" s="138" t="s">
        <v>4866</v>
      </c>
      <c r="G249" s="199" t="s">
        <v>4867</v>
      </c>
      <c r="H249" s="138" t="s">
        <v>70</v>
      </c>
      <c r="I249" s="138" t="s">
        <v>141</v>
      </c>
      <c r="J249" s="138">
        <v>12.0</v>
      </c>
      <c r="K249" s="138" t="s">
        <v>141</v>
      </c>
      <c r="L249" s="146"/>
      <c r="M249" s="138" t="s">
        <v>4868</v>
      </c>
      <c r="N249" s="139" t="s">
        <v>4869</v>
      </c>
      <c r="O249" s="138" t="s">
        <v>4870</v>
      </c>
      <c r="P249" s="138" t="s">
        <v>141</v>
      </c>
      <c r="Q249" s="138" t="s">
        <v>4871</v>
      </c>
      <c r="R249" s="141">
        <v>46023.0</v>
      </c>
      <c r="S249" s="141">
        <v>46387.0</v>
      </c>
      <c r="T249" s="138" t="s">
        <v>4872</v>
      </c>
      <c r="U249" s="142" t="s">
        <v>140</v>
      </c>
      <c r="V249" s="202" t="s">
        <v>332</v>
      </c>
      <c r="W249" s="138" t="s">
        <v>4873</v>
      </c>
      <c r="X249" s="146"/>
      <c r="Y249" s="193"/>
    </row>
    <row r="250" ht="33.0" customHeight="1">
      <c r="A250" s="138">
        <v>249.0</v>
      </c>
      <c r="B250" s="138">
        <v>51285.0</v>
      </c>
      <c r="C250" s="138" t="s">
        <v>44</v>
      </c>
      <c r="D250" s="138" t="s">
        <v>4835</v>
      </c>
      <c r="E250" s="138" t="s">
        <v>4874</v>
      </c>
      <c r="F250" s="138" t="s">
        <v>4875</v>
      </c>
      <c r="G250" s="199" t="s">
        <v>4876</v>
      </c>
      <c r="H250" s="138" t="s">
        <v>70</v>
      </c>
      <c r="I250" s="138" t="s">
        <v>141</v>
      </c>
      <c r="J250" s="138">
        <v>35.0</v>
      </c>
      <c r="K250" s="138" t="s">
        <v>274</v>
      </c>
      <c r="L250" s="138" t="s">
        <v>133</v>
      </c>
      <c r="M250" s="138" t="s">
        <v>4877</v>
      </c>
      <c r="N250" s="139" t="s">
        <v>4878</v>
      </c>
      <c r="O250" s="138" t="s">
        <v>4879</v>
      </c>
      <c r="P250" s="138" t="s">
        <v>141</v>
      </c>
      <c r="Q250" s="138" t="s">
        <v>4854</v>
      </c>
      <c r="R250" s="141">
        <v>46023.0</v>
      </c>
      <c r="S250" s="141">
        <v>46387.0</v>
      </c>
      <c r="T250" s="138" t="s">
        <v>4880</v>
      </c>
      <c r="U250" s="142" t="s">
        <v>140</v>
      </c>
      <c r="V250" s="202" t="s">
        <v>141</v>
      </c>
      <c r="W250" s="143"/>
      <c r="X250" s="146"/>
      <c r="Y250" s="193"/>
    </row>
    <row r="251" ht="33.0" customHeight="1">
      <c r="A251" s="138">
        <v>250.0</v>
      </c>
      <c r="B251" s="138">
        <v>6882.0</v>
      </c>
      <c r="C251" s="138" t="s">
        <v>44</v>
      </c>
      <c r="D251" s="138" t="s">
        <v>2990</v>
      </c>
      <c r="E251" s="138" t="s">
        <v>4881</v>
      </c>
      <c r="F251" s="142" t="s">
        <v>4882</v>
      </c>
      <c r="G251" s="199" t="s">
        <v>4883</v>
      </c>
      <c r="H251" s="138" t="s">
        <v>70</v>
      </c>
      <c r="I251" s="138" t="s">
        <v>141</v>
      </c>
      <c r="J251" s="138">
        <v>12.0</v>
      </c>
      <c r="K251" s="138" t="s">
        <v>4794</v>
      </c>
      <c r="L251" s="138" t="s">
        <v>158</v>
      </c>
      <c r="M251" s="142" t="s">
        <v>4884</v>
      </c>
      <c r="N251" s="138" t="s">
        <v>4885</v>
      </c>
      <c r="O251" s="142" t="s">
        <v>4886</v>
      </c>
      <c r="P251" s="153" t="s">
        <v>4887</v>
      </c>
      <c r="Q251" s="145"/>
      <c r="R251" s="141">
        <v>46023.0</v>
      </c>
      <c r="S251" s="141">
        <v>46387.0</v>
      </c>
      <c r="T251" s="142" t="s">
        <v>4880</v>
      </c>
      <c r="U251" s="142" t="s">
        <v>140</v>
      </c>
      <c r="V251" s="202" t="s">
        <v>141</v>
      </c>
      <c r="W251" s="143"/>
      <c r="X251" s="146"/>
      <c r="Y251" s="193"/>
    </row>
  </sheetData>
  <autoFilter ref="$A$1:$Y$135">
    <sortState ref="A1:Y135">
      <sortCondition ref="C1:C135"/>
      <sortCondition ref="D1:D135"/>
      <sortCondition ref="E1:E135"/>
      <sortCondition ref="G1:G135"/>
    </sortState>
  </autoFilter>
  <conditionalFormatting sqref="G71">
    <cfRule type="notContainsBlanks" dxfId="1" priority="1">
      <formula>LEN(TRIM(G71))&gt;0</formula>
    </cfRule>
  </conditionalFormatting>
  <dataValidations>
    <dataValidation type="list" allowBlank="1" showErrorMessage="1" sqref="L234">
      <formula1>'Master Data'!$M$4:$M$9</formula1>
    </dataValidation>
    <dataValidation type="list" allowBlank="1" showErrorMessage="1" sqref="X234:Y234">
      <formula1>"Transferred,Changed Ownership/Mgt,Change Name,Increase Bed,Decrease Bed,Upgraded,Downgraded,Add-on Service,N/A"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88"/>
    <col customWidth="1" min="3" max="8" width="12.63"/>
    <col customWidth="1" hidden="1" min="9" max="10" width="12.63"/>
    <col customWidth="1" min="11" max="13" width="12.63"/>
  </cols>
  <sheetData>
    <row r="1">
      <c r="A1" s="1" t="s">
        <v>0</v>
      </c>
      <c r="B1" s="1" t="s">
        <v>1</v>
      </c>
      <c r="C1" s="229" t="s">
        <v>4888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5"/>
      <c r="B2" s="5"/>
      <c r="C2" s="6" t="s">
        <v>3</v>
      </c>
      <c r="D2" s="230"/>
      <c r="E2" s="230"/>
      <c r="F2" s="8" t="s">
        <v>4</v>
      </c>
      <c r="G2" s="230"/>
      <c r="H2" s="230"/>
      <c r="I2" s="9" t="s">
        <v>5</v>
      </c>
      <c r="J2" s="10" t="s">
        <v>6</v>
      </c>
      <c r="K2" s="11" t="s">
        <v>7</v>
      </c>
    </row>
    <row r="3">
      <c r="A3" s="5"/>
      <c r="B3" s="5"/>
      <c r="C3" s="12"/>
      <c r="D3" s="14"/>
      <c r="E3" s="14"/>
      <c r="F3" s="12"/>
      <c r="G3" s="14"/>
      <c r="H3" s="14"/>
      <c r="I3" s="5"/>
      <c r="J3" s="5"/>
      <c r="K3" s="12"/>
      <c r="L3" s="14"/>
      <c r="M3" s="14"/>
    </row>
    <row r="4">
      <c r="A4" s="15"/>
      <c r="B4" s="15"/>
      <c r="C4" s="16" t="s">
        <v>204</v>
      </c>
      <c r="D4" s="16" t="s">
        <v>140</v>
      </c>
      <c r="E4" s="16" t="s">
        <v>8</v>
      </c>
      <c r="F4" s="17" t="s">
        <v>204</v>
      </c>
      <c r="G4" s="17" t="s">
        <v>140</v>
      </c>
      <c r="H4" s="17" t="s">
        <v>8</v>
      </c>
      <c r="I4" s="15"/>
      <c r="J4" s="15"/>
      <c r="K4" s="231" t="s">
        <v>204</v>
      </c>
      <c r="L4" s="18" t="s">
        <v>140</v>
      </c>
      <c r="M4" s="18" t="s">
        <v>10</v>
      </c>
    </row>
    <row r="5">
      <c r="A5" s="26" t="s">
        <v>12</v>
      </c>
      <c r="B5" s="26" t="s">
        <v>13</v>
      </c>
      <c r="C5" s="124">
        <f>COUNTIFS(Government!C:C, "NCR",Government!W:W, "Initial")</f>
        <v>0</v>
      </c>
      <c r="D5" s="124">
        <f>COUNTIFS(Government!C:C, "NCR", Government!W:W, "Renewed LTO")</f>
        <v>0</v>
      </c>
      <c r="E5" s="124">
        <f>countifs(Government!C:C,"NCR", Government!H:H,"Government")</f>
        <v>4</v>
      </c>
      <c r="F5" s="124">
        <f>COUNTIFS(Private!C:C, "NCR", Private!V:V, "Initial")</f>
        <v>0</v>
      </c>
      <c r="G5" s="124">
        <f>COUNTIFS(Private!C:C, "NCR", Private!V:V, "Renewed LTO")</f>
        <v>0</v>
      </c>
      <c r="H5" s="124">
        <f>countifs(Private!C:C,"NCR", Private!H:H,"Private")</f>
        <v>16</v>
      </c>
      <c r="I5" s="125">
        <f t="shared" ref="I5:I22" si="2">SUM(E5,H5)</f>
        <v>20</v>
      </c>
      <c r="J5" s="125">
        <f t="shared" ref="J5:J22" si="3">SUM(D5,G5)</f>
        <v>0</v>
      </c>
      <c r="K5" s="124">
        <f t="shared" ref="K5:L5" si="1">SUM(C5,F5)</f>
        <v>0</v>
      </c>
      <c r="L5" s="124">
        <f t="shared" si="1"/>
        <v>0</v>
      </c>
      <c r="M5" s="124">
        <f t="shared" ref="M5:M21" si="5">E5+H5</f>
        <v>20</v>
      </c>
    </row>
    <row r="6">
      <c r="A6" s="26" t="s">
        <v>14</v>
      </c>
      <c r="B6" s="26" t="s">
        <v>15</v>
      </c>
      <c r="C6" s="124">
        <f>COUNTIFS(Government!C:C, "Region 1",Government!W:W, "Initial")</f>
        <v>0</v>
      </c>
      <c r="D6" s="124">
        <f>COUNTIFS(Government!C:C, "Region 1", Government!W:W, "Renewed LTO")</f>
        <v>0</v>
      </c>
      <c r="E6" s="124">
        <f>countifs(Government!C:C,"Region 1", Government!H:H,"Government")</f>
        <v>10</v>
      </c>
      <c r="F6" s="124">
        <f>COUNTIFS(Private!C:C, "Region 1", Private!V:V, "Initial")</f>
        <v>0</v>
      </c>
      <c r="G6" s="124">
        <f>COUNTIFS(Private!C:C, "Region 1", Private!V:V, "Renewed LTO")</f>
        <v>0</v>
      </c>
      <c r="H6" s="124">
        <f>countifs(Private!C:C,"Region 1", Private!H:H,"Private")</f>
        <v>26</v>
      </c>
      <c r="I6" s="125">
        <f t="shared" si="2"/>
        <v>36</v>
      </c>
      <c r="J6" s="125">
        <f t="shared" si="3"/>
        <v>0</v>
      </c>
      <c r="K6" s="124">
        <f t="shared" ref="K6:L6" si="4">SUM(C6,F6)</f>
        <v>0</v>
      </c>
      <c r="L6" s="124">
        <f t="shared" si="4"/>
        <v>0</v>
      </c>
      <c r="M6" s="124">
        <f t="shared" si="5"/>
        <v>36</v>
      </c>
    </row>
    <row r="7">
      <c r="A7" s="26" t="s">
        <v>16</v>
      </c>
      <c r="B7" s="26" t="s">
        <v>17</v>
      </c>
      <c r="C7" s="124">
        <f>COUNTIFS(Government!C:C, "Region 2",Government!W:W, "Initial")</f>
        <v>0</v>
      </c>
      <c r="D7" s="124">
        <f>COUNTIFS(Government!C:C, "Region 2", Government!W:W, "Renewed LTO")</f>
        <v>0</v>
      </c>
      <c r="E7" s="124">
        <f>countifs(Government!C:C,"Region 2", Government!H:H,"Government")</f>
        <v>28</v>
      </c>
      <c r="F7" s="124">
        <f>COUNTIFS(Private!C:C, "Region 2", Private!V:V, "Initial")</f>
        <v>0</v>
      </c>
      <c r="G7" s="124">
        <f>COUNTIFS(Private!C:C, "Region 2", Private!V:V, "Renewed LTO")</f>
        <v>0</v>
      </c>
      <c r="H7" s="124">
        <f>countifs(Private!C:C,"Region 2", Private!H:H,"Private")</f>
        <v>8</v>
      </c>
      <c r="I7" s="125">
        <f t="shared" si="2"/>
        <v>36</v>
      </c>
      <c r="J7" s="125">
        <f t="shared" si="3"/>
        <v>0</v>
      </c>
      <c r="K7" s="124">
        <f t="shared" ref="K7:L7" si="6">SUM(C7,F7)</f>
        <v>0</v>
      </c>
      <c r="L7" s="124">
        <f t="shared" si="6"/>
        <v>0</v>
      </c>
      <c r="M7" s="124">
        <f t="shared" si="5"/>
        <v>36</v>
      </c>
    </row>
    <row r="8">
      <c r="A8" s="26" t="s">
        <v>18</v>
      </c>
      <c r="B8" s="26" t="s">
        <v>19</v>
      </c>
      <c r="C8" s="124">
        <f>COUNTIFS(Government!C:C, "Region 3",Government!W:W, "Initial")</f>
        <v>0</v>
      </c>
      <c r="D8" s="124">
        <f>COUNTIFS(Government!C:C, "Region 3", Government!W:W, "Renewed LTO")</f>
        <v>0</v>
      </c>
      <c r="E8" s="124">
        <f>countifs(Government!C:C,"Region 3", Government!H:H,"Government")</f>
        <v>20</v>
      </c>
      <c r="F8" s="124">
        <f>COUNTIFS(Private!C:C, "Region 3", Private!V:V, "Initial")</f>
        <v>0</v>
      </c>
      <c r="G8" s="124">
        <f>COUNTIFS(Private!C:C, "Region 3", Private!V:V, "Renewed LTO")</f>
        <v>0</v>
      </c>
      <c r="H8" s="124">
        <f>countifs(Private!C:C,"Region 3", Private!H:H,"Private")</f>
        <v>23</v>
      </c>
      <c r="I8" s="125">
        <f t="shared" si="2"/>
        <v>43</v>
      </c>
      <c r="J8" s="125">
        <f t="shared" si="3"/>
        <v>0</v>
      </c>
      <c r="K8" s="124">
        <f t="shared" ref="K8:L8" si="7">SUM(C8,F8)</f>
        <v>0</v>
      </c>
      <c r="L8" s="124">
        <f t="shared" si="7"/>
        <v>0</v>
      </c>
      <c r="M8" s="124">
        <f t="shared" si="5"/>
        <v>43</v>
      </c>
    </row>
    <row r="9">
      <c r="A9" s="26" t="s">
        <v>20</v>
      </c>
      <c r="B9" s="26" t="s">
        <v>21</v>
      </c>
      <c r="C9" s="124">
        <f>COUNTIFS(Government!C:C, "Region 4-A",Government!W:W, "Initial")</f>
        <v>0</v>
      </c>
      <c r="D9" s="124">
        <f>COUNTIFS(Government!C:C, "Region 4-A", Government!W:W, "Renewed LTO")</f>
        <v>0</v>
      </c>
      <c r="E9" s="124">
        <f>countifs(Government!C:C,"Region 4-A", Government!H:H,"Government")</f>
        <v>21</v>
      </c>
      <c r="F9" s="124">
        <f>COUNTIFS(Private!C:C, "Region 4-A", Private!V:V, "Initial")</f>
        <v>0</v>
      </c>
      <c r="G9" s="124">
        <f>COUNTIFS(Private!C:C, "Region 4-A", Private!V:V, "Renewed LTO")</f>
        <v>0</v>
      </c>
      <c r="H9" s="124">
        <f>countifs(Private!C:C,"Region 4-A", Private!H:H,"Private")</f>
        <v>16</v>
      </c>
      <c r="I9" s="125">
        <f t="shared" si="2"/>
        <v>37</v>
      </c>
      <c r="J9" s="125">
        <f t="shared" si="3"/>
        <v>0</v>
      </c>
      <c r="K9" s="124">
        <f t="shared" ref="K9:L9" si="8">SUM(C9,F9)</f>
        <v>0</v>
      </c>
      <c r="L9" s="124">
        <f t="shared" si="8"/>
        <v>0</v>
      </c>
      <c r="M9" s="124">
        <f t="shared" si="5"/>
        <v>37</v>
      </c>
    </row>
    <row r="10">
      <c r="A10" s="26" t="s">
        <v>22</v>
      </c>
      <c r="B10" s="26" t="s">
        <v>23</v>
      </c>
      <c r="C10" s="124">
        <f>COUNTIFS(Government!C:C, "Region 4-B",Government!W:W, "Initial")</f>
        <v>0</v>
      </c>
      <c r="D10" s="124">
        <f>COUNTIFS(Government!C:C, "Region 4-B", Government!W:W, "Renewed LTO")</f>
        <v>0</v>
      </c>
      <c r="E10" s="124">
        <f>countifs(Government!C:C,"Region 4-B", Government!H:H,"Government")</f>
        <v>26</v>
      </c>
      <c r="F10" s="124">
        <f>COUNTIFS(Private!C:C, "Region 4-B", Private!V:V, "Initial")</f>
        <v>0</v>
      </c>
      <c r="G10" s="124">
        <f>COUNTIFS(Private!C:C, "Region 4-B", Private!V:V, "Renewed LTO")</f>
        <v>0</v>
      </c>
      <c r="H10" s="124">
        <f>countifs(Private!C:C,"Region 4-B", Private!H:H,"Private")</f>
        <v>8</v>
      </c>
      <c r="I10" s="125">
        <f t="shared" si="2"/>
        <v>34</v>
      </c>
      <c r="J10" s="125">
        <f t="shared" si="3"/>
        <v>0</v>
      </c>
      <c r="K10" s="124">
        <f t="shared" ref="K10:L10" si="9">SUM(C10,F10)</f>
        <v>0</v>
      </c>
      <c r="L10" s="124">
        <f t="shared" si="9"/>
        <v>0</v>
      </c>
      <c r="M10" s="124">
        <f t="shared" si="5"/>
        <v>34</v>
      </c>
    </row>
    <row r="11">
      <c r="A11" s="26" t="s">
        <v>24</v>
      </c>
      <c r="B11" s="26" t="s">
        <v>25</v>
      </c>
      <c r="C11" s="124">
        <f>COUNTIFS(Government!C:C, "Region 5",Government!W:W, "Initial")</f>
        <v>0</v>
      </c>
      <c r="D11" s="124">
        <f>COUNTIFS(Government!C:C, "Region 5", Government!W:W, "Renewed LTO")</f>
        <v>0</v>
      </c>
      <c r="E11" s="124">
        <f>countifs(Government!C:C,"Region 5", Government!H:H,"Government")</f>
        <v>34</v>
      </c>
      <c r="F11" s="124">
        <f>COUNTIFS(Private!C:C, "Region 5", Private!V:V, "Initial")</f>
        <v>0</v>
      </c>
      <c r="G11" s="124">
        <f>COUNTIFS(Private!C:C, "Region 5", Private!V:V, "Renewed LTO")</f>
        <v>0</v>
      </c>
      <c r="H11" s="124">
        <f>countifs(Private!C:C,"Region 5", Private!H:H,"Private")</f>
        <v>21</v>
      </c>
      <c r="I11" s="125">
        <f t="shared" si="2"/>
        <v>55</v>
      </c>
      <c r="J11" s="125">
        <f t="shared" si="3"/>
        <v>0</v>
      </c>
      <c r="K11" s="124">
        <f t="shared" ref="K11:L11" si="10">SUM(C11,F11)</f>
        <v>0</v>
      </c>
      <c r="L11" s="124">
        <f t="shared" si="10"/>
        <v>0</v>
      </c>
      <c r="M11" s="124">
        <f t="shared" si="5"/>
        <v>55</v>
      </c>
    </row>
    <row r="12">
      <c r="A12" s="26" t="s">
        <v>26</v>
      </c>
      <c r="B12" s="26" t="s">
        <v>27</v>
      </c>
      <c r="C12" s="124">
        <f>COUNTIFS(Government!C:C, "Region 6",Government!W:W, "Initial")</f>
        <v>0</v>
      </c>
      <c r="D12" s="124">
        <f>COUNTIFS(Government!C:C, "Region 6", Government!W:W, "Renewed LTO")</f>
        <v>0</v>
      </c>
      <c r="E12" s="124">
        <f>countifs(Government!C:C,"Region 6", Government!H:H,"Government")</f>
        <v>18</v>
      </c>
      <c r="F12" s="124">
        <f>COUNTIFS(Private!C:C, "Region 6", Private!V:V, "Initial")</f>
        <v>0</v>
      </c>
      <c r="G12" s="124">
        <f>COUNTIFS(Private!C:C, "Region 6", Private!V:V, "Renewed LTO")</f>
        <v>0</v>
      </c>
      <c r="H12" s="124">
        <f>countifs(Private!C:C,"Region 6", Private!H:H,"Private")</f>
        <v>4</v>
      </c>
      <c r="I12" s="125">
        <f t="shared" si="2"/>
        <v>22</v>
      </c>
      <c r="J12" s="125">
        <f t="shared" si="3"/>
        <v>0</v>
      </c>
      <c r="K12" s="124">
        <f t="shared" ref="K12:L12" si="11">SUM(C12,F12)</f>
        <v>0</v>
      </c>
      <c r="L12" s="124">
        <f t="shared" si="11"/>
        <v>0</v>
      </c>
      <c r="M12" s="124">
        <f t="shared" si="5"/>
        <v>22</v>
      </c>
    </row>
    <row r="13">
      <c r="A13" s="26" t="s">
        <v>28</v>
      </c>
      <c r="B13" s="26" t="s">
        <v>29</v>
      </c>
      <c r="C13" s="124">
        <f>COUNTIFS(Government!C:C, "Region 7",Government!W:W, "Initial")</f>
        <v>0</v>
      </c>
      <c r="D13" s="124">
        <f>COUNTIFS(Government!C:C, "Region 7", Government!W:W, "Renewed LTO")</f>
        <v>0</v>
      </c>
      <c r="E13" s="124">
        <f>countifs(Government!C:C,"Region 7", Government!H:H,"Government")</f>
        <v>28</v>
      </c>
      <c r="F13" s="124">
        <f>COUNTIFS(Private!C:C, "Region 7", Private!V:V, "Initial")</f>
        <v>0</v>
      </c>
      <c r="G13" s="124">
        <f>COUNTIFS(Private!C:C, "Region 7", Private!V:V, "Renewed LTO")</f>
        <v>0</v>
      </c>
      <c r="H13" s="124">
        <f>countifs(Private!C:C,"Region 7", Private!H:H,"Private")</f>
        <v>9</v>
      </c>
      <c r="I13" s="125">
        <f t="shared" si="2"/>
        <v>37</v>
      </c>
      <c r="J13" s="125">
        <f t="shared" si="3"/>
        <v>0</v>
      </c>
      <c r="K13" s="124">
        <f t="shared" ref="K13:L13" si="12">SUM(C13,F13)</f>
        <v>0</v>
      </c>
      <c r="L13" s="124">
        <f t="shared" si="12"/>
        <v>0</v>
      </c>
      <c r="M13" s="124">
        <f t="shared" si="5"/>
        <v>37</v>
      </c>
    </row>
    <row r="14">
      <c r="A14" s="26" t="s">
        <v>30</v>
      </c>
      <c r="B14" s="26" t="s">
        <v>31</v>
      </c>
      <c r="C14" s="124">
        <f>COUNTIFS(Government!C:C, "Region 8",Government!W:W, "Initial")</f>
        <v>0</v>
      </c>
      <c r="D14" s="124">
        <f>COUNTIFS(Government!C:C, "Region 8", Government!W:W, "Renewed LTO")</f>
        <v>0</v>
      </c>
      <c r="E14" s="124">
        <f>countifs(Government!C:C,"Region 8", Government!H:H,"Government")</f>
        <v>32</v>
      </c>
      <c r="F14" s="124">
        <f>COUNTIFS(Private!C:C, "Region 8", Private!V:V, "Initial")</f>
        <v>0</v>
      </c>
      <c r="G14" s="124">
        <f>COUNTIFS(Private!C:C, "Region 8", Private!V:V, "Renewed LTO")</f>
        <v>0</v>
      </c>
      <c r="H14" s="124">
        <f>countifs(Private!C:C,"Region 8", Private!H:H,"Private")</f>
        <v>8</v>
      </c>
      <c r="I14" s="125">
        <f t="shared" si="2"/>
        <v>40</v>
      </c>
      <c r="J14" s="125">
        <f t="shared" si="3"/>
        <v>0</v>
      </c>
      <c r="K14" s="124">
        <f t="shared" ref="K14:L14" si="13">SUM(C14,F14)</f>
        <v>0</v>
      </c>
      <c r="L14" s="124">
        <f t="shared" si="13"/>
        <v>0</v>
      </c>
      <c r="M14" s="124">
        <f t="shared" si="5"/>
        <v>40</v>
      </c>
    </row>
    <row r="15">
      <c r="A15" s="26" t="s">
        <v>32</v>
      </c>
      <c r="B15" s="26" t="s">
        <v>33</v>
      </c>
      <c r="C15" s="124">
        <f>COUNTIFS(Government!C:C, "Region 9",Government!W:W, "Initial")</f>
        <v>0</v>
      </c>
      <c r="D15" s="124">
        <f>COUNTIFS(Government!C:C, "Region 9", Government!W:W, "Renewed LTO")</f>
        <v>0</v>
      </c>
      <c r="E15" s="124">
        <f>countifs(Government!C:C,"Region 9", Government!H:H,"Government")</f>
        <v>24</v>
      </c>
      <c r="F15" s="124">
        <f>COUNTIFS(Private!C:C, "Region 9", Private!V:V, "Initial")</f>
        <v>0</v>
      </c>
      <c r="G15" s="124">
        <f>COUNTIFS(Private!C:C, "Region 9", Private!V:V, "Renewed LTO")</f>
        <v>0</v>
      </c>
      <c r="H15" s="124">
        <f>countifs(Private!C:C,"Region 9", Private!H:H,"Private")</f>
        <v>11</v>
      </c>
      <c r="I15" s="125">
        <f t="shared" si="2"/>
        <v>35</v>
      </c>
      <c r="J15" s="125">
        <f t="shared" si="3"/>
        <v>0</v>
      </c>
      <c r="K15" s="124">
        <f t="shared" ref="K15:L15" si="14">SUM(C15,F15)</f>
        <v>0</v>
      </c>
      <c r="L15" s="124">
        <f t="shared" si="14"/>
        <v>0</v>
      </c>
      <c r="M15" s="124">
        <f t="shared" si="5"/>
        <v>35</v>
      </c>
    </row>
    <row r="16">
      <c r="A16" s="26" t="s">
        <v>34</v>
      </c>
      <c r="B16" s="26" t="s">
        <v>35</v>
      </c>
      <c r="C16" s="124">
        <f>COUNTIFS(Government!C:C, "Region 10",Government!W:W, "Initial")</f>
        <v>0</v>
      </c>
      <c r="D16" s="124">
        <f>COUNTIFS(Government!C:C, "Region 10", Government!W:W, "Renewed LTO")</f>
        <v>0</v>
      </c>
      <c r="E16" s="124">
        <f>countifs(Government!C:C,"Region 10", Government!H:H,"Government")</f>
        <v>20</v>
      </c>
      <c r="F16" s="124">
        <f>COUNTIFS(Private!C:C, "Region 10", Private!V:V, "Initial")</f>
        <v>0</v>
      </c>
      <c r="G16" s="124">
        <f>COUNTIFS(Private!C:C, "Region 10", Private!V:V, "Renewed LTO")</f>
        <v>0</v>
      </c>
      <c r="H16" s="124">
        <f>countifs(Private!C:C,"Region 10", Private!H:H,"Private")</f>
        <v>16</v>
      </c>
      <c r="I16" s="125">
        <f t="shared" si="2"/>
        <v>36</v>
      </c>
      <c r="J16" s="125">
        <f t="shared" si="3"/>
        <v>0</v>
      </c>
      <c r="K16" s="124">
        <f t="shared" ref="K16:L16" si="15">SUM(C16,F16)</f>
        <v>0</v>
      </c>
      <c r="L16" s="124">
        <f t="shared" si="15"/>
        <v>0</v>
      </c>
      <c r="M16" s="124">
        <f t="shared" si="5"/>
        <v>36</v>
      </c>
    </row>
    <row r="17">
      <c r="A17" s="26" t="s">
        <v>36</v>
      </c>
      <c r="B17" s="26" t="s">
        <v>37</v>
      </c>
      <c r="C17" s="124">
        <f>COUNTIFS(Government!C:C, "Region 11",Government!W:W, "Initial")</f>
        <v>0</v>
      </c>
      <c r="D17" s="124">
        <f>COUNTIFS(Government!C:C, "Region 11", Government!W:W, "Renewed LTO")</f>
        <v>0</v>
      </c>
      <c r="E17" s="124">
        <f>countifs(Government!C:C,"Region 11", Government!H:H,"Government")</f>
        <v>14</v>
      </c>
      <c r="F17" s="124">
        <f>COUNTIFS(Private!C:C, "Region 11", Private!V:V, "Initial")</f>
        <v>0</v>
      </c>
      <c r="G17" s="124">
        <f>COUNTIFS(Private!C:C, "Region 11", Private!V:V, "Renewed LTO")</f>
        <v>0</v>
      </c>
      <c r="H17" s="124">
        <f>countifs(Private!C:C,"Region 11", Private!H:H,"Private")</f>
        <v>29</v>
      </c>
      <c r="I17" s="125">
        <f t="shared" si="2"/>
        <v>43</v>
      </c>
      <c r="J17" s="125">
        <f t="shared" si="3"/>
        <v>0</v>
      </c>
      <c r="K17" s="124">
        <f t="shared" ref="K17:L17" si="16">SUM(C17,F17)</f>
        <v>0</v>
      </c>
      <c r="L17" s="124">
        <f t="shared" si="16"/>
        <v>0</v>
      </c>
      <c r="M17" s="124">
        <f t="shared" si="5"/>
        <v>43</v>
      </c>
    </row>
    <row r="18">
      <c r="A18" s="26" t="s">
        <v>38</v>
      </c>
      <c r="B18" s="26" t="s">
        <v>39</v>
      </c>
      <c r="C18" s="124">
        <f>COUNTIFS(Government!C:C, "Region 12",Government!W:W, "Initial")</f>
        <v>0</v>
      </c>
      <c r="D18" s="124">
        <f>COUNTIFS(Government!C:C, "Region 12", Government!W:W, "Renewed LTO")</f>
        <v>0</v>
      </c>
      <c r="E18" s="124">
        <f>countifs(Government!C:C,"Region 12", Government!H:H,"Government")</f>
        <v>15</v>
      </c>
      <c r="F18" s="124">
        <f>COUNTIFS(Private!C:C, "Region 12", Private!V:V, "Initial")</f>
        <v>0</v>
      </c>
      <c r="G18" s="124">
        <f>COUNTIFS(Private!C:C, "Region 12", Private!V:V, "Renewed LTO")</f>
        <v>0</v>
      </c>
      <c r="H18" s="124">
        <f>countifs(Private!C:C,"Region 12", Private!H:H,"Private")</f>
        <v>26</v>
      </c>
      <c r="I18" s="125">
        <f t="shared" si="2"/>
        <v>41</v>
      </c>
      <c r="J18" s="125">
        <f t="shared" si="3"/>
        <v>0</v>
      </c>
      <c r="K18" s="124">
        <f t="shared" ref="K18:L18" si="17">SUM(C18,F18)</f>
        <v>0</v>
      </c>
      <c r="L18" s="124">
        <f t="shared" si="17"/>
        <v>0</v>
      </c>
      <c r="M18" s="124">
        <f t="shared" si="5"/>
        <v>41</v>
      </c>
    </row>
    <row r="19">
      <c r="A19" s="26" t="s">
        <v>40</v>
      </c>
      <c r="B19" s="26" t="s">
        <v>41</v>
      </c>
      <c r="C19" s="124">
        <f>COUNTIFS(Government!C:C, "Region 13",Government!W:W, "Initial")</f>
        <v>0</v>
      </c>
      <c r="D19" s="124">
        <f>COUNTIFS(Government!C:C, "Region 13", Government!W:W, "Renewed LTO")</f>
        <v>0</v>
      </c>
      <c r="E19" s="124">
        <f>countifs(Government!C:C,"Region 13", Government!H:H,"Government")</f>
        <v>20</v>
      </c>
      <c r="F19" s="124">
        <f>COUNTIFS(Private!C:C, "Region 13", Private!V:V, "Initial")</f>
        <v>0</v>
      </c>
      <c r="G19" s="124">
        <f>COUNTIFS(Private!C:C, "Region 13", Private!V:V, "Renewed LTO")</f>
        <v>0</v>
      </c>
      <c r="H19" s="124">
        <f>countifs(Private!C:C,"Region 13", Private!H:H,"Private")</f>
        <v>5</v>
      </c>
      <c r="I19" s="125">
        <f t="shared" si="2"/>
        <v>25</v>
      </c>
      <c r="J19" s="125">
        <f t="shared" si="3"/>
        <v>0</v>
      </c>
      <c r="K19" s="124">
        <f t="shared" ref="K19:L19" si="18">SUM(C19,F19)</f>
        <v>0</v>
      </c>
      <c r="L19" s="124">
        <f t="shared" si="18"/>
        <v>0</v>
      </c>
      <c r="M19" s="124">
        <f t="shared" si="5"/>
        <v>25</v>
      </c>
    </row>
    <row r="20">
      <c r="A20" s="26" t="s">
        <v>42</v>
      </c>
      <c r="B20" s="26" t="s">
        <v>43</v>
      </c>
      <c r="C20" s="124">
        <f>COUNTIFS(Government!C:C, "Cordillera",Government!W:W, "Initial")</f>
        <v>0</v>
      </c>
      <c r="D20" s="124">
        <f>COUNTIFS(Government!C:C, "Cordillera", Government!W:W, "Renewed LTO")</f>
        <v>0</v>
      </c>
      <c r="E20" s="124">
        <f>countifs(Government!C:C,"CORDILLERA", Government!H:H,"Government")</f>
        <v>23</v>
      </c>
      <c r="F20" s="124">
        <f>COUNTIFS(Private!C:C, "Cordillera", Private!V:V, "Initial")</f>
        <v>0</v>
      </c>
      <c r="G20" s="124">
        <f>COUNTIFS(Private!C:C, "Cordillera", Private!V:V, "Renewed LTO")</f>
        <v>0</v>
      </c>
      <c r="H20" s="124">
        <f>countifs(Private!C:C,"Cordillera", Private!H:H,"Private")</f>
        <v>8</v>
      </c>
      <c r="I20" s="125">
        <f t="shared" si="2"/>
        <v>31</v>
      </c>
      <c r="J20" s="125">
        <f t="shared" si="3"/>
        <v>0</v>
      </c>
      <c r="K20" s="124">
        <f t="shared" ref="K20:L20" si="19">SUM(C20,F20)</f>
        <v>0</v>
      </c>
      <c r="L20" s="124">
        <f t="shared" si="19"/>
        <v>0</v>
      </c>
      <c r="M20" s="124">
        <f t="shared" si="5"/>
        <v>31</v>
      </c>
    </row>
    <row r="21">
      <c r="A21" s="26" t="s">
        <v>44</v>
      </c>
      <c r="B21" s="26" t="s">
        <v>45</v>
      </c>
      <c r="C21" s="124">
        <f>COUNTIFS(Government!C:C, "BARMM",Government!W:W, "Initial")</f>
        <v>0</v>
      </c>
      <c r="D21" s="124">
        <f>COUNTIFS(Government!C:C, "BARMM", Government!W:W, "Renewed LTO")</f>
        <v>0</v>
      </c>
      <c r="E21" s="124">
        <f>countifs(Government!C:C,"BARMM", Government!H:H,"Government")</f>
        <v>9</v>
      </c>
      <c r="F21" s="124">
        <f>COUNTIFS(Private!C:C, "BARMM", Private!V:V, "Initial")</f>
        <v>0</v>
      </c>
      <c r="G21" s="124">
        <f>COUNTIFS(Private!C:C, "BARMM", Private!V:V, "Renewed LTO")</f>
        <v>0</v>
      </c>
      <c r="H21" s="124">
        <f>countifs(Private!C:C,"BARMM", Private!H:H,"Private")</f>
        <v>14</v>
      </c>
      <c r="I21" s="125">
        <f t="shared" si="2"/>
        <v>23</v>
      </c>
      <c r="J21" s="125">
        <f t="shared" si="3"/>
        <v>0</v>
      </c>
      <c r="K21" s="124">
        <f t="shared" ref="K21:L21" si="20">SUM(C21,F21)</f>
        <v>0</v>
      </c>
      <c r="L21" s="124">
        <f t="shared" si="20"/>
        <v>0</v>
      </c>
      <c r="M21" s="124">
        <f t="shared" si="5"/>
        <v>23</v>
      </c>
    </row>
    <row r="22">
      <c r="A22" s="128" t="s">
        <v>46</v>
      </c>
      <c r="B22" s="4"/>
      <c r="C22" s="129"/>
      <c r="D22" s="129"/>
      <c r="E22" s="129">
        <f>sum(E5:E21)</f>
        <v>346</v>
      </c>
      <c r="F22" s="130"/>
      <c r="G22" s="130"/>
      <c r="H22" s="130">
        <f>SUM(H5:H21)</f>
        <v>248</v>
      </c>
      <c r="I22" s="131">
        <f t="shared" si="2"/>
        <v>594</v>
      </c>
      <c r="J22" s="131">
        <f t="shared" si="3"/>
        <v>0</v>
      </c>
      <c r="K22" s="132"/>
      <c r="L22" s="132"/>
      <c r="M22" s="132">
        <f>SUM(M5:M21)</f>
        <v>594</v>
      </c>
    </row>
  </sheetData>
  <mergeCells count="9">
    <mergeCell ref="B1:B4"/>
    <mergeCell ref="A22:B22"/>
    <mergeCell ref="A1:A4"/>
    <mergeCell ref="C1:M1"/>
    <mergeCell ref="C2:E3"/>
    <mergeCell ref="F2:H3"/>
    <mergeCell ref="I2:I4"/>
    <mergeCell ref="J2:J4"/>
    <mergeCell ref="K2:M3"/>
  </mergeCells>
  <printOptions/>
  <pageMargins bottom="0.75" footer="0.0" header="0.0" left="0.7" right="0.7" top="0.75"/>
  <pageSetup paperSize="9" orientation="landscape"/>
  <headerFooter>
    <oddHeader>&amp;LNumber of Regulated Hospitals as of Dec. 31, 2022</oddHeader>
  </headerFooter>
  <colBreaks count="2" manualBreakCount="2">
    <brk man="1"/>
    <brk id="13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7.5"/>
    <col customWidth="1" min="3" max="3" width="17.13"/>
    <col customWidth="1" min="4" max="4" width="31.38"/>
    <col customWidth="1" min="8" max="8" width="35.38"/>
    <col customWidth="1" min="9" max="9" width="18.13"/>
    <col customWidth="1" min="10" max="10" width="22.0"/>
    <col customWidth="1" min="11" max="11" width="22.13"/>
    <col customWidth="1" min="12" max="12" width="20.63"/>
    <col customWidth="1" min="13" max="13" width="20.0"/>
    <col customWidth="1" min="14" max="14" width="33.25"/>
    <col customWidth="1" min="17" max="17" width="26.63"/>
    <col customWidth="1" min="18" max="18" width="19.38"/>
  </cols>
  <sheetData>
    <row r="1">
      <c r="A1" s="232" t="s">
        <v>0</v>
      </c>
      <c r="B1" s="233" t="s">
        <v>1</v>
      </c>
      <c r="C1" s="234" t="s">
        <v>104</v>
      </c>
      <c r="D1" s="235" t="s">
        <v>121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>
      <c r="A2" s="5"/>
      <c r="B2" s="42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>
      <c r="A3" s="5"/>
      <c r="B3" s="42"/>
      <c r="E3" s="236"/>
      <c r="F3" s="236"/>
      <c r="G3" s="236"/>
      <c r="H3" s="236"/>
      <c r="I3" s="236"/>
      <c r="J3" s="236"/>
      <c r="K3" s="237" t="s">
        <v>1928</v>
      </c>
      <c r="L3" s="237" t="s">
        <v>4889</v>
      </c>
      <c r="M3" s="237" t="s">
        <v>4890</v>
      </c>
      <c r="N3" s="237" t="s">
        <v>4891</v>
      </c>
      <c r="O3" s="237" t="s">
        <v>4892</v>
      </c>
      <c r="P3" s="237" t="s">
        <v>4893</v>
      </c>
      <c r="Q3" s="237" t="s">
        <v>4894</v>
      </c>
      <c r="R3" s="237" t="s">
        <v>4895</v>
      </c>
      <c r="S3" s="238"/>
      <c r="T3" s="238"/>
      <c r="U3" s="238"/>
      <c r="V3" s="238"/>
      <c r="W3" s="238"/>
      <c r="X3" s="238"/>
      <c r="Y3" s="238"/>
      <c r="Z3" s="238"/>
    </row>
    <row r="4">
      <c r="A4" s="15"/>
      <c r="B4" s="13"/>
      <c r="E4" s="51"/>
      <c r="F4" s="51"/>
      <c r="G4" s="51"/>
      <c r="H4" s="237" t="s">
        <v>4896</v>
      </c>
      <c r="I4" s="51"/>
      <c r="J4" s="237" t="s">
        <v>4897</v>
      </c>
      <c r="K4" s="237" t="s">
        <v>4898</v>
      </c>
      <c r="L4" s="239" t="s">
        <v>247</v>
      </c>
      <c r="M4" s="239" t="s">
        <v>133</v>
      </c>
      <c r="N4" s="239" t="s">
        <v>4899</v>
      </c>
      <c r="O4" s="239" t="s">
        <v>4900</v>
      </c>
      <c r="P4" s="240" t="s">
        <v>4901</v>
      </c>
      <c r="Q4" s="241" t="s">
        <v>4902</v>
      </c>
      <c r="R4" s="239" t="s">
        <v>4903</v>
      </c>
    </row>
    <row r="5">
      <c r="A5" s="242" t="s">
        <v>12</v>
      </c>
      <c r="B5" s="243" t="s">
        <v>13</v>
      </c>
      <c r="C5" s="244" t="s">
        <v>2762</v>
      </c>
      <c r="D5" s="245" t="s">
        <v>4904</v>
      </c>
      <c r="E5" s="239" t="s">
        <v>131</v>
      </c>
      <c r="F5" s="239" t="s">
        <v>4905</v>
      </c>
      <c r="G5" s="239" t="s">
        <v>4906</v>
      </c>
      <c r="H5" s="246" t="s">
        <v>4907</v>
      </c>
      <c r="I5" s="239" t="s">
        <v>4908</v>
      </c>
      <c r="J5" s="239" t="s">
        <v>4909</v>
      </c>
      <c r="K5" s="239" t="s">
        <v>158</v>
      </c>
      <c r="L5" s="239" t="s">
        <v>105</v>
      </c>
      <c r="M5" s="239" t="s">
        <v>4910</v>
      </c>
      <c r="N5" s="239" t="s">
        <v>4911</v>
      </c>
      <c r="O5" s="239" t="s">
        <v>140</v>
      </c>
      <c r="P5" s="240" t="s">
        <v>4912</v>
      </c>
      <c r="Q5" s="241" t="s">
        <v>4913</v>
      </c>
      <c r="R5" s="239" t="s">
        <v>4914</v>
      </c>
    </row>
    <row r="6">
      <c r="A6" s="242" t="s">
        <v>14</v>
      </c>
      <c r="B6" s="243" t="s">
        <v>15</v>
      </c>
      <c r="C6" s="244" t="s">
        <v>83</v>
      </c>
      <c r="D6" s="245" t="s">
        <v>819</v>
      </c>
      <c r="E6" s="239" t="s">
        <v>70</v>
      </c>
      <c r="F6" s="239" t="s">
        <v>4915</v>
      </c>
      <c r="G6" s="239" t="s">
        <v>4916</v>
      </c>
      <c r="H6" s="246" t="s">
        <v>4917</v>
      </c>
      <c r="I6" s="239" t="s">
        <v>4918</v>
      </c>
      <c r="J6" s="239" t="s">
        <v>4919</v>
      </c>
      <c r="K6" s="239" t="s">
        <v>133</v>
      </c>
      <c r="L6" s="239" t="s">
        <v>189</v>
      </c>
      <c r="M6" s="239" t="s">
        <v>4920</v>
      </c>
      <c r="N6" s="239" t="s">
        <v>4921</v>
      </c>
      <c r="O6" s="51"/>
      <c r="P6" s="51"/>
      <c r="Q6" s="51"/>
      <c r="R6" s="239" t="s">
        <v>4922</v>
      </c>
    </row>
    <row r="7">
      <c r="A7" s="242" t="s">
        <v>16</v>
      </c>
      <c r="B7" s="243" t="s">
        <v>17</v>
      </c>
      <c r="C7" s="244" t="s">
        <v>2489</v>
      </c>
      <c r="D7" s="245" t="s">
        <v>4923</v>
      </c>
      <c r="E7" s="51"/>
      <c r="F7" s="51"/>
      <c r="G7" s="239" t="s">
        <v>4924</v>
      </c>
      <c r="H7" s="246" t="s">
        <v>4925</v>
      </c>
      <c r="I7" s="51"/>
      <c r="J7" s="239" t="s">
        <v>4926</v>
      </c>
      <c r="K7" s="239" t="s">
        <v>4910</v>
      </c>
      <c r="L7" s="239" t="s">
        <v>4927</v>
      </c>
      <c r="M7" s="239" t="s">
        <v>141</v>
      </c>
      <c r="N7" s="239" t="s">
        <v>141</v>
      </c>
      <c r="O7" s="51"/>
      <c r="P7" s="51"/>
      <c r="Q7" s="51"/>
      <c r="R7" s="51"/>
    </row>
    <row r="8">
      <c r="A8" s="242" t="s">
        <v>18</v>
      </c>
      <c r="B8" s="243" t="s">
        <v>19</v>
      </c>
      <c r="C8" s="244" t="s">
        <v>1255</v>
      </c>
      <c r="D8" s="245" t="s">
        <v>244</v>
      </c>
      <c r="E8" s="51"/>
      <c r="F8" s="51"/>
      <c r="G8" s="51"/>
      <c r="H8" s="246" t="s">
        <v>4928</v>
      </c>
      <c r="I8" s="51"/>
      <c r="J8" s="239" t="s">
        <v>4929</v>
      </c>
      <c r="K8" s="239" t="s">
        <v>4930</v>
      </c>
      <c r="L8" s="239" t="s">
        <v>587</v>
      </c>
      <c r="M8" s="51"/>
      <c r="N8" s="51"/>
      <c r="O8" s="51"/>
      <c r="P8" s="51"/>
      <c r="Q8" s="51"/>
      <c r="R8" s="51"/>
    </row>
    <row r="9">
      <c r="A9" s="242" t="s">
        <v>20</v>
      </c>
      <c r="B9" s="243" t="s">
        <v>21</v>
      </c>
      <c r="C9" s="244" t="s">
        <v>987</v>
      </c>
      <c r="D9" s="245" t="s">
        <v>4931</v>
      </c>
      <c r="E9" s="51"/>
      <c r="F9" s="51"/>
      <c r="G9" s="51"/>
      <c r="H9" s="246" t="s">
        <v>4932</v>
      </c>
      <c r="I9" s="51"/>
      <c r="J9" s="239" t="s">
        <v>4933</v>
      </c>
      <c r="K9" s="51"/>
      <c r="L9" s="239" t="s">
        <v>678</v>
      </c>
      <c r="M9" s="51"/>
      <c r="N9" s="51"/>
      <c r="O9" s="51"/>
      <c r="P9" s="51"/>
      <c r="Q9" s="51"/>
      <c r="R9" s="51"/>
    </row>
    <row r="10">
      <c r="A10" s="242" t="s">
        <v>22</v>
      </c>
      <c r="B10" s="243" t="s">
        <v>23</v>
      </c>
      <c r="C10" s="244" t="s">
        <v>3598</v>
      </c>
      <c r="D10" s="245" t="s">
        <v>4934</v>
      </c>
      <c r="E10" s="51"/>
      <c r="F10" s="51"/>
      <c r="G10" s="51"/>
      <c r="H10" s="246" t="s">
        <v>714</v>
      </c>
      <c r="I10" s="51"/>
      <c r="J10" s="239" t="s">
        <v>4935</v>
      </c>
      <c r="K10" s="237" t="s">
        <v>4936</v>
      </c>
      <c r="L10" s="239" t="s">
        <v>76</v>
      </c>
      <c r="M10" s="51"/>
      <c r="N10" s="51"/>
      <c r="O10" s="51"/>
      <c r="P10" s="51"/>
      <c r="Q10" s="51"/>
      <c r="R10" s="51"/>
    </row>
    <row r="11">
      <c r="A11" s="242" t="s">
        <v>24</v>
      </c>
      <c r="B11" s="243" t="s">
        <v>25</v>
      </c>
      <c r="C11" s="244" t="s">
        <v>1303</v>
      </c>
      <c r="D11" s="245" t="s">
        <v>4937</v>
      </c>
      <c r="E11" s="51"/>
      <c r="F11" s="51"/>
      <c r="G11" s="51"/>
      <c r="H11" s="246" t="s">
        <v>4929</v>
      </c>
      <c r="I11" s="51"/>
      <c r="J11" s="51"/>
      <c r="K11" s="239" t="s">
        <v>4938</v>
      </c>
      <c r="L11" s="239" t="s">
        <v>353</v>
      </c>
      <c r="M11" s="51"/>
      <c r="N11" s="51"/>
      <c r="O11" s="51"/>
      <c r="P11" s="51"/>
      <c r="Q11" s="51"/>
      <c r="R11" s="51"/>
    </row>
    <row r="12">
      <c r="A12" s="242" t="s">
        <v>26</v>
      </c>
      <c r="B12" s="243" t="s">
        <v>27</v>
      </c>
      <c r="C12" s="244" t="s">
        <v>2783</v>
      </c>
      <c r="D12" s="245" t="s">
        <v>455</v>
      </c>
      <c r="E12" s="51"/>
      <c r="F12" s="51"/>
      <c r="G12" s="51"/>
      <c r="H12" s="246" t="s">
        <v>4939</v>
      </c>
      <c r="I12" s="51"/>
      <c r="J12" s="51"/>
      <c r="K12" s="239" t="s">
        <v>4940</v>
      </c>
      <c r="L12" s="239" t="s">
        <v>1890</v>
      </c>
      <c r="M12" s="51"/>
      <c r="N12" s="51"/>
      <c r="O12" s="51"/>
      <c r="P12" s="51"/>
      <c r="Q12" s="51"/>
      <c r="R12" s="51"/>
    </row>
    <row r="13">
      <c r="A13" s="242" t="s">
        <v>28</v>
      </c>
      <c r="B13" s="243" t="s">
        <v>29</v>
      </c>
      <c r="C13" s="244" t="s">
        <v>472</v>
      </c>
      <c r="D13" s="245" t="s">
        <v>4941</v>
      </c>
      <c r="E13" s="51"/>
      <c r="F13" s="51"/>
      <c r="G13" s="51"/>
      <c r="H13" s="246" t="s">
        <v>4942</v>
      </c>
      <c r="I13" s="51"/>
      <c r="J13" s="51"/>
      <c r="K13" s="51"/>
      <c r="L13" s="239" t="s">
        <v>141</v>
      </c>
      <c r="M13" s="51"/>
      <c r="N13" s="51"/>
      <c r="O13" s="51"/>
      <c r="P13" s="51"/>
      <c r="Q13" s="51"/>
      <c r="R13" s="51"/>
    </row>
    <row r="14">
      <c r="A14" s="242" t="s">
        <v>30</v>
      </c>
      <c r="B14" s="243" t="s">
        <v>31</v>
      </c>
      <c r="C14" s="244" t="s">
        <v>2949</v>
      </c>
      <c r="D14" s="245" t="s">
        <v>4943</v>
      </c>
      <c r="E14" s="51"/>
      <c r="F14" s="51"/>
      <c r="G14" s="51"/>
      <c r="H14" s="246" t="s">
        <v>4944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</row>
    <row r="15">
      <c r="A15" s="242" t="s">
        <v>32</v>
      </c>
      <c r="B15" s="243" t="s">
        <v>33</v>
      </c>
      <c r="C15" s="244" t="s">
        <v>499</v>
      </c>
      <c r="D15" s="245" t="s">
        <v>3146</v>
      </c>
      <c r="E15" s="51"/>
      <c r="F15" s="51"/>
      <c r="G15" s="51"/>
      <c r="H15" s="246" t="s">
        <v>4945</v>
      </c>
      <c r="I15" s="51"/>
      <c r="J15" s="51"/>
      <c r="K15" s="237" t="s">
        <v>4946</v>
      </c>
      <c r="L15" s="51"/>
      <c r="M15" s="51"/>
      <c r="N15" s="51"/>
      <c r="O15" s="51"/>
      <c r="P15" s="51"/>
      <c r="Q15" s="51"/>
      <c r="R15" s="51"/>
    </row>
    <row r="16">
      <c r="A16" s="242" t="s">
        <v>34</v>
      </c>
      <c r="B16" s="243" t="s">
        <v>35</v>
      </c>
      <c r="C16" s="244" t="s">
        <v>232</v>
      </c>
      <c r="D16" s="245" t="s">
        <v>4947</v>
      </c>
      <c r="E16" s="51"/>
      <c r="F16" s="51"/>
      <c r="G16" s="51"/>
      <c r="H16" s="246" t="s">
        <v>4948</v>
      </c>
      <c r="I16" s="51"/>
      <c r="J16" s="51"/>
      <c r="K16" s="239" t="s">
        <v>4949</v>
      </c>
      <c r="L16" s="51"/>
      <c r="M16" s="51"/>
      <c r="N16" s="51"/>
      <c r="O16" s="51"/>
      <c r="P16" s="51"/>
      <c r="Q16" s="51"/>
      <c r="R16" s="51"/>
    </row>
    <row r="17">
      <c r="A17" s="242" t="s">
        <v>36</v>
      </c>
      <c r="B17" s="243" t="s">
        <v>4950</v>
      </c>
      <c r="C17" s="244" t="s">
        <v>645</v>
      </c>
      <c r="D17" s="245" t="s">
        <v>2862</v>
      </c>
      <c r="E17" s="51"/>
      <c r="F17" s="51"/>
      <c r="G17" s="51"/>
      <c r="H17" s="246" t="s">
        <v>4919</v>
      </c>
      <c r="I17" s="51"/>
      <c r="J17" s="51"/>
      <c r="K17" s="239" t="s">
        <v>4951</v>
      </c>
      <c r="L17" s="51"/>
      <c r="M17" s="51"/>
      <c r="N17" s="51"/>
      <c r="O17" s="51"/>
      <c r="P17" s="51"/>
      <c r="Q17" s="51"/>
      <c r="R17" s="51"/>
    </row>
    <row r="18">
      <c r="A18" s="242" t="s">
        <v>38</v>
      </c>
      <c r="B18" s="243" t="s">
        <v>39</v>
      </c>
      <c r="C18" s="244" t="s">
        <v>2826</v>
      </c>
      <c r="D18" s="245" t="s">
        <v>4952</v>
      </c>
      <c r="E18" s="51"/>
      <c r="F18" s="51"/>
      <c r="G18" s="51"/>
      <c r="H18" s="246" t="s">
        <v>4953</v>
      </c>
      <c r="I18" s="51"/>
      <c r="J18" s="51"/>
      <c r="K18" s="239" t="s">
        <v>4954</v>
      </c>
      <c r="L18" s="51"/>
      <c r="M18" s="51"/>
      <c r="N18" s="51"/>
      <c r="O18" s="51"/>
      <c r="P18" s="51"/>
      <c r="Q18" s="51"/>
      <c r="R18" s="51"/>
    </row>
    <row r="19">
      <c r="A19" s="242" t="s">
        <v>40</v>
      </c>
      <c r="B19" s="243" t="s">
        <v>41</v>
      </c>
      <c r="C19" s="244" t="s">
        <v>4955</v>
      </c>
      <c r="D19" s="245" t="s">
        <v>4956</v>
      </c>
      <c r="E19" s="51"/>
      <c r="F19" s="51"/>
      <c r="G19" s="51"/>
      <c r="H19" s="246" t="s">
        <v>4957</v>
      </c>
      <c r="I19" s="51"/>
      <c r="J19" s="51"/>
      <c r="K19" s="239" t="s">
        <v>4958</v>
      </c>
      <c r="L19" s="51"/>
      <c r="M19" s="51"/>
      <c r="N19" s="51"/>
      <c r="O19" s="51"/>
      <c r="P19" s="51"/>
      <c r="Q19" s="51"/>
      <c r="R19" s="51"/>
    </row>
    <row r="20">
      <c r="A20" s="242" t="s">
        <v>42</v>
      </c>
      <c r="B20" s="243" t="s">
        <v>43</v>
      </c>
      <c r="C20" s="244" t="s">
        <v>1404</v>
      </c>
      <c r="D20" s="245" t="s">
        <v>4959</v>
      </c>
      <c r="E20" s="51"/>
      <c r="F20" s="51"/>
      <c r="G20" s="51"/>
      <c r="H20" s="246" t="s">
        <v>4960</v>
      </c>
      <c r="I20" s="51"/>
      <c r="J20" s="51"/>
      <c r="K20" s="239" t="s">
        <v>4961</v>
      </c>
      <c r="L20" s="51"/>
      <c r="M20" s="51"/>
      <c r="N20" s="51"/>
      <c r="O20" s="51"/>
      <c r="P20" s="51"/>
      <c r="Q20" s="51"/>
      <c r="R20" s="51"/>
    </row>
    <row r="21">
      <c r="A21" s="242" t="s">
        <v>44</v>
      </c>
      <c r="B21" s="243" t="s">
        <v>45</v>
      </c>
      <c r="C21" s="244" t="s">
        <v>2071</v>
      </c>
      <c r="D21" s="245" t="s">
        <v>4962</v>
      </c>
      <c r="E21" s="51"/>
      <c r="F21" s="51"/>
      <c r="G21" s="51"/>
      <c r="H21" s="246" t="s">
        <v>4963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>
      <c r="A22" s="51"/>
      <c r="B22" s="51"/>
      <c r="C22" s="244" t="s">
        <v>509</v>
      </c>
      <c r="D22" s="245" t="s">
        <v>4964</v>
      </c>
      <c r="E22" s="51"/>
      <c r="F22" s="51"/>
      <c r="G22" s="51"/>
      <c r="H22" s="246" t="s">
        <v>274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>
      <c r="A23" s="51"/>
      <c r="B23" s="51"/>
      <c r="C23" s="244" t="s">
        <v>66</v>
      </c>
      <c r="D23" s="245" t="s">
        <v>4965</v>
      </c>
      <c r="E23" s="51"/>
      <c r="F23" s="51"/>
      <c r="G23" s="51"/>
      <c r="H23" s="246" t="s">
        <v>4966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>
      <c r="A24" s="51"/>
      <c r="B24" s="51"/>
      <c r="C24" s="244" t="s">
        <v>243</v>
      </c>
      <c r="D24" s="245" t="s">
        <v>4967</v>
      </c>
      <c r="E24" s="51"/>
      <c r="F24" s="51"/>
      <c r="G24" s="51"/>
      <c r="H24" s="246" t="s">
        <v>4968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>
      <c r="A25" s="51"/>
      <c r="B25" s="51"/>
      <c r="C25" s="244" t="s">
        <v>1021</v>
      </c>
      <c r="D25" s="245" t="s">
        <v>2343</v>
      </c>
      <c r="E25" s="51"/>
      <c r="F25" s="51"/>
      <c r="G25" s="51"/>
      <c r="H25" s="246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>
      <c r="A26" s="51"/>
      <c r="B26" s="51"/>
      <c r="C26" s="244" t="s">
        <v>1038</v>
      </c>
      <c r="D26" s="245" t="s">
        <v>4969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>
      <c r="A27" s="51"/>
      <c r="B27" s="51"/>
      <c r="C27" s="244" t="s">
        <v>4970</v>
      </c>
      <c r="D27" s="245" t="s">
        <v>4971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>
      <c r="A28" s="51"/>
      <c r="B28" s="51"/>
      <c r="C28" s="244" t="s">
        <v>1351</v>
      </c>
      <c r="D28" s="245" t="s">
        <v>3924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>
      <c r="A29" s="51"/>
      <c r="B29" s="51"/>
      <c r="C29" s="244" t="s">
        <v>1150</v>
      </c>
      <c r="D29" s="245" t="s">
        <v>4972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>
      <c r="A30" s="51"/>
      <c r="B30" s="51"/>
      <c r="C30" s="244" t="s">
        <v>659</v>
      </c>
      <c r="D30" s="245" t="s">
        <v>4973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>
      <c r="A31" s="51"/>
      <c r="B31" s="51"/>
      <c r="C31" s="244" t="s">
        <v>1484</v>
      </c>
      <c r="D31" s="245" t="s">
        <v>255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>
      <c r="A32" s="51"/>
      <c r="B32" s="51"/>
      <c r="C32" s="244" t="s">
        <v>4974</v>
      </c>
      <c r="D32" s="245" t="s">
        <v>4975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>
      <c r="A33" s="51"/>
      <c r="B33" s="51"/>
      <c r="C33" s="244" t="s">
        <v>4976</v>
      </c>
      <c r="D33" s="245" t="s">
        <v>4977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>
      <c r="A34" s="51"/>
      <c r="B34" s="51"/>
      <c r="C34" s="244" t="s">
        <v>4978</v>
      </c>
      <c r="D34" s="245" t="s">
        <v>4979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>
      <c r="A35" s="51"/>
      <c r="B35" s="51"/>
      <c r="C35" s="244" t="s">
        <v>3535</v>
      </c>
      <c r="D35" s="245" t="s">
        <v>4980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>
      <c r="A36" s="51"/>
      <c r="B36" s="51"/>
      <c r="C36" s="244" t="s">
        <v>2266</v>
      </c>
      <c r="D36" s="245" t="s">
        <v>4981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>
      <c r="A37" s="51"/>
      <c r="B37" s="51"/>
      <c r="C37" s="244" t="s">
        <v>2274</v>
      </c>
      <c r="D37" s="245" t="s">
        <v>425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>
      <c r="A38" s="51"/>
      <c r="B38" s="51"/>
      <c r="C38" s="244" t="s">
        <v>2281</v>
      </c>
      <c r="D38" s="245" t="s">
        <v>4982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>
      <c r="A39" s="51"/>
      <c r="B39" s="51"/>
      <c r="C39" s="244" t="s">
        <v>2291</v>
      </c>
      <c r="D39" s="245" t="s">
        <v>4983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>
      <c r="A40" s="51"/>
      <c r="B40" s="51"/>
      <c r="C40" s="244" t="s">
        <v>2307</v>
      </c>
      <c r="D40" s="245" t="s">
        <v>315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>
      <c r="A41" s="51"/>
      <c r="B41" s="51"/>
      <c r="C41" s="244" t="s">
        <v>2520</v>
      </c>
      <c r="D41" s="245" t="s">
        <v>4984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>
      <c r="A42" s="51"/>
      <c r="B42" s="51"/>
      <c r="C42" s="244" t="s">
        <v>1626</v>
      </c>
      <c r="D42" s="245" t="s">
        <v>4985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>
      <c r="A43" s="51"/>
      <c r="B43" s="51"/>
      <c r="C43" s="244" t="s">
        <v>4389</v>
      </c>
      <c r="D43" s="245" t="s">
        <v>4986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>
      <c r="A44" s="51"/>
      <c r="B44" s="51"/>
      <c r="C44" s="244" t="s">
        <v>4987</v>
      </c>
      <c r="D44" s="245" t="s">
        <v>4988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>
      <c r="A45" s="51"/>
      <c r="B45" s="51"/>
      <c r="C45" s="244" t="s">
        <v>1369</v>
      </c>
      <c r="D45" s="245" t="s">
        <v>4989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>
      <c r="A46" s="51"/>
      <c r="B46" s="51"/>
      <c r="C46" s="244" t="s">
        <v>2861</v>
      </c>
      <c r="D46" s="245" t="s">
        <v>4990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>
      <c r="A47" s="51"/>
      <c r="B47" s="51"/>
      <c r="C47" s="244" t="s">
        <v>127</v>
      </c>
      <c r="D47" s="245" t="s">
        <v>4991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>
      <c r="A48" s="51"/>
      <c r="B48" s="51"/>
      <c r="C48" s="244" t="s">
        <v>165</v>
      </c>
      <c r="D48" s="245" t="s">
        <v>4992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>
      <c r="A49" s="51"/>
      <c r="B49" s="51"/>
      <c r="C49" s="244" t="s">
        <v>1378</v>
      </c>
      <c r="D49" s="245" t="s">
        <v>4139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>
      <c r="A50" s="51"/>
      <c r="B50" s="51"/>
      <c r="C50" s="244" t="s">
        <v>314</v>
      </c>
      <c r="D50" s="245" t="s">
        <v>1256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>
      <c r="A51" s="51"/>
      <c r="B51" s="51"/>
      <c r="C51" s="244" t="s">
        <v>2894</v>
      </c>
      <c r="D51" s="245" t="s">
        <v>2180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>
      <c r="A52" s="51"/>
      <c r="B52" s="51"/>
      <c r="C52" s="244" t="s">
        <v>4993</v>
      </c>
      <c r="D52" s="245" t="s">
        <v>4994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>
      <c r="A53" s="51"/>
      <c r="B53" s="51"/>
      <c r="C53" s="244" t="s">
        <v>4995</v>
      </c>
      <c r="D53" s="245" t="s">
        <v>4996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</row>
    <row r="54">
      <c r="A54" s="51"/>
      <c r="B54" s="51"/>
      <c r="C54" s="244" t="s">
        <v>3145</v>
      </c>
      <c r="D54" s="245" t="s">
        <v>4997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>
      <c r="A55" s="51"/>
      <c r="B55" s="51"/>
      <c r="C55" s="244" t="s">
        <v>736</v>
      </c>
      <c r="D55" s="245" t="s">
        <v>4998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>
      <c r="A56" s="51"/>
      <c r="B56" s="51"/>
      <c r="C56" s="244" t="s">
        <v>2123</v>
      </c>
      <c r="D56" s="245" t="s">
        <v>4999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>
      <c r="A57" s="51"/>
      <c r="B57" s="51"/>
      <c r="C57" s="244" t="s">
        <v>2958</v>
      </c>
      <c r="D57" s="245" t="s">
        <v>5000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>
      <c r="A58" s="51"/>
      <c r="B58" s="51"/>
      <c r="C58" s="244" t="s">
        <v>1688</v>
      </c>
      <c r="D58" s="245" t="s">
        <v>5001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>
      <c r="A59" s="51"/>
      <c r="B59" s="51"/>
      <c r="C59" s="244" t="s">
        <v>4827</v>
      </c>
      <c r="D59" s="245" t="s">
        <v>5002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>
      <c r="A60" s="51"/>
      <c r="B60" s="51"/>
      <c r="C60" s="244" t="s">
        <v>2976</v>
      </c>
      <c r="D60" s="245" t="s">
        <v>1405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>
      <c r="A61" s="51"/>
      <c r="B61" s="51"/>
      <c r="C61" s="244" t="s">
        <v>4835</v>
      </c>
      <c r="D61" s="245" t="s">
        <v>325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</row>
    <row r="62">
      <c r="A62" s="51"/>
      <c r="B62" s="51"/>
      <c r="C62" s="244" t="s">
        <v>800</v>
      </c>
      <c r="D62" s="245" t="s">
        <v>5003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>
      <c r="A63" s="51"/>
      <c r="B63" s="51"/>
      <c r="C63" s="244" t="s">
        <v>1174</v>
      </c>
      <c r="D63" s="245" t="s">
        <v>3423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>
      <c r="A64" s="51"/>
      <c r="B64" s="51"/>
      <c r="C64" s="244" t="s">
        <v>2584</v>
      </c>
      <c r="D64" s="245" t="s">
        <v>5004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>
      <c r="A65" s="51"/>
      <c r="B65" s="51"/>
      <c r="C65" s="244" t="s">
        <v>2147</v>
      </c>
      <c r="D65" s="245" t="s">
        <v>5005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>
      <c r="A66" s="51"/>
      <c r="B66" s="51"/>
      <c r="C66" s="244" t="s">
        <v>2179</v>
      </c>
      <c r="D66" s="245" t="s">
        <v>5006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>
      <c r="A67" s="51"/>
      <c r="B67" s="51"/>
      <c r="C67" s="244" t="s">
        <v>2932</v>
      </c>
      <c r="D67" s="245" t="s">
        <v>5007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</row>
    <row r="68">
      <c r="A68" s="51"/>
      <c r="B68" s="51"/>
      <c r="C68" s="244" t="s">
        <v>5008</v>
      </c>
      <c r="D68" s="245" t="s">
        <v>2350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>
      <c r="A69" s="51"/>
      <c r="B69" s="51"/>
      <c r="C69" s="244" t="s">
        <v>2621</v>
      </c>
      <c r="D69" s="245" t="s">
        <v>3598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>
      <c r="A70" s="51"/>
      <c r="B70" s="51"/>
      <c r="C70" s="244" t="s">
        <v>2684</v>
      </c>
      <c r="D70" s="245" t="s">
        <v>5009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>
      <c r="A71" s="51"/>
      <c r="B71" s="51"/>
      <c r="C71" s="244" t="s">
        <v>2342</v>
      </c>
      <c r="D71" s="245" t="s">
        <v>5010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>
      <c r="A72" s="51"/>
      <c r="B72" s="51"/>
      <c r="C72" s="244" t="s">
        <v>1774</v>
      </c>
      <c r="D72" s="245" t="s">
        <v>5011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>
      <c r="A73" s="51"/>
      <c r="B73" s="51"/>
      <c r="C73" s="244" t="s">
        <v>543</v>
      </c>
      <c r="D73" s="245" t="s">
        <v>5012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>
      <c r="A74" s="51"/>
      <c r="B74" s="51"/>
      <c r="C74" s="244" t="s">
        <v>424</v>
      </c>
      <c r="D74" s="245" t="s">
        <v>5013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>
      <c r="A75" s="51"/>
      <c r="B75" s="51"/>
      <c r="C75" s="244" t="s">
        <v>818</v>
      </c>
      <c r="D75" s="245" t="s">
        <v>1485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</row>
    <row r="76">
      <c r="A76" s="51"/>
      <c r="B76" s="51"/>
      <c r="C76" s="244" t="s">
        <v>848</v>
      </c>
      <c r="D76" s="245" t="s">
        <v>5014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>
      <c r="A77" s="51"/>
      <c r="B77" s="51"/>
      <c r="C77" s="244" t="s">
        <v>881</v>
      </c>
      <c r="D77" s="245" t="s">
        <v>3320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>
      <c r="A78" s="51"/>
      <c r="B78" s="51"/>
      <c r="C78" s="244" t="s">
        <v>616</v>
      </c>
      <c r="D78" s="245" t="s">
        <v>1175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</row>
    <row r="79">
      <c r="A79" s="51"/>
      <c r="B79" s="51"/>
      <c r="C79" s="244" t="s">
        <v>196</v>
      </c>
      <c r="D79" s="245" t="s">
        <v>1627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</row>
    <row r="80">
      <c r="A80" s="51"/>
      <c r="B80" s="51"/>
      <c r="C80" s="244" t="s">
        <v>2402</v>
      </c>
      <c r="D80" s="245" t="s">
        <v>5015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</row>
    <row r="81">
      <c r="A81" s="51"/>
      <c r="B81" s="51"/>
      <c r="C81" s="244" t="s">
        <v>5016</v>
      </c>
      <c r="D81" s="245" t="s">
        <v>5017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</row>
    <row r="82">
      <c r="A82" s="51"/>
      <c r="B82" s="51"/>
      <c r="C82" s="244" t="s">
        <v>384</v>
      </c>
      <c r="D82" s="245" t="s">
        <v>1501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>
      <c r="A83" s="51"/>
      <c r="B83" s="51"/>
      <c r="C83" s="244" t="s">
        <v>166</v>
      </c>
      <c r="D83" s="245" t="s">
        <v>5018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</row>
    <row r="84">
      <c r="A84" s="51"/>
      <c r="B84" s="51"/>
      <c r="C84" s="244" t="s">
        <v>784</v>
      </c>
      <c r="D84" s="245" t="s">
        <v>5019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>
      <c r="A85" s="51"/>
      <c r="B85" s="51"/>
      <c r="C85" s="244" t="s">
        <v>948</v>
      </c>
      <c r="D85" s="245" t="s">
        <v>5020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</row>
    <row r="86">
      <c r="A86" s="51"/>
      <c r="B86" s="51"/>
      <c r="C86" s="244" t="s">
        <v>1821</v>
      </c>
      <c r="D86" s="245" t="s">
        <v>472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>
      <c r="A87" s="51"/>
      <c r="B87" s="51"/>
      <c r="C87" s="244" t="s">
        <v>2300</v>
      </c>
      <c r="D87" s="245" t="s">
        <v>5021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</row>
    <row r="88">
      <c r="A88" s="51"/>
      <c r="B88" s="51"/>
      <c r="C88" s="244" t="s">
        <v>2754</v>
      </c>
      <c r="D88" s="245" t="s">
        <v>5022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</row>
    <row r="89">
      <c r="A89" s="51"/>
      <c r="B89" s="51"/>
      <c r="C89" s="244" t="s">
        <v>1227</v>
      </c>
      <c r="D89" s="245" t="s">
        <v>5023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</row>
    <row r="90">
      <c r="A90" s="51"/>
      <c r="B90" s="51"/>
      <c r="C90" s="244" t="s">
        <v>2393</v>
      </c>
      <c r="D90" s="245" t="s">
        <v>988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</row>
    <row r="91">
      <c r="A91" s="51"/>
      <c r="B91" s="51"/>
      <c r="C91" s="244" t="s">
        <v>1845</v>
      </c>
      <c r="D91" s="245" t="s">
        <v>5024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</row>
    <row r="92">
      <c r="A92" s="51"/>
      <c r="B92" s="51"/>
      <c r="C92" s="244" t="s">
        <v>2422</v>
      </c>
      <c r="D92" s="245" t="s">
        <v>5025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</row>
    <row r="93">
      <c r="A93" s="51"/>
      <c r="B93" s="51"/>
      <c r="C93" s="244" t="s">
        <v>1879</v>
      </c>
      <c r="D93" s="245" t="s">
        <v>5026</v>
      </c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</row>
    <row r="94">
      <c r="A94" s="51"/>
      <c r="B94" s="51"/>
      <c r="C94" s="244" t="s">
        <v>101</v>
      </c>
      <c r="D94" s="245" t="s">
        <v>5027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</row>
    <row r="95">
      <c r="A95" s="51"/>
      <c r="B95" s="51"/>
      <c r="C95" s="244" t="s">
        <v>90</v>
      </c>
      <c r="D95" s="245" t="s">
        <v>5028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</row>
    <row r="96">
      <c r="A96" s="51"/>
      <c r="B96" s="51"/>
      <c r="C96" s="244" t="s">
        <v>5029</v>
      </c>
      <c r="D96" s="245" t="s">
        <v>5030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</row>
    <row r="97">
      <c r="A97" s="51"/>
      <c r="B97" s="51"/>
      <c r="C97" s="244" t="s">
        <v>626</v>
      </c>
      <c r="D97" s="245" t="s">
        <v>5031</v>
      </c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</row>
    <row r="98">
      <c r="A98" s="51"/>
      <c r="B98" s="51"/>
      <c r="C98" s="244" t="s">
        <v>2990</v>
      </c>
      <c r="D98" s="245" t="s">
        <v>5032</v>
      </c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>
      <c r="A99" s="51"/>
      <c r="B99" s="51"/>
      <c r="C99" s="244" t="s">
        <v>5033</v>
      </c>
      <c r="D99" s="245" t="s">
        <v>5034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</row>
    <row r="100">
      <c r="A100" s="51"/>
      <c r="B100" s="51"/>
      <c r="C100" s="244" t="s">
        <v>636</v>
      </c>
      <c r="D100" s="245" t="s">
        <v>5035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</row>
    <row r="101">
      <c r="A101" s="51"/>
      <c r="B101" s="51"/>
      <c r="C101" s="244" t="s">
        <v>1925</v>
      </c>
      <c r="D101" s="245" t="s">
        <v>1509</v>
      </c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</row>
    <row r="102">
      <c r="A102" s="51"/>
      <c r="B102" s="51"/>
      <c r="C102" s="244" t="s">
        <v>1992</v>
      </c>
      <c r="D102" s="245" t="s">
        <v>5036</v>
      </c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>
      <c r="A103" s="51"/>
      <c r="B103" s="51"/>
      <c r="C103" s="244" t="s">
        <v>2038</v>
      </c>
      <c r="D103" s="245" t="s">
        <v>5037</v>
      </c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</row>
    <row r="104">
      <c r="A104" s="51"/>
      <c r="B104" s="51"/>
      <c r="D104" s="245" t="s">
        <v>5038</v>
      </c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</row>
    <row r="105">
      <c r="A105" s="51"/>
      <c r="B105" s="51"/>
      <c r="C105" s="51"/>
      <c r="D105" s="245" t="s">
        <v>500</v>
      </c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</row>
    <row r="106">
      <c r="A106" s="51"/>
      <c r="B106" s="51"/>
      <c r="C106" s="51"/>
      <c r="D106" s="245" t="s">
        <v>5039</v>
      </c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>
      <c r="A107" s="51"/>
      <c r="B107" s="51"/>
      <c r="C107" s="51"/>
      <c r="D107" s="245" t="s">
        <v>2308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</row>
    <row r="108">
      <c r="A108" s="51"/>
      <c r="B108" s="51"/>
      <c r="C108" s="51"/>
      <c r="D108" s="245" t="s">
        <v>264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</row>
    <row r="109">
      <c r="A109" s="51"/>
      <c r="B109" s="51"/>
      <c r="C109" s="51"/>
      <c r="D109" s="245" t="s">
        <v>5040</v>
      </c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</row>
    <row r="110">
      <c r="A110" s="51"/>
      <c r="B110" s="51"/>
      <c r="C110" s="51"/>
      <c r="D110" s="245" t="s">
        <v>2827</v>
      </c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>
      <c r="A111" s="51"/>
      <c r="B111" s="51"/>
      <c r="C111" s="51"/>
      <c r="D111" s="245" t="s">
        <v>5041</v>
      </c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</row>
    <row r="112">
      <c r="A112" s="51"/>
      <c r="B112" s="51"/>
      <c r="C112" s="51"/>
      <c r="D112" s="245" t="s">
        <v>2133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</row>
    <row r="113">
      <c r="A113" s="51"/>
      <c r="B113" s="51"/>
      <c r="C113" s="51"/>
      <c r="D113" s="245" t="s">
        <v>5042</v>
      </c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</row>
    <row r="114">
      <c r="A114" s="51"/>
      <c r="B114" s="51"/>
      <c r="C114" s="51"/>
      <c r="D114" s="245" t="s">
        <v>5043</v>
      </c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>
      <c r="A115" s="51"/>
      <c r="B115" s="51"/>
      <c r="C115" s="51"/>
      <c r="D115" s="245" t="s">
        <v>882</v>
      </c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</row>
    <row r="116">
      <c r="A116" s="51"/>
      <c r="B116" s="51"/>
      <c r="C116" s="51"/>
      <c r="D116" s="245" t="s">
        <v>5044</v>
      </c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</row>
    <row r="117">
      <c r="A117" s="51"/>
      <c r="B117" s="51"/>
      <c r="C117" s="51"/>
      <c r="D117" s="245" t="s">
        <v>3337</v>
      </c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>
      <c r="A118" s="51"/>
      <c r="B118" s="51"/>
      <c r="C118" s="51"/>
      <c r="D118" s="245" t="s">
        <v>5045</v>
      </c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>
      <c r="A119" s="51"/>
      <c r="B119" s="51"/>
      <c r="C119" s="51"/>
      <c r="D119" s="245" t="s">
        <v>5046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</row>
    <row r="120">
      <c r="A120" s="51"/>
      <c r="B120" s="51"/>
      <c r="C120" s="51"/>
      <c r="D120" s="245" t="s">
        <v>1635</v>
      </c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>
      <c r="A121" s="51"/>
      <c r="B121" s="51"/>
      <c r="C121" s="51"/>
      <c r="D121" s="245" t="s">
        <v>5047</v>
      </c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>
      <c r="A122" s="51"/>
      <c r="B122" s="51"/>
      <c r="C122" s="51"/>
      <c r="D122" s="245" t="s">
        <v>5048</v>
      </c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>
      <c r="A123" s="51"/>
      <c r="B123" s="51"/>
      <c r="C123" s="51"/>
      <c r="D123" s="245" t="s">
        <v>5049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</row>
    <row r="124">
      <c r="A124" s="51"/>
      <c r="B124" s="51"/>
      <c r="C124" s="51"/>
      <c r="D124" s="245" t="s">
        <v>5050</v>
      </c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</row>
    <row r="125">
      <c r="A125" s="51"/>
      <c r="B125" s="51"/>
      <c r="C125" s="51"/>
      <c r="D125" s="245" t="s">
        <v>5051</v>
      </c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</row>
    <row r="126">
      <c r="A126" s="51"/>
      <c r="B126" s="51"/>
      <c r="C126" s="51"/>
      <c r="D126" s="245" t="s">
        <v>2895</v>
      </c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>
      <c r="A127" s="51"/>
      <c r="B127" s="51"/>
      <c r="C127" s="51"/>
      <c r="D127" s="245" t="s">
        <v>5052</v>
      </c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</row>
    <row r="128">
      <c r="A128" s="51"/>
      <c r="B128" s="51"/>
      <c r="C128" s="51"/>
      <c r="D128" s="245" t="s">
        <v>5053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</row>
    <row r="129">
      <c r="A129" s="51"/>
      <c r="B129" s="51"/>
      <c r="C129" s="51"/>
      <c r="D129" s="245" t="s">
        <v>5054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</row>
    <row r="130">
      <c r="A130" s="51"/>
      <c r="B130" s="51"/>
      <c r="C130" s="51"/>
      <c r="D130" s="245" t="s">
        <v>5055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>
      <c r="A131" s="51"/>
      <c r="B131" s="51"/>
      <c r="C131" s="51"/>
      <c r="D131" s="245" t="s">
        <v>5056</v>
      </c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</row>
    <row r="132">
      <c r="A132" s="51"/>
      <c r="B132" s="51"/>
      <c r="C132" s="51"/>
      <c r="D132" s="245" t="s">
        <v>5057</v>
      </c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</row>
    <row r="133">
      <c r="A133" s="51"/>
      <c r="B133" s="51"/>
      <c r="C133" s="51"/>
      <c r="D133" s="245" t="s">
        <v>5058</v>
      </c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</row>
    <row r="134">
      <c r="A134" s="51"/>
      <c r="B134" s="51"/>
      <c r="C134" s="51"/>
      <c r="D134" s="245" t="s">
        <v>4178</v>
      </c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>
      <c r="A135" s="51"/>
      <c r="B135" s="51"/>
      <c r="C135" s="51"/>
      <c r="D135" s="245" t="s">
        <v>5059</v>
      </c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</row>
    <row r="136">
      <c r="A136" s="51"/>
      <c r="B136" s="51"/>
      <c r="C136" s="51"/>
      <c r="D136" s="245" t="s">
        <v>5060</v>
      </c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</row>
    <row r="137">
      <c r="A137" s="51"/>
      <c r="B137" s="51"/>
      <c r="C137" s="51"/>
      <c r="D137" s="245" t="s">
        <v>5061</v>
      </c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</row>
    <row r="138">
      <c r="A138" s="51"/>
      <c r="B138" s="51"/>
      <c r="C138" s="51"/>
      <c r="D138" s="245" t="s">
        <v>2124</v>
      </c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>
      <c r="A139" s="51"/>
      <c r="B139" s="51"/>
      <c r="C139" s="51"/>
      <c r="D139" s="245" t="s">
        <v>1183</v>
      </c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</row>
    <row r="140">
      <c r="A140" s="51"/>
      <c r="B140" s="51"/>
      <c r="C140" s="51"/>
      <c r="D140" s="245" t="s">
        <v>3156</v>
      </c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</row>
    <row r="141">
      <c r="A141" s="51"/>
      <c r="B141" s="51"/>
      <c r="C141" s="51"/>
      <c r="D141" s="245" t="s">
        <v>5062</v>
      </c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</row>
    <row r="142">
      <c r="A142" s="51"/>
      <c r="B142" s="51"/>
      <c r="C142" s="51"/>
      <c r="D142" s="245" t="s">
        <v>5063</v>
      </c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>
      <c r="A143" s="51"/>
      <c r="B143" s="51"/>
      <c r="C143" s="51"/>
      <c r="D143" s="245" t="s">
        <v>5064</v>
      </c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</row>
    <row r="144">
      <c r="A144" s="51"/>
      <c r="B144" s="51"/>
      <c r="C144" s="51"/>
      <c r="D144" s="245" t="s">
        <v>4760</v>
      </c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</row>
    <row r="145">
      <c r="A145" s="51"/>
      <c r="B145" s="51"/>
      <c r="C145" s="51"/>
      <c r="D145" s="245" t="s">
        <v>5065</v>
      </c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</row>
    <row r="146">
      <c r="A146" s="51"/>
      <c r="B146" s="51"/>
      <c r="C146" s="51"/>
      <c r="D146" s="245" t="s">
        <v>5066</v>
      </c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>
      <c r="A147" s="51"/>
      <c r="B147" s="51"/>
      <c r="C147" s="51"/>
      <c r="D147" s="245" t="s">
        <v>4478</v>
      </c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</row>
    <row r="148">
      <c r="A148" s="51"/>
      <c r="B148" s="51"/>
      <c r="C148" s="51"/>
      <c r="D148" s="245" t="s">
        <v>5067</v>
      </c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</row>
    <row r="149">
      <c r="A149" s="51"/>
      <c r="B149" s="51"/>
      <c r="C149" s="51"/>
      <c r="D149" s="245" t="s">
        <v>4719</v>
      </c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</row>
    <row r="150">
      <c r="A150" s="51"/>
      <c r="B150" s="51"/>
      <c r="C150" s="51"/>
      <c r="D150" s="245" t="s">
        <v>5068</v>
      </c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>
      <c r="A151" s="51"/>
      <c r="B151" s="51"/>
      <c r="C151" s="51"/>
      <c r="D151" s="245" t="s">
        <v>5069</v>
      </c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</row>
    <row r="152">
      <c r="A152" s="51"/>
      <c r="B152" s="51"/>
      <c r="C152" s="51"/>
      <c r="D152" s="245" t="s">
        <v>5070</v>
      </c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</row>
    <row r="153">
      <c r="A153" s="51"/>
      <c r="B153" s="51"/>
      <c r="C153" s="51"/>
      <c r="D153" s="245" t="s">
        <v>5071</v>
      </c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</row>
    <row r="154">
      <c r="A154" s="51"/>
      <c r="B154" s="51"/>
      <c r="C154" s="51"/>
      <c r="D154" s="245" t="s">
        <v>5072</v>
      </c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>
      <c r="A155" s="51"/>
      <c r="B155" s="51"/>
      <c r="C155" s="51"/>
      <c r="D155" s="245" t="s">
        <v>5073</v>
      </c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</row>
    <row r="156">
      <c r="A156" s="51"/>
      <c r="B156" s="51"/>
      <c r="C156" s="51"/>
      <c r="D156" s="245" t="s">
        <v>5074</v>
      </c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</row>
    <row r="157">
      <c r="A157" s="51"/>
      <c r="B157" s="51"/>
      <c r="C157" s="51"/>
      <c r="D157" s="245" t="s">
        <v>5075</v>
      </c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</row>
    <row r="158">
      <c r="A158" s="51"/>
      <c r="B158" s="51"/>
      <c r="C158" s="51"/>
      <c r="D158" s="245" t="s">
        <v>5076</v>
      </c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>
      <c r="A159" s="51"/>
      <c r="B159" s="51"/>
      <c r="C159" s="51"/>
      <c r="D159" s="245" t="s">
        <v>5077</v>
      </c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</row>
    <row r="160">
      <c r="A160" s="51"/>
      <c r="B160" s="51"/>
      <c r="C160" s="51"/>
      <c r="D160" s="245" t="s">
        <v>5078</v>
      </c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</row>
    <row r="161">
      <c r="A161" s="51"/>
      <c r="B161" s="51"/>
      <c r="C161" s="51"/>
      <c r="D161" s="245" t="s">
        <v>1304</v>
      </c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</row>
    <row r="162">
      <c r="A162" s="51"/>
      <c r="B162" s="51"/>
      <c r="C162" s="51"/>
      <c r="D162" s="245" t="s">
        <v>5079</v>
      </c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>
      <c r="A163" s="51"/>
      <c r="B163" s="51"/>
      <c r="C163" s="51"/>
      <c r="D163" s="245" t="s">
        <v>1518</v>
      </c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</row>
    <row r="164">
      <c r="A164" s="51"/>
      <c r="B164" s="51"/>
      <c r="C164" s="51"/>
      <c r="D164" s="245" t="s">
        <v>5080</v>
      </c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</row>
    <row r="165">
      <c r="A165" s="51"/>
      <c r="B165" s="51"/>
      <c r="C165" s="51"/>
      <c r="D165" s="245" t="s">
        <v>2933</v>
      </c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</row>
    <row r="166">
      <c r="A166" s="51"/>
      <c r="B166" s="51"/>
      <c r="C166" s="51"/>
      <c r="D166" s="245" t="s">
        <v>5081</v>
      </c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>
      <c r="A167" s="51"/>
      <c r="B167" s="51"/>
      <c r="C167" s="51"/>
      <c r="D167" s="245" t="s">
        <v>5082</v>
      </c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</row>
    <row r="168">
      <c r="A168" s="51"/>
      <c r="B168" s="51"/>
      <c r="C168" s="51"/>
      <c r="D168" s="245" t="s">
        <v>5083</v>
      </c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</row>
    <row r="169">
      <c r="A169" s="51"/>
      <c r="B169" s="51"/>
      <c r="C169" s="51"/>
      <c r="D169" s="245" t="s">
        <v>5084</v>
      </c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</row>
    <row r="170">
      <c r="A170" s="51"/>
      <c r="B170" s="51"/>
      <c r="C170" s="51"/>
      <c r="D170" s="245" t="s">
        <v>1689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>
      <c r="A171" s="51"/>
      <c r="B171" s="51"/>
      <c r="C171" s="51"/>
      <c r="D171" s="245" t="s">
        <v>5085</v>
      </c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</row>
    <row r="172">
      <c r="A172" s="51"/>
      <c r="B172" s="51"/>
      <c r="C172" s="51"/>
      <c r="D172" s="245" t="s">
        <v>5086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</row>
    <row r="173">
      <c r="A173" s="51"/>
      <c r="B173" s="51"/>
      <c r="C173" s="51"/>
      <c r="D173" s="245" t="s">
        <v>5087</v>
      </c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</row>
    <row r="174">
      <c r="A174" s="51"/>
      <c r="B174" s="51"/>
      <c r="C174" s="51"/>
      <c r="D174" s="245" t="s">
        <v>5088</v>
      </c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>
      <c r="A175" s="51"/>
      <c r="B175" s="51"/>
      <c r="C175" s="51"/>
      <c r="D175" s="245" t="s">
        <v>5089</v>
      </c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</row>
    <row r="176">
      <c r="A176" s="51"/>
      <c r="B176" s="51"/>
      <c r="C176" s="51"/>
      <c r="D176" s="245" t="s">
        <v>5090</v>
      </c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</row>
    <row r="177">
      <c r="A177" s="51"/>
      <c r="B177" s="51"/>
      <c r="C177" s="51"/>
      <c r="D177" s="245" t="s">
        <v>3024</v>
      </c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</row>
    <row r="178">
      <c r="A178" s="51"/>
      <c r="B178" s="51"/>
      <c r="C178" s="51"/>
      <c r="D178" s="245" t="s">
        <v>5091</v>
      </c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>
      <c r="A179" s="51"/>
      <c r="B179" s="51"/>
      <c r="C179" s="51"/>
      <c r="D179" s="245" t="s">
        <v>5092</v>
      </c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</row>
    <row r="180">
      <c r="A180" s="51"/>
      <c r="B180" s="51"/>
      <c r="C180" s="51"/>
      <c r="D180" s="245" t="s">
        <v>5093</v>
      </c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</row>
    <row r="181">
      <c r="A181" s="51"/>
      <c r="B181" s="51"/>
      <c r="C181" s="51"/>
      <c r="D181" s="245" t="s">
        <v>5094</v>
      </c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</row>
    <row r="182">
      <c r="A182" s="51"/>
      <c r="B182" s="51"/>
      <c r="C182" s="51"/>
      <c r="D182" s="245" t="s">
        <v>1151</v>
      </c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>
      <c r="A183" s="51"/>
      <c r="B183" s="51"/>
      <c r="C183" s="51"/>
      <c r="D183" s="245" t="s">
        <v>5095</v>
      </c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</row>
    <row r="184">
      <c r="A184" s="51"/>
      <c r="B184" s="51"/>
      <c r="C184" s="51"/>
      <c r="D184" s="245" t="s">
        <v>5096</v>
      </c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</row>
    <row r="185">
      <c r="A185" s="51"/>
      <c r="B185" s="51"/>
      <c r="C185" s="51"/>
      <c r="D185" s="245" t="s">
        <v>5097</v>
      </c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</row>
    <row r="186">
      <c r="A186" s="51"/>
      <c r="B186" s="51"/>
      <c r="C186" s="51"/>
      <c r="D186" s="245" t="s">
        <v>5098</v>
      </c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>
      <c r="A187" s="51"/>
      <c r="B187" s="51"/>
      <c r="C187" s="51"/>
      <c r="D187" s="245" t="s">
        <v>5099</v>
      </c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</row>
    <row r="188">
      <c r="A188" s="51"/>
      <c r="B188" s="51"/>
      <c r="C188" s="51"/>
      <c r="D188" s="245" t="s">
        <v>5100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</row>
    <row r="189">
      <c r="A189" s="51"/>
      <c r="B189" s="51"/>
      <c r="C189" s="51"/>
      <c r="D189" s="245" t="s">
        <v>5101</v>
      </c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</row>
    <row r="190">
      <c r="A190" s="51"/>
      <c r="B190" s="51"/>
      <c r="C190" s="51"/>
      <c r="D190" s="245" t="s">
        <v>5102</v>
      </c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>
      <c r="A191" s="51"/>
      <c r="B191" s="51"/>
      <c r="C191" s="51"/>
      <c r="D191" s="245" t="s">
        <v>5103</v>
      </c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</row>
    <row r="192">
      <c r="A192" s="51"/>
      <c r="B192" s="51"/>
      <c r="C192" s="51"/>
      <c r="D192" s="245" t="s">
        <v>5104</v>
      </c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</row>
    <row r="193">
      <c r="A193" s="51"/>
      <c r="B193" s="51"/>
      <c r="C193" s="51"/>
      <c r="D193" s="245" t="s">
        <v>2685</v>
      </c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</row>
    <row r="194">
      <c r="A194" s="51"/>
      <c r="B194" s="51"/>
      <c r="C194" s="51"/>
      <c r="D194" s="245" t="s">
        <v>1696</v>
      </c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>
      <c r="A195" s="51"/>
      <c r="B195" s="51"/>
      <c r="C195" s="51"/>
      <c r="D195" s="245" t="s">
        <v>5105</v>
      </c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</row>
    <row r="196">
      <c r="A196" s="51"/>
      <c r="B196" s="51"/>
      <c r="C196" s="51"/>
      <c r="D196" s="245" t="s">
        <v>5106</v>
      </c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</row>
    <row r="197">
      <c r="A197" s="51"/>
      <c r="B197" s="51"/>
      <c r="C197" s="51"/>
      <c r="D197" s="245" t="s">
        <v>2490</v>
      </c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</row>
    <row r="198">
      <c r="A198" s="51"/>
      <c r="B198" s="51"/>
      <c r="C198" s="51"/>
      <c r="D198" s="245" t="s">
        <v>5107</v>
      </c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>
      <c r="A199" s="51"/>
      <c r="B199" s="51"/>
      <c r="C199" s="51"/>
      <c r="D199" s="245" t="s">
        <v>5108</v>
      </c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</row>
    <row r="200">
      <c r="A200" s="51"/>
      <c r="B200" s="51"/>
      <c r="C200" s="51"/>
      <c r="D200" s="245" t="s">
        <v>5109</v>
      </c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</row>
    <row r="201">
      <c r="A201" s="51"/>
      <c r="B201" s="51"/>
      <c r="C201" s="51"/>
      <c r="D201" s="245" t="s">
        <v>5110</v>
      </c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</row>
    <row r="202">
      <c r="A202" s="51"/>
      <c r="B202" s="51"/>
      <c r="C202" s="51"/>
      <c r="D202" s="245" t="s">
        <v>5111</v>
      </c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>
      <c r="A203" s="51"/>
      <c r="B203" s="51"/>
      <c r="C203" s="51"/>
      <c r="D203" s="245" t="s">
        <v>4955</v>
      </c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</row>
    <row r="204">
      <c r="A204" s="51"/>
      <c r="B204" s="51"/>
      <c r="C204" s="51"/>
      <c r="D204" s="245" t="s">
        <v>2622</v>
      </c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>
      <c r="A205" s="51"/>
      <c r="B205" s="51"/>
      <c r="C205" s="51"/>
      <c r="D205" s="245" t="s">
        <v>3166</v>
      </c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</row>
    <row r="206">
      <c r="A206" s="51"/>
      <c r="B206" s="51"/>
      <c r="C206" s="51"/>
      <c r="D206" s="245" t="s">
        <v>5112</v>
      </c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>
      <c r="A207" s="51"/>
      <c r="B207" s="51"/>
      <c r="C207" s="51"/>
      <c r="D207" s="245" t="s">
        <v>3604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</row>
    <row r="208">
      <c r="A208" s="51"/>
      <c r="B208" s="51"/>
      <c r="C208" s="51"/>
      <c r="D208" s="245" t="s">
        <v>5113</v>
      </c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</row>
    <row r="209">
      <c r="A209" s="51"/>
      <c r="B209" s="51"/>
      <c r="C209" s="51"/>
      <c r="D209" s="245" t="s">
        <v>5114</v>
      </c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</row>
    <row r="210">
      <c r="A210" s="51"/>
      <c r="B210" s="51"/>
      <c r="C210" s="51"/>
      <c r="D210" s="245" t="s">
        <v>5115</v>
      </c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>
      <c r="A211" s="51"/>
      <c r="B211" s="51"/>
      <c r="C211" s="51"/>
      <c r="D211" s="245" t="s">
        <v>5116</v>
      </c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</row>
    <row r="212">
      <c r="A212" s="51"/>
      <c r="B212" s="51"/>
      <c r="C212" s="51"/>
      <c r="D212" s="245" t="s">
        <v>5117</v>
      </c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</row>
    <row r="213">
      <c r="A213" s="51"/>
      <c r="B213" s="51"/>
      <c r="C213" s="51"/>
      <c r="D213" s="245" t="s">
        <v>1775</v>
      </c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</row>
    <row r="214">
      <c r="A214" s="51"/>
      <c r="B214" s="51"/>
      <c r="C214" s="51"/>
      <c r="D214" s="245" t="s">
        <v>91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>
      <c r="A215" s="51"/>
      <c r="B215" s="51"/>
      <c r="C215" s="51"/>
      <c r="D215" s="245" t="s">
        <v>5118</v>
      </c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</row>
    <row r="216">
      <c r="A216" s="51"/>
      <c r="B216" s="51"/>
      <c r="C216" s="51"/>
      <c r="D216" s="245" t="s">
        <v>5119</v>
      </c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</row>
    <row r="217">
      <c r="A217" s="51"/>
      <c r="B217" s="51"/>
      <c r="C217" s="51"/>
      <c r="D217" s="245" t="s">
        <v>5120</v>
      </c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</row>
    <row r="218">
      <c r="A218" s="51"/>
      <c r="B218" s="51"/>
      <c r="C218" s="51"/>
      <c r="D218" s="245" t="s">
        <v>5121</v>
      </c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>
      <c r="A219" s="51"/>
      <c r="B219" s="51"/>
      <c r="C219" s="51"/>
      <c r="D219" s="245" t="s">
        <v>5122</v>
      </c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</row>
    <row r="220">
      <c r="A220" s="51"/>
      <c r="B220" s="51"/>
      <c r="C220" s="51"/>
      <c r="D220" s="245" t="s">
        <v>3175</v>
      </c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</row>
    <row r="221">
      <c r="A221" s="51"/>
      <c r="B221" s="51"/>
      <c r="C221" s="51"/>
      <c r="D221" s="245" t="s">
        <v>5123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</row>
    <row r="222">
      <c r="A222" s="51"/>
      <c r="B222" s="51"/>
      <c r="C222" s="51"/>
      <c r="D222" s="245" t="s">
        <v>5124</v>
      </c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>
      <c r="A223" s="51"/>
      <c r="B223" s="51"/>
      <c r="C223" s="51"/>
      <c r="D223" s="245" t="s">
        <v>5125</v>
      </c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</row>
    <row r="224">
      <c r="A224" s="51"/>
      <c r="B224" s="51"/>
      <c r="C224" s="51"/>
      <c r="D224" s="245" t="s">
        <v>5126</v>
      </c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</row>
    <row r="225">
      <c r="A225" s="51"/>
      <c r="B225" s="51"/>
      <c r="C225" s="51"/>
      <c r="D225" s="245" t="s">
        <v>849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</row>
    <row r="226">
      <c r="A226" s="51"/>
      <c r="B226" s="51"/>
      <c r="C226" s="51"/>
      <c r="D226" s="245" t="s">
        <v>4881</v>
      </c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>
      <c r="A227" s="51"/>
      <c r="B227" s="51"/>
      <c r="C227" s="51"/>
      <c r="D227" s="245" t="s">
        <v>5127</v>
      </c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</row>
    <row r="228">
      <c r="A228" s="51"/>
      <c r="B228" s="51"/>
      <c r="C228" s="51"/>
      <c r="D228" s="245" t="s">
        <v>5128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</row>
    <row r="229">
      <c r="A229" s="51"/>
      <c r="B229" s="51"/>
      <c r="C229" s="51"/>
      <c r="D229" s="245" t="s">
        <v>5129</v>
      </c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</row>
    <row r="230">
      <c r="A230" s="51"/>
      <c r="B230" s="51"/>
      <c r="C230" s="51"/>
      <c r="D230" s="245" t="s">
        <v>5130</v>
      </c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>
      <c r="A231" s="51"/>
      <c r="B231" s="51"/>
      <c r="C231" s="51"/>
      <c r="D231" s="245" t="s">
        <v>5131</v>
      </c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</row>
    <row r="232">
      <c r="A232" s="51"/>
      <c r="B232" s="51"/>
      <c r="C232" s="51"/>
      <c r="D232" s="245" t="s">
        <v>637</v>
      </c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</row>
    <row r="233">
      <c r="A233" s="51"/>
      <c r="B233" s="51"/>
      <c r="C233" s="51"/>
      <c r="D233" s="245" t="s">
        <v>5132</v>
      </c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</row>
    <row r="234">
      <c r="A234" s="51"/>
      <c r="B234" s="51"/>
      <c r="C234" s="51"/>
      <c r="D234" s="245" t="s">
        <v>5133</v>
      </c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>
      <c r="A235" s="51"/>
      <c r="B235" s="51"/>
      <c r="C235" s="51"/>
      <c r="D235" s="245" t="s">
        <v>5134</v>
      </c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</row>
    <row r="236">
      <c r="A236" s="51"/>
      <c r="B236" s="51"/>
      <c r="C236" s="51"/>
      <c r="D236" s="245" t="s">
        <v>5135</v>
      </c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</row>
    <row r="237">
      <c r="A237" s="51"/>
      <c r="B237" s="51"/>
      <c r="C237" s="51"/>
      <c r="D237" s="245" t="s">
        <v>2763</v>
      </c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</row>
    <row r="238">
      <c r="A238" s="51"/>
      <c r="B238" s="51"/>
      <c r="C238" s="51"/>
      <c r="D238" s="245" t="s">
        <v>5136</v>
      </c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>
      <c r="A239" s="51"/>
      <c r="B239" s="51"/>
      <c r="C239" s="51"/>
      <c r="D239" s="245" t="s">
        <v>1370</v>
      </c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</row>
    <row r="240">
      <c r="A240" s="51"/>
      <c r="B240" s="51"/>
      <c r="C240" s="51"/>
      <c r="D240" s="245" t="s">
        <v>5137</v>
      </c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</row>
    <row r="241">
      <c r="A241" s="51"/>
      <c r="B241" s="51"/>
      <c r="C241" s="51"/>
      <c r="D241" s="245" t="s">
        <v>1312</v>
      </c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</row>
    <row r="242">
      <c r="A242" s="51"/>
      <c r="B242" s="51"/>
      <c r="C242" s="51"/>
      <c r="D242" s="245" t="s">
        <v>5138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>
      <c r="A243" s="51"/>
      <c r="B243" s="51"/>
      <c r="C243" s="51"/>
      <c r="D243" s="245" t="s">
        <v>5139</v>
      </c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</row>
    <row r="244">
      <c r="A244" s="51"/>
      <c r="B244" s="51"/>
      <c r="C244" s="51"/>
      <c r="D244" s="245" t="s">
        <v>5140</v>
      </c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</row>
    <row r="245">
      <c r="A245" s="51"/>
      <c r="B245" s="51"/>
      <c r="C245" s="51"/>
      <c r="D245" s="245" t="s">
        <v>5141</v>
      </c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</row>
    <row r="246">
      <c r="A246" s="51"/>
      <c r="B246" s="51"/>
      <c r="C246" s="51"/>
      <c r="D246" s="245" t="s">
        <v>3346</v>
      </c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>
      <c r="A247" s="51"/>
      <c r="B247" s="51"/>
      <c r="C247" s="51"/>
      <c r="D247" s="245" t="s">
        <v>858</v>
      </c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</row>
    <row r="248">
      <c r="A248" s="51"/>
      <c r="B248" s="51"/>
      <c r="C248" s="51"/>
      <c r="D248" s="245" t="s">
        <v>1228</v>
      </c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</row>
    <row r="249">
      <c r="A249" s="51"/>
      <c r="B249" s="51"/>
      <c r="C249" s="51"/>
      <c r="D249" s="245" t="s">
        <v>5142</v>
      </c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</row>
    <row r="250">
      <c r="A250" s="51"/>
      <c r="B250" s="51"/>
      <c r="C250" s="51"/>
      <c r="D250" s="245" t="s">
        <v>4836</v>
      </c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>
      <c r="A251" s="51"/>
      <c r="B251" s="51"/>
      <c r="C251" s="51"/>
      <c r="D251" s="245" t="s">
        <v>5143</v>
      </c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</row>
    <row r="252">
      <c r="A252" s="51"/>
      <c r="B252" s="51"/>
      <c r="C252" s="51"/>
      <c r="D252" s="245" t="s">
        <v>4578</v>
      </c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</row>
    <row r="253">
      <c r="A253" s="51"/>
      <c r="B253" s="51"/>
      <c r="C253" s="51"/>
      <c r="D253" s="245" t="s">
        <v>5144</v>
      </c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</row>
    <row r="254">
      <c r="A254" s="51"/>
      <c r="B254" s="51"/>
      <c r="C254" s="51"/>
      <c r="D254" s="245" t="s">
        <v>5145</v>
      </c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>
      <c r="A255" s="51"/>
      <c r="B255" s="51"/>
      <c r="C255" s="51"/>
      <c r="D255" s="245" t="s">
        <v>5146</v>
      </c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</row>
    <row r="256">
      <c r="A256" s="51"/>
      <c r="B256" s="51"/>
      <c r="C256" s="51"/>
      <c r="D256" s="245" t="s">
        <v>1263</v>
      </c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>
      <c r="A257" s="51"/>
      <c r="B257" s="51"/>
      <c r="C257" s="51"/>
      <c r="D257" s="245" t="s">
        <v>510</v>
      </c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</row>
    <row r="258">
      <c r="A258" s="51"/>
      <c r="B258" s="51"/>
      <c r="C258" s="51"/>
      <c r="D258" s="245" t="s">
        <v>5147</v>
      </c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>
      <c r="A259" s="51"/>
      <c r="B259" s="51"/>
      <c r="C259" s="51"/>
      <c r="D259" s="245" t="s">
        <v>5148</v>
      </c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</row>
    <row r="260">
      <c r="A260" s="51"/>
      <c r="B260" s="51"/>
      <c r="C260" s="51"/>
      <c r="D260" s="245" t="s">
        <v>67</v>
      </c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>
      <c r="A261" s="51"/>
      <c r="B261" s="51"/>
      <c r="C261" s="51"/>
      <c r="D261" s="245" t="s">
        <v>4036</v>
      </c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</row>
    <row r="262">
      <c r="A262" s="51"/>
      <c r="B262" s="51"/>
      <c r="C262" s="51"/>
      <c r="D262" s="245" t="s">
        <v>5149</v>
      </c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>
      <c r="A263" s="51"/>
      <c r="B263" s="51"/>
      <c r="C263" s="51"/>
      <c r="D263" s="245" t="s">
        <v>2449</v>
      </c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</row>
    <row r="264">
      <c r="A264" s="51"/>
      <c r="B264" s="51"/>
      <c r="C264" s="51"/>
      <c r="D264" s="245" t="s">
        <v>5150</v>
      </c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>
      <c r="A265" s="51"/>
      <c r="B265" s="51"/>
      <c r="C265" s="51"/>
      <c r="D265" s="245" t="s">
        <v>5151</v>
      </c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</row>
    <row r="266">
      <c r="A266" s="51"/>
      <c r="B266" s="51"/>
      <c r="C266" s="51"/>
      <c r="D266" s="245" t="s">
        <v>5152</v>
      </c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>
      <c r="A267" s="51"/>
      <c r="B267" s="51"/>
      <c r="C267" s="51"/>
      <c r="D267" s="245" t="s">
        <v>5153</v>
      </c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</row>
    <row r="268">
      <c r="A268" s="51"/>
      <c r="B268" s="51"/>
      <c r="C268" s="51"/>
      <c r="D268" s="245" t="s">
        <v>5154</v>
      </c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</row>
    <row r="269">
      <c r="A269" s="51"/>
      <c r="B269" s="51"/>
      <c r="C269" s="51"/>
      <c r="D269" s="245" t="s">
        <v>5155</v>
      </c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</row>
    <row r="270">
      <c r="A270" s="51"/>
      <c r="B270" s="51"/>
      <c r="C270" s="51"/>
      <c r="D270" s="245" t="s">
        <v>5156</v>
      </c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>
      <c r="A271" s="51"/>
      <c r="B271" s="51"/>
      <c r="C271" s="51"/>
      <c r="D271" s="245" t="s">
        <v>5157</v>
      </c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</row>
    <row r="272">
      <c r="A272" s="51"/>
      <c r="B272" s="51"/>
      <c r="C272" s="51"/>
      <c r="D272" s="245" t="s">
        <v>5158</v>
      </c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</row>
    <row r="273">
      <c r="A273" s="51"/>
      <c r="B273" s="51"/>
      <c r="C273" s="51"/>
      <c r="D273" s="245" t="s">
        <v>5159</v>
      </c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</row>
    <row r="274">
      <c r="A274" s="51"/>
      <c r="B274" s="51"/>
      <c r="C274" s="51"/>
      <c r="D274" s="245" t="s">
        <v>5160</v>
      </c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>
      <c r="A275" s="51"/>
      <c r="B275" s="51"/>
      <c r="C275" s="51"/>
      <c r="D275" s="245" t="s">
        <v>5161</v>
      </c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</row>
    <row r="276">
      <c r="A276" s="51"/>
      <c r="B276" s="51"/>
      <c r="C276" s="51"/>
      <c r="D276" s="245" t="s">
        <v>5162</v>
      </c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</row>
    <row r="277">
      <c r="A277" s="51"/>
      <c r="B277" s="51"/>
      <c r="C277" s="51"/>
      <c r="D277" s="245" t="s">
        <v>2189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</row>
    <row r="278">
      <c r="A278" s="51"/>
      <c r="B278" s="51"/>
      <c r="C278" s="51"/>
      <c r="D278" s="245" t="s">
        <v>5163</v>
      </c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>
      <c r="A279" s="51"/>
      <c r="B279" s="51"/>
      <c r="C279" s="51"/>
      <c r="D279" s="245" t="s">
        <v>5164</v>
      </c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>
      <c r="A280" s="51"/>
      <c r="B280" s="51"/>
      <c r="C280" s="51"/>
      <c r="D280" s="245" t="s">
        <v>5165</v>
      </c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>
      <c r="A281" s="51"/>
      <c r="B281" s="51"/>
      <c r="C281" s="51"/>
      <c r="D281" s="245" t="s">
        <v>5166</v>
      </c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>
      <c r="A282" s="51"/>
      <c r="B282" s="51"/>
      <c r="C282" s="51"/>
      <c r="D282" s="245" t="s">
        <v>5167</v>
      </c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>
      <c r="A283" s="51"/>
      <c r="B283" s="51"/>
      <c r="C283" s="51"/>
      <c r="D283" s="245" t="s">
        <v>949</v>
      </c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</row>
    <row r="284">
      <c r="A284" s="51"/>
      <c r="B284" s="51"/>
      <c r="C284" s="51"/>
      <c r="D284" s="245" t="s">
        <v>5168</v>
      </c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</row>
    <row r="285">
      <c r="A285" s="51"/>
      <c r="B285" s="51"/>
      <c r="C285" s="51"/>
      <c r="D285" s="245" t="s">
        <v>5169</v>
      </c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</row>
    <row r="286">
      <c r="A286" s="51"/>
      <c r="B286" s="51"/>
      <c r="C286" s="51"/>
      <c r="D286" s="245" t="s">
        <v>737</v>
      </c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>
      <c r="A287" s="51"/>
      <c r="B287" s="51"/>
      <c r="C287" s="51"/>
      <c r="D287" s="245" t="s">
        <v>2784</v>
      </c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</row>
    <row r="288">
      <c r="A288" s="51"/>
      <c r="B288" s="51"/>
      <c r="C288" s="51"/>
      <c r="D288" s="245" t="s">
        <v>5170</v>
      </c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</row>
    <row r="289">
      <c r="A289" s="51"/>
      <c r="B289" s="51"/>
      <c r="C289" s="51"/>
      <c r="D289" s="245" t="s">
        <v>5171</v>
      </c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</row>
    <row r="290">
      <c r="A290" s="51"/>
      <c r="B290" s="51"/>
      <c r="C290" s="51"/>
      <c r="D290" s="245" t="s">
        <v>1413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>
      <c r="A291" s="51"/>
      <c r="B291" s="51"/>
      <c r="C291" s="51"/>
      <c r="D291" s="245" t="s">
        <v>5172</v>
      </c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</row>
    <row r="292">
      <c r="A292" s="51"/>
      <c r="B292" s="51"/>
      <c r="C292" s="51"/>
      <c r="D292" s="245" t="s">
        <v>3512</v>
      </c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</row>
    <row r="293">
      <c r="A293" s="51"/>
      <c r="B293" s="51"/>
      <c r="C293" s="51"/>
      <c r="D293" s="245" t="s">
        <v>2631</v>
      </c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</row>
    <row r="294">
      <c r="A294" s="51"/>
      <c r="B294" s="51"/>
      <c r="C294" s="51"/>
      <c r="D294" s="245" t="s">
        <v>751</v>
      </c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>
      <c r="A295" s="51"/>
      <c r="B295" s="51"/>
      <c r="C295" s="51"/>
      <c r="D295" s="245" t="s">
        <v>5173</v>
      </c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</row>
    <row r="296">
      <c r="A296" s="51"/>
      <c r="B296" s="51"/>
      <c r="C296" s="51"/>
      <c r="D296" s="245" t="s">
        <v>271</v>
      </c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</row>
    <row r="297">
      <c r="A297" s="51"/>
      <c r="B297" s="51"/>
      <c r="C297" s="51"/>
      <c r="D297" s="245" t="s">
        <v>5174</v>
      </c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</row>
    <row r="298">
      <c r="A298" s="51"/>
      <c r="B298" s="51"/>
      <c r="C298" s="51"/>
      <c r="D298" s="245" t="s">
        <v>5175</v>
      </c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>
      <c r="A299" s="51"/>
      <c r="B299" s="51"/>
      <c r="C299" s="51"/>
      <c r="D299" s="245" t="s">
        <v>5176</v>
      </c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</row>
    <row r="300">
      <c r="A300" s="51"/>
      <c r="B300" s="51"/>
      <c r="C300" s="51"/>
      <c r="D300" s="245" t="s">
        <v>5177</v>
      </c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</row>
    <row r="301">
      <c r="A301" s="51"/>
      <c r="B301" s="51"/>
      <c r="C301" s="51"/>
      <c r="D301" s="245" t="s">
        <v>4593</v>
      </c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</row>
    <row r="302">
      <c r="A302" s="51"/>
      <c r="B302" s="51"/>
      <c r="C302" s="51"/>
      <c r="D302" s="245" t="s">
        <v>1705</v>
      </c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>
      <c r="A303" s="51"/>
      <c r="B303" s="51"/>
      <c r="C303" s="51"/>
      <c r="D303" s="245" t="s">
        <v>5178</v>
      </c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</row>
    <row r="304">
      <c r="A304" s="51"/>
      <c r="B304" s="51"/>
      <c r="C304" s="51"/>
      <c r="D304" s="245" t="s">
        <v>5179</v>
      </c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</row>
    <row r="305">
      <c r="A305" s="51"/>
      <c r="B305" s="51"/>
      <c r="C305" s="51"/>
      <c r="D305" s="245" t="s">
        <v>5180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</row>
    <row r="306">
      <c r="A306" s="51"/>
      <c r="B306" s="51"/>
      <c r="C306" s="51"/>
      <c r="D306" s="245" t="s">
        <v>5181</v>
      </c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>
      <c r="A307" s="51"/>
      <c r="B307" s="51"/>
      <c r="C307" s="51"/>
      <c r="D307" s="245" t="s">
        <v>5182</v>
      </c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</row>
    <row r="308">
      <c r="A308" s="51"/>
      <c r="B308" s="51"/>
      <c r="C308" s="51"/>
      <c r="D308" s="245" t="s">
        <v>3454</v>
      </c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</row>
    <row r="309">
      <c r="A309" s="51"/>
      <c r="B309" s="51"/>
      <c r="C309" s="51"/>
      <c r="D309" s="245" t="s">
        <v>1643</v>
      </c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</row>
    <row r="310">
      <c r="A310" s="51"/>
      <c r="B310" s="51"/>
      <c r="C310" s="51"/>
      <c r="D310" s="245" t="s">
        <v>5183</v>
      </c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>
      <c r="A311" s="51"/>
      <c r="B311" s="51"/>
      <c r="C311" s="51"/>
      <c r="D311" s="245" t="s">
        <v>617</v>
      </c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</row>
    <row r="312">
      <c r="A312" s="51"/>
      <c r="B312" s="51"/>
      <c r="C312" s="51"/>
      <c r="D312" s="245" t="s">
        <v>5184</v>
      </c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</row>
    <row r="313">
      <c r="A313" s="51"/>
      <c r="B313" s="51"/>
      <c r="C313" s="51"/>
      <c r="D313" s="245" t="s">
        <v>1422</v>
      </c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</row>
    <row r="314">
      <c r="A314" s="51"/>
      <c r="B314" s="51"/>
      <c r="C314" s="51"/>
      <c r="D314" s="245" t="s">
        <v>5185</v>
      </c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>
      <c r="A315" s="51"/>
      <c r="B315" s="51"/>
      <c r="C315" s="51"/>
      <c r="D315" s="245" t="s">
        <v>5186</v>
      </c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</row>
    <row r="316">
      <c r="A316" s="51"/>
      <c r="B316" s="51"/>
      <c r="C316" s="51"/>
      <c r="D316" s="245" t="s">
        <v>2699</v>
      </c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</row>
    <row r="317">
      <c r="A317" s="51"/>
      <c r="B317" s="51"/>
      <c r="C317" s="51"/>
      <c r="D317" s="245" t="s">
        <v>96</v>
      </c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</row>
    <row r="318">
      <c r="A318" s="51"/>
      <c r="B318" s="51"/>
      <c r="C318" s="51"/>
      <c r="D318" s="245" t="s">
        <v>224</v>
      </c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>
      <c r="A319" s="51"/>
      <c r="B319" s="51"/>
      <c r="C319" s="51"/>
      <c r="D319" s="245" t="s">
        <v>1022</v>
      </c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</row>
    <row r="320">
      <c r="A320" s="51"/>
      <c r="B320" s="51"/>
      <c r="C320" s="51"/>
      <c r="D320" s="245" t="s">
        <v>3463</v>
      </c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</row>
    <row r="321">
      <c r="A321" s="51"/>
      <c r="B321" s="51"/>
      <c r="C321" s="51"/>
      <c r="D321" s="245" t="s">
        <v>5187</v>
      </c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</row>
    <row r="322">
      <c r="A322" s="51"/>
      <c r="B322" s="51"/>
      <c r="C322" s="51"/>
      <c r="D322" s="245" t="s">
        <v>1783</v>
      </c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>
      <c r="A323" s="51"/>
      <c r="B323" s="51"/>
      <c r="C323" s="51"/>
      <c r="D323" s="245" t="s">
        <v>5188</v>
      </c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</row>
    <row r="324">
      <c r="A324" s="51"/>
      <c r="B324" s="51"/>
      <c r="C324" s="51"/>
      <c r="D324" s="245" t="s">
        <v>1039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</row>
    <row r="325">
      <c r="A325" s="51"/>
      <c r="B325" s="51"/>
      <c r="C325" s="51"/>
      <c r="D325" s="245" t="s">
        <v>1159</v>
      </c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</row>
    <row r="326">
      <c r="A326" s="51"/>
      <c r="B326" s="51"/>
      <c r="C326" s="51"/>
      <c r="D326" s="245" t="s">
        <v>5189</v>
      </c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>
      <c r="A327" s="51"/>
      <c r="B327" s="51"/>
      <c r="C327" s="51"/>
      <c r="D327" s="245" t="s">
        <v>3855</v>
      </c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</row>
    <row r="328">
      <c r="A328" s="51"/>
      <c r="B328" s="51"/>
      <c r="C328" s="51"/>
      <c r="D328" s="245" t="s">
        <v>3611</v>
      </c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</row>
    <row r="329">
      <c r="A329" s="51"/>
      <c r="B329" s="51"/>
      <c r="C329" s="51"/>
      <c r="D329" s="245" t="s">
        <v>5190</v>
      </c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</row>
    <row r="330">
      <c r="A330" s="51"/>
      <c r="B330" s="51"/>
      <c r="C330" s="51"/>
      <c r="D330" s="245" t="s">
        <v>5191</v>
      </c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>
      <c r="A331" s="51"/>
      <c r="B331" s="51"/>
      <c r="C331" s="51"/>
      <c r="D331" s="245" t="s">
        <v>4275</v>
      </c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</row>
    <row r="332">
      <c r="A332" s="51"/>
      <c r="B332" s="51"/>
      <c r="C332" s="51"/>
      <c r="D332" s="245" t="s">
        <v>660</v>
      </c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</row>
    <row r="333">
      <c r="A333" s="51"/>
      <c r="B333" s="51"/>
      <c r="C333" s="51"/>
      <c r="D333" s="245" t="s">
        <v>544</v>
      </c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</row>
    <row r="334">
      <c r="A334" s="51"/>
      <c r="B334" s="51"/>
      <c r="C334" s="51"/>
      <c r="D334" s="245" t="s">
        <v>2556</v>
      </c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>
      <c r="A335" s="51"/>
      <c r="B335" s="51"/>
      <c r="C335" s="51"/>
      <c r="D335" s="245" t="s">
        <v>473</v>
      </c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</row>
    <row r="336">
      <c r="A336" s="51"/>
      <c r="B336" s="51"/>
      <c r="C336" s="51"/>
      <c r="D336" s="245" t="s">
        <v>5192</v>
      </c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</row>
    <row r="337">
      <c r="A337" s="51"/>
      <c r="B337" s="51"/>
      <c r="C337" s="51"/>
      <c r="D337" s="245" t="s">
        <v>5193</v>
      </c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</row>
    <row r="338">
      <c r="A338" s="51"/>
      <c r="B338" s="51"/>
      <c r="C338" s="51"/>
      <c r="D338" s="245" t="s">
        <v>5194</v>
      </c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>
      <c r="A339" s="51"/>
      <c r="B339" s="51"/>
      <c r="C339" s="51"/>
      <c r="D339" s="245" t="s">
        <v>5195</v>
      </c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</row>
    <row r="340">
      <c r="A340" s="51"/>
      <c r="B340" s="51"/>
      <c r="C340" s="51"/>
      <c r="D340" s="245" t="s">
        <v>5196</v>
      </c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</row>
    <row r="341">
      <c r="A341" s="51"/>
      <c r="B341" s="51"/>
      <c r="C341" s="51"/>
      <c r="D341" s="245" t="s">
        <v>1822</v>
      </c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</row>
    <row r="342">
      <c r="A342" s="51"/>
      <c r="B342" s="51"/>
      <c r="C342" s="51"/>
      <c r="D342" s="245" t="s">
        <v>2316</v>
      </c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>
      <c r="A343" s="51"/>
      <c r="B343" s="51"/>
      <c r="C343" s="51"/>
      <c r="D343" s="245" t="s">
        <v>5197</v>
      </c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</row>
    <row r="344">
      <c r="A344" s="51"/>
      <c r="B344" s="51"/>
      <c r="C344" s="51"/>
      <c r="D344" s="245" t="s">
        <v>5198</v>
      </c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</row>
    <row r="345">
      <c r="A345" s="51"/>
      <c r="B345" s="51"/>
      <c r="C345" s="51"/>
      <c r="D345" s="245" t="s">
        <v>1790</v>
      </c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</row>
    <row r="346">
      <c r="A346" s="51"/>
      <c r="B346" s="51"/>
      <c r="C346" s="51"/>
      <c r="D346" s="245" t="s">
        <v>2640</v>
      </c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>
      <c r="A347" s="51"/>
      <c r="B347" s="51"/>
      <c r="C347" s="51"/>
      <c r="D347" s="245" t="s">
        <v>5199</v>
      </c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</row>
    <row r="348">
      <c r="A348" s="51"/>
      <c r="B348" s="51"/>
      <c r="C348" s="51"/>
      <c r="D348" s="245" t="s">
        <v>669</v>
      </c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</row>
    <row r="349">
      <c r="A349" s="51"/>
      <c r="B349" s="51"/>
      <c r="C349" s="51"/>
      <c r="D349" s="245" t="s">
        <v>1190</v>
      </c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</row>
    <row r="350">
      <c r="A350" s="51"/>
      <c r="B350" s="51"/>
      <c r="C350" s="51"/>
      <c r="D350" s="245" t="s">
        <v>1533</v>
      </c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>
      <c r="A351" s="51"/>
      <c r="B351" s="51"/>
      <c r="C351" s="51"/>
      <c r="D351" s="245" t="s">
        <v>5200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</row>
    <row r="352">
      <c r="A352" s="51"/>
      <c r="B352" s="51"/>
      <c r="C352" s="51"/>
      <c r="D352" s="245" t="s">
        <v>5201</v>
      </c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</row>
    <row r="353">
      <c r="A353" s="51"/>
      <c r="B353" s="51"/>
      <c r="C353" s="51"/>
      <c r="D353" s="245" t="s">
        <v>5202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</row>
    <row r="354">
      <c r="A354" s="51"/>
      <c r="B354" s="51"/>
      <c r="C354" s="51"/>
      <c r="D354" s="245" t="s">
        <v>5203</v>
      </c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>
      <c r="A355" s="51"/>
      <c r="B355" s="51"/>
      <c r="C355" s="51"/>
      <c r="D355" s="245" t="s">
        <v>5204</v>
      </c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</row>
    <row r="356">
      <c r="A356" s="51"/>
      <c r="B356" s="51"/>
      <c r="C356" s="51"/>
      <c r="D356" s="245" t="s">
        <v>5205</v>
      </c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</row>
    <row r="357">
      <c r="A357" s="51"/>
      <c r="B357" s="51"/>
      <c r="C357" s="51"/>
      <c r="D357" s="245" t="s">
        <v>5206</v>
      </c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</row>
    <row r="358">
      <c r="A358" s="51"/>
      <c r="B358" s="51"/>
      <c r="C358" s="51"/>
      <c r="D358" s="245" t="s">
        <v>5207</v>
      </c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>
      <c r="A359" s="51"/>
      <c r="B359" s="51"/>
      <c r="C359" s="51"/>
      <c r="D359" s="245" t="s">
        <v>1430</v>
      </c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</row>
    <row r="360">
      <c r="A360" s="51"/>
      <c r="B360" s="51"/>
      <c r="C360" s="51"/>
      <c r="D360" s="245" t="s">
        <v>5208</v>
      </c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</row>
    <row r="361">
      <c r="A361" s="51"/>
      <c r="B361" s="51"/>
      <c r="C361" s="51"/>
      <c r="D361" s="245" t="s">
        <v>1197</v>
      </c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</row>
    <row r="362">
      <c r="A362" s="51"/>
      <c r="B362" s="51"/>
      <c r="C362" s="51"/>
      <c r="D362" s="245" t="s">
        <v>2429</v>
      </c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>
      <c r="A363" s="51"/>
      <c r="B363" s="51"/>
      <c r="C363" s="51"/>
      <c r="D363" s="245" t="s">
        <v>4238</v>
      </c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</row>
    <row r="364">
      <c r="A364" s="51"/>
      <c r="B364" s="51"/>
      <c r="C364" s="51"/>
      <c r="D364" s="245" t="s">
        <v>3469</v>
      </c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</row>
    <row r="365">
      <c r="A365" s="51"/>
      <c r="B365" s="51"/>
      <c r="C365" s="51"/>
      <c r="D365" s="245" t="s">
        <v>5209</v>
      </c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</row>
    <row r="366">
      <c r="A366" s="51"/>
      <c r="B366" s="51"/>
      <c r="C366" s="51"/>
      <c r="D366" s="245" t="s">
        <v>5210</v>
      </c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>
      <c r="A367" s="51"/>
      <c r="B367" s="51"/>
      <c r="C367" s="51"/>
      <c r="D367" s="245" t="s">
        <v>955</v>
      </c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</row>
    <row r="368">
      <c r="A368" s="51"/>
      <c r="B368" s="51"/>
      <c r="C368" s="51"/>
      <c r="D368" s="245" t="s">
        <v>5211</v>
      </c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</row>
    <row r="369">
      <c r="A369" s="51"/>
      <c r="B369" s="51"/>
      <c r="C369" s="51"/>
      <c r="D369" s="245" t="s">
        <v>5212</v>
      </c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</row>
    <row r="370">
      <c r="A370" s="51"/>
      <c r="B370" s="51"/>
      <c r="C370" s="51"/>
      <c r="D370" s="245" t="s">
        <v>5213</v>
      </c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>
      <c r="A371" s="51"/>
      <c r="B371" s="51"/>
      <c r="C371" s="51"/>
      <c r="D371" s="245" t="s">
        <v>5214</v>
      </c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</row>
    <row r="372">
      <c r="A372" s="51"/>
      <c r="B372" s="51"/>
      <c r="C372" s="51"/>
      <c r="D372" s="245" t="s">
        <v>2563</v>
      </c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</row>
    <row r="373">
      <c r="A373" s="51"/>
      <c r="B373" s="51"/>
      <c r="C373" s="51"/>
      <c r="D373" s="245" t="s">
        <v>4828</v>
      </c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</row>
    <row r="374">
      <c r="A374" s="51"/>
      <c r="B374" s="51"/>
      <c r="C374" s="51"/>
      <c r="D374" s="245" t="s">
        <v>5215</v>
      </c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>
      <c r="A375" s="51"/>
      <c r="B375" s="51"/>
      <c r="C375" s="51"/>
      <c r="D375" s="245" t="s">
        <v>5216</v>
      </c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</row>
    <row r="376">
      <c r="A376" s="51"/>
      <c r="B376" s="51"/>
      <c r="C376" s="51"/>
      <c r="D376" s="245" t="s">
        <v>5217</v>
      </c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</row>
    <row r="377">
      <c r="A377" s="51"/>
      <c r="B377" s="51"/>
      <c r="C377" s="51"/>
      <c r="D377" s="245" t="s">
        <v>5218</v>
      </c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</row>
    <row r="378">
      <c r="A378" s="51"/>
      <c r="B378" s="51"/>
      <c r="C378" s="51"/>
      <c r="D378" s="245" t="s">
        <v>5219</v>
      </c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>
      <c r="A379" s="51"/>
      <c r="B379" s="51"/>
      <c r="C379" s="51"/>
      <c r="D379" s="245" t="s">
        <v>5220</v>
      </c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</row>
    <row r="380">
      <c r="A380" s="51"/>
      <c r="B380" s="51"/>
      <c r="C380" s="51"/>
      <c r="D380" s="245" t="s">
        <v>552</v>
      </c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</row>
    <row r="381">
      <c r="A381" s="51"/>
      <c r="B381" s="51"/>
      <c r="C381" s="51"/>
      <c r="D381" s="245" t="s">
        <v>889</v>
      </c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</row>
    <row r="382">
      <c r="A382" s="51"/>
      <c r="B382" s="51"/>
      <c r="C382" s="51"/>
      <c r="D382" s="245" t="s">
        <v>1548</v>
      </c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>
      <c r="A383" s="51"/>
      <c r="B383" s="51"/>
      <c r="C383" s="51"/>
      <c r="D383" s="245" t="s">
        <v>5221</v>
      </c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</row>
    <row r="384">
      <c r="A384" s="51"/>
      <c r="B384" s="51"/>
      <c r="C384" s="51"/>
      <c r="D384" s="245" t="s">
        <v>5222</v>
      </c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</row>
    <row r="385">
      <c r="A385" s="51"/>
      <c r="B385" s="51"/>
      <c r="C385" s="51"/>
      <c r="D385" s="245" t="s">
        <v>5223</v>
      </c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</row>
    <row r="386">
      <c r="A386" s="51"/>
      <c r="B386" s="51"/>
      <c r="C386" s="51"/>
      <c r="D386" s="245" t="s">
        <v>5224</v>
      </c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>
      <c r="A387" s="51"/>
      <c r="B387" s="51"/>
      <c r="C387" s="51"/>
      <c r="D387" s="245" t="s">
        <v>4976</v>
      </c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</row>
    <row r="388">
      <c r="A388" s="51"/>
      <c r="B388" s="51"/>
      <c r="C388" s="51"/>
      <c r="D388" s="245" t="s">
        <v>3870</v>
      </c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</row>
    <row r="389">
      <c r="A389" s="51"/>
      <c r="B389" s="51"/>
      <c r="C389" s="51"/>
      <c r="D389" s="245" t="s">
        <v>5225</v>
      </c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</row>
    <row r="390">
      <c r="A390" s="51"/>
      <c r="B390" s="51"/>
      <c r="C390" s="51"/>
      <c r="D390" s="245" t="s">
        <v>3886</v>
      </c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>
      <c r="A391" s="51"/>
      <c r="B391" s="51"/>
      <c r="C391" s="51"/>
      <c r="D391" s="245" t="s">
        <v>5226</v>
      </c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</row>
    <row r="392">
      <c r="A392" s="51"/>
      <c r="B392" s="51"/>
      <c r="C392" s="51"/>
      <c r="D392" s="245" t="s">
        <v>5227</v>
      </c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</row>
    <row r="393">
      <c r="A393" s="51"/>
      <c r="B393" s="51"/>
      <c r="C393" s="51"/>
      <c r="D393" s="245" t="s">
        <v>5228</v>
      </c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</row>
    <row r="394">
      <c r="A394" s="51"/>
      <c r="B394" s="51"/>
      <c r="C394" s="51"/>
      <c r="D394" s="245" t="s">
        <v>5229</v>
      </c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>
      <c r="A395" s="51"/>
      <c r="B395" s="51"/>
      <c r="C395" s="51"/>
      <c r="D395" s="245" t="s">
        <v>5230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</row>
    <row r="396">
      <c r="A396" s="51"/>
      <c r="B396" s="51"/>
      <c r="C396" s="51"/>
      <c r="D396" s="245" t="s">
        <v>4978</v>
      </c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</row>
    <row r="397">
      <c r="A397" s="51"/>
      <c r="B397" s="51"/>
      <c r="C397" s="51"/>
      <c r="D397" s="245" t="s">
        <v>5231</v>
      </c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</row>
    <row r="398">
      <c r="A398" s="51"/>
      <c r="B398" s="51"/>
      <c r="C398" s="51"/>
      <c r="D398" s="245" t="s">
        <v>3535</v>
      </c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>
      <c r="A399" s="51"/>
      <c r="B399" s="51"/>
      <c r="C399" s="51"/>
      <c r="D399" s="245" t="s">
        <v>5232</v>
      </c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</row>
    <row r="400">
      <c r="A400" s="51"/>
      <c r="B400" s="51"/>
      <c r="C400" s="51"/>
      <c r="D400" s="245" t="s">
        <v>5233</v>
      </c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</row>
    <row r="401">
      <c r="A401" s="51"/>
      <c r="B401" s="51"/>
      <c r="C401" s="51"/>
      <c r="D401" s="245" t="s">
        <v>5234</v>
      </c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</row>
    <row r="402">
      <c r="A402" s="51"/>
      <c r="B402" s="51"/>
      <c r="C402" s="51"/>
      <c r="D402" s="245" t="s">
        <v>5235</v>
      </c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>
      <c r="A403" s="51"/>
      <c r="B403" s="51"/>
      <c r="C403" s="51"/>
      <c r="D403" s="245" t="s">
        <v>5236</v>
      </c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</row>
    <row r="404">
      <c r="A404" s="51"/>
      <c r="B404" s="51"/>
      <c r="C404" s="51"/>
      <c r="D404" s="245" t="s">
        <v>5237</v>
      </c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</row>
    <row r="405">
      <c r="A405" s="51"/>
      <c r="B405" s="51"/>
      <c r="C405" s="51"/>
      <c r="D405" s="245" t="s">
        <v>2977</v>
      </c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</row>
    <row r="406">
      <c r="A406" s="51"/>
      <c r="B406" s="51"/>
      <c r="C406" s="51"/>
      <c r="D406" s="245" t="s">
        <v>5238</v>
      </c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>
      <c r="A407" s="51"/>
      <c r="B407" s="51"/>
      <c r="C407" s="51"/>
      <c r="D407" s="245" t="s">
        <v>4849</v>
      </c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</row>
    <row r="408">
      <c r="A408" s="51"/>
      <c r="B408" s="51"/>
      <c r="C408" s="51"/>
      <c r="D408" s="245" t="s">
        <v>5239</v>
      </c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</row>
    <row r="409">
      <c r="A409" s="51"/>
      <c r="B409" s="51"/>
      <c r="C409" s="51"/>
      <c r="D409" s="245" t="s">
        <v>4857</v>
      </c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</row>
    <row r="410">
      <c r="A410" s="51"/>
      <c r="B410" s="51"/>
      <c r="C410" s="51"/>
      <c r="D410" s="245" t="s">
        <v>5240</v>
      </c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>
      <c r="A411" s="51"/>
      <c r="B411" s="51"/>
      <c r="C411" s="51"/>
      <c r="D411" s="245" t="s">
        <v>5241</v>
      </c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</row>
    <row r="412">
      <c r="A412" s="51"/>
      <c r="B412" s="51"/>
      <c r="C412" s="51"/>
      <c r="D412" s="245" t="s">
        <v>5242</v>
      </c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</row>
    <row r="413">
      <c r="A413" s="51"/>
      <c r="B413" s="51"/>
      <c r="C413" s="51"/>
      <c r="D413" s="245" t="s">
        <v>2237</v>
      </c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</row>
    <row r="414">
      <c r="A414" s="51"/>
      <c r="B414" s="51"/>
      <c r="C414" s="51"/>
      <c r="D414" s="245" t="s">
        <v>5243</v>
      </c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>
      <c r="A415" s="51"/>
      <c r="B415" s="51"/>
      <c r="C415" s="51"/>
      <c r="D415" s="245" t="s">
        <v>5244</v>
      </c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</row>
    <row r="416">
      <c r="A416" s="51"/>
      <c r="B416" s="51"/>
      <c r="C416" s="51"/>
      <c r="D416" s="245" t="s">
        <v>333</v>
      </c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</row>
    <row r="417">
      <c r="A417" s="51"/>
      <c r="B417" s="51"/>
      <c r="C417" s="51"/>
      <c r="D417" s="245" t="s">
        <v>433</v>
      </c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</row>
    <row r="418">
      <c r="A418" s="51"/>
      <c r="B418" s="51"/>
      <c r="C418" s="51"/>
      <c r="D418" s="245" t="s">
        <v>462</v>
      </c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>
      <c r="A419" s="51"/>
      <c r="B419" s="51"/>
      <c r="C419" s="51"/>
      <c r="D419" s="245" t="s">
        <v>4308</v>
      </c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</row>
    <row r="420">
      <c r="A420" s="51"/>
      <c r="B420" s="51"/>
      <c r="C420" s="51"/>
      <c r="D420" s="245" t="s">
        <v>5245</v>
      </c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</row>
    <row r="421">
      <c r="A421" s="51"/>
      <c r="B421" s="51"/>
      <c r="C421" s="51"/>
      <c r="D421" s="245" t="s">
        <v>1205</v>
      </c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</row>
    <row r="422">
      <c r="A422" s="51"/>
      <c r="B422" s="51"/>
      <c r="C422" s="51"/>
      <c r="D422" s="245" t="s">
        <v>5246</v>
      </c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>
      <c r="A423" s="51"/>
      <c r="B423" s="51"/>
      <c r="C423" s="51"/>
      <c r="D423" s="245" t="s">
        <v>1438</v>
      </c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</row>
    <row r="424">
      <c r="A424" s="51"/>
      <c r="B424" s="51"/>
      <c r="C424" s="51"/>
      <c r="D424" s="245" t="s">
        <v>2521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</row>
    <row r="425">
      <c r="A425" s="51"/>
      <c r="B425" s="51"/>
      <c r="C425" s="51"/>
      <c r="D425" s="245" t="s">
        <v>5247</v>
      </c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</row>
    <row r="426">
      <c r="A426" s="51"/>
      <c r="B426" s="51"/>
      <c r="C426" s="51"/>
      <c r="D426" s="245" t="s">
        <v>3329</v>
      </c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>
      <c r="A427" s="51"/>
      <c r="B427" s="51"/>
      <c r="C427" s="51"/>
      <c r="D427" s="245" t="s">
        <v>342</v>
      </c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</row>
    <row r="428">
      <c r="A428" s="51"/>
      <c r="B428" s="51"/>
      <c r="C428" s="51"/>
      <c r="D428" s="245" t="s">
        <v>4006</v>
      </c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</row>
    <row r="429">
      <c r="A429" s="51"/>
      <c r="B429" s="51"/>
      <c r="C429" s="51"/>
      <c r="D429" s="245" t="s">
        <v>481</v>
      </c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</row>
    <row r="430">
      <c r="A430" s="51"/>
      <c r="B430" s="51"/>
      <c r="C430" s="51"/>
      <c r="D430" s="245" t="s">
        <v>5248</v>
      </c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>
      <c r="A431" s="51"/>
      <c r="B431" s="51"/>
      <c r="C431" s="51"/>
      <c r="D431" s="245" t="s">
        <v>128</v>
      </c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</row>
    <row r="432">
      <c r="A432" s="51"/>
      <c r="B432" s="51"/>
      <c r="C432" s="51"/>
      <c r="D432" s="245" t="s">
        <v>5249</v>
      </c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</row>
    <row r="433">
      <c r="A433" s="51"/>
      <c r="B433" s="51"/>
      <c r="C433" s="51"/>
      <c r="D433" s="245" t="s">
        <v>2046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</row>
    <row r="434">
      <c r="A434" s="51"/>
      <c r="B434" s="51"/>
      <c r="C434" s="51"/>
      <c r="D434" s="245" t="s">
        <v>5250</v>
      </c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>
      <c r="A435" s="51"/>
      <c r="B435" s="51"/>
      <c r="C435" s="51"/>
      <c r="D435" s="245" t="s">
        <v>5251</v>
      </c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</row>
    <row r="436">
      <c r="A436" s="51"/>
      <c r="B436" s="51"/>
      <c r="C436" s="51"/>
      <c r="D436" s="245" t="s">
        <v>5252</v>
      </c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</row>
    <row r="437">
      <c r="A437" s="51"/>
      <c r="B437" s="51"/>
      <c r="C437" s="51"/>
      <c r="D437" s="245" t="s">
        <v>4727</v>
      </c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</row>
    <row r="438">
      <c r="A438" s="51"/>
      <c r="B438" s="51"/>
      <c r="C438" s="51"/>
      <c r="D438" s="245" t="s">
        <v>5253</v>
      </c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>
      <c r="A439" s="51"/>
      <c r="B439" s="51"/>
      <c r="C439" s="51"/>
      <c r="D439" s="245" t="s">
        <v>5254</v>
      </c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</row>
    <row r="440">
      <c r="A440" s="51"/>
      <c r="B440" s="51"/>
      <c r="C440" s="51"/>
      <c r="D440" s="245" t="s">
        <v>5255</v>
      </c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</row>
    <row r="441">
      <c r="A441" s="51"/>
      <c r="B441" s="51"/>
      <c r="C441" s="51"/>
      <c r="D441" s="245" t="s">
        <v>5256</v>
      </c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</row>
    <row r="442">
      <c r="A442" s="51"/>
      <c r="B442" s="51"/>
      <c r="C442" s="51"/>
      <c r="D442" s="245" t="s">
        <v>5257</v>
      </c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>
      <c r="A443" s="51"/>
      <c r="B443" s="51"/>
      <c r="C443" s="51"/>
      <c r="D443" s="245" t="s">
        <v>5258</v>
      </c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</row>
    <row r="444">
      <c r="A444" s="51"/>
      <c r="B444" s="51"/>
      <c r="C444" s="51"/>
      <c r="D444" s="245" t="s">
        <v>5259</v>
      </c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</row>
    <row r="445">
      <c r="A445" s="51"/>
      <c r="B445" s="51"/>
      <c r="C445" s="51"/>
      <c r="D445" s="245" t="s">
        <v>5260</v>
      </c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</row>
    <row r="446">
      <c r="A446" s="51"/>
      <c r="B446" s="51"/>
      <c r="C446" s="51"/>
      <c r="D446" s="245" t="s">
        <v>5261</v>
      </c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>
      <c r="A447" s="51"/>
      <c r="B447" s="51"/>
      <c r="C447" s="51"/>
      <c r="D447" s="245" t="s">
        <v>5262</v>
      </c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</row>
    <row r="448">
      <c r="A448" s="51"/>
      <c r="B448" s="51"/>
      <c r="C448" s="51"/>
      <c r="D448" s="245" t="s">
        <v>5263</v>
      </c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</row>
    <row r="449">
      <c r="A449" s="51"/>
      <c r="B449" s="51"/>
      <c r="C449" s="51"/>
      <c r="D449" s="245" t="s">
        <v>5264</v>
      </c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</row>
    <row r="450">
      <c r="A450" s="51"/>
      <c r="B450" s="51"/>
      <c r="C450" s="51"/>
      <c r="D450" s="245" t="s">
        <v>5265</v>
      </c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>
      <c r="A451" s="51"/>
      <c r="B451" s="51"/>
      <c r="C451" s="51"/>
      <c r="D451" s="245" t="s">
        <v>5266</v>
      </c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</row>
    <row r="452">
      <c r="A452" s="51"/>
      <c r="B452" s="51"/>
      <c r="C452" s="51"/>
      <c r="D452" s="245" t="s">
        <v>897</v>
      </c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</row>
    <row r="453">
      <c r="A453" s="51"/>
      <c r="B453" s="51"/>
      <c r="C453" s="51"/>
      <c r="D453" s="245" t="s">
        <v>5267</v>
      </c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</row>
    <row r="454">
      <c r="A454" s="51"/>
      <c r="B454" s="51"/>
      <c r="C454" s="51"/>
      <c r="D454" s="245" t="s">
        <v>5268</v>
      </c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>
      <c r="A455" s="51"/>
      <c r="B455" s="51"/>
      <c r="C455" s="51"/>
      <c r="D455" s="245" t="s">
        <v>5269</v>
      </c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</row>
    <row r="456">
      <c r="A456" s="51"/>
      <c r="B456" s="51"/>
      <c r="C456" s="51"/>
      <c r="D456" s="245" t="s">
        <v>5270</v>
      </c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</row>
    <row r="457">
      <c r="A457" s="51"/>
      <c r="B457" s="51"/>
      <c r="C457" s="51"/>
      <c r="D457" s="245" t="s">
        <v>5271</v>
      </c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</row>
    <row r="458">
      <c r="A458" s="51"/>
      <c r="B458" s="51"/>
      <c r="C458" s="51"/>
      <c r="D458" s="245" t="s">
        <v>910</v>
      </c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>
      <c r="A459" s="51"/>
      <c r="B459" s="51"/>
      <c r="C459" s="51"/>
      <c r="D459" s="245" t="s">
        <v>5272</v>
      </c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</row>
    <row r="460">
      <c r="A460" s="51"/>
      <c r="B460" s="51"/>
      <c r="C460" s="51"/>
      <c r="D460" s="245" t="s">
        <v>5273</v>
      </c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</row>
    <row r="461">
      <c r="A461" s="51"/>
      <c r="B461" s="51"/>
      <c r="C461" s="51"/>
      <c r="D461" s="245" t="s">
        <v>5274</v>
      </c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</row>
    <row r="462">
      <c r="A462" s="51"/>
      <c r="B462" s="51"/>
      <c r="C462" s="51"/>
      <c r="D462" s="245" t="s">
        <v>5275</v>
      </c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>
      <c r="A463" s="51"/>
      <c r="B463" s="51"/>
      <c r="C463" s="51"/>
      <c r="D463" s="245" t="s">
        <v>5276</v>
      </c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</row>
    <row r="464">
      <c r="A464" s="51"/>
      <c r="B464" s="51"/>
      <c r="C464" s="51"/>
      <c r="D464" s="245" t="s">
        <v>2498</v>
      </c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</row>
    <row r="465">
      <c r="A465" s="51"/>
      <c r="B465" s="51"/>
      <c r="C465" s="51"/>
      <c r="D465" s="245" t="s">
        <v>5277</v>
      </c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</row>
    <row r="466">
      <c r="A466" s="51"/>
      <c r="B466" s="51"/>
      <c r="C466" s="51"/>
      <c r="D466" s="245" t="s">
        <v>5278</v>
      </c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>
      <c r="A467" s="51"/>
      <c r="B467" s="51"/>
      <c r="C467" s="51"/>
      <c r="D467" s="245" t="s">
        <v>5279</v>
      </c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</row>
    <row r="468">
      <c r="A468" s="51"/>
      <c r="B468" s="51"/>
      <c r="C468" s="51"/>
      <c r="D468" s="245" t="s">
        <v>2792</v>
      </c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</row>
    <row r="469">
      <c r="A469" s="51"/>
      <c r="B469" s="51"/>
      <c r="C469" s="51"/>
      <c r="D469" s="245" t="s">
        <v>5280</v>
      </c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</row>
    <row r="470">
      <c r="A470" s="51"/>
      <c r="B470" s="51"/>
      <c r="C470" s="51"/>
      <c r="D470" s="245" t="s">
        <v>560</v>
      </c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>
      <c r="A471" s="51"/>
      <c r="B471" s="51"/>
      <c r="C471" s="51"/>
      <c r="D471" s="245" t="s">
        <v>5281</v>
      </c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</row>
    <row r="472">
      <c r="A472" s="51"/>
      <c r="B472" s="51"/>
      <c r="C472" s="51"/>
      <c r="D472" s="245" t="s">
        <v>5282</v>
      </c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</row>
    <row r="473">
      <c r="A473" s="51"/>
      <c r="B473" s="51"/>
      <c r="C473" s="51"/>
      <c r="D473" s="245" t="s">
        <v>1799</v>
      </c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</row>
    <row r="474">
      <c r="A474" s="51"/>
      <c r="B474" s="51"/>
      <c r="C474" s="51"/>
      <c r="D474" s="245" t="s">
        <v>350</v>
      </c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>
      <c r="A475" s="51"/>
      <c r="B475" s="51"/>
      <c r="C475" s="51"/>
      <c r="D475" s="245" t="s">
        <v>5283</v>
      </c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</row>
    <row r="476">
      <c r="A476" s="51"/>
      <c r="B476" s="51"/>
      <c r="C476" s="51"/>
      <c r="D476" s="245" t="s">
        <v>1830</v>
      </c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</row>
    <row r="477">
      <c r="A477" s="51"/>
      <c r="B477" s="51"/>
      <c r="C477" s="51"/>
      <c r="D477" s="245" t="s">
        <v>5284</v>
      </c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</row>
    <row r="478">
      <c r="A478" s="51"/>
      <c r="B478" s="51"/>
      <c r="C478" s="51"/>
      <c r="D478" s="245" t="s">
        <v>1047</v>
      </c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>
      <c r="A479" s="51"/>
      <c r="B479" s="51"/>
      <c r="C479" s="51"/>
      <c r="D479" s="245" t="s">
        <v>5285</v>
      </c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</row>
    <row r="480">
      <c r="A480" s="51"/>
      <c r="B480" s="51"/>
      <c r="C480" s="51"/>
      <c r="D480" s="245" t="s">
        <v>5286</v>
      </c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</row>
    <row r="481">
      <c r="A481" s="51"/>
      <c r="B481" s="51"/>
      <c r="C481" s="51"/>
      <c r="D481" s="245" t="s">
        <v>280</v>
      </c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</row>
    <row r="482">
      <c r="A482" s="51"/>
      <c r="B482" s="51"/>
      <c r="C482" s="51"/>
      <c r="D482" s="245" t="s">
        <v>5287</v>
      </c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>
      <c r="A483" s="51"/>
      <c r="B483" s="51"/>
      <c r="C483" s="51"/>
      <c r="D483" s="245" t="s">
        <v>5288</v>
      </c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</row>
    <row r="484">
      <c r="A484" s="51"/>
      <c r="B484" s="51"/>
      <c r="C484" s="51"/>
      <c r="D484" s="245" t="s">
        <v>1651</v>
      </c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</row>
    <row r="485">
      <c r="A485" s="51"/>
      <c r="B485" s="51"/>
      <c r="C485" s="51"/>
      <c r="D485" s="245" t="s">
        <v>5289</v>
      </c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</row>
    <row r="486">
      <c r="A486" s="51"/>
      <c r="B486" s="51"/>
      <c r="C486" s="51"/>
      <c r="D486" s="245" t="s">
        <v>684</v>
      </c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>
      <c r="A487" s="51"/>
      <c r="B487" s="51"/>
      <c r="C487" s="51"/>
      <c r="D487" s="245" t="s">
        <v>5290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</row>
    <row r="488">
      <c r="A488" s="51"/>
      <c r="B488" s="51"/>
      <c r="C488" s="51"/>
      <c r="D488" s="245" t="s">
        <v>5291</v>
      </c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</row>
    <row r="489">
      <c r="A489" s="51"/>
      <c r="B489" s="51"/>
      <c r="C489" s="51"/>
      <c r="D489" s="245" t="s">
        <v>4390</v>
      </c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</row>
    <row r="490">
      <c r="A490" s="51"/>
      <c r="B490" s="51"/>
      <c r="C490" s="51"/>
      <c r="D490" s="245" t="s">
        <v>568</v>
      </c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>
      <c r="A491" s="51"/>
      <c r="B491" s="51"/>
      <c r="C491" s="51"/>
      <c r="D491" s="245" t="s">
        <v>692</v>
      </c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</row>
    <row r="492">
      <c r="A492" s="51"/>
      <c r="B492" s="51"/>
      <c r="C492" s="51"/>
      <c r="D492" s="245" t="s">
        <v>5292</v>
      </c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</row>
    <row r="493">
      <c r="A493" s="51"/>
      <c r="B493" s="51"/>
      <c r="C493" s="51"/>
      <c r="D493" s="245" t="s">
        <v>5293</v>
      </c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</row>
    <row r="494">
      <c r="A494" s="51"/>
      <c r="B494" s="51"/>
      <c r="C494" s="51"/>
      <c r="D494" s="245" t="s">
        <v>5294</v>
      </c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>
      <c r="A495" s="51"/>
      <c r="B495" s="51"/>
      <c r="C495" s="51"/>
      <c r="D495" s="245" t="s">
        <v>1166</v>
      </c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</row>
    <row r="496">
      <c r="A496" s="51"/>
      <c r="B496" s="51"/>
      <c r="C496" s="51"/>
      <c r="D496" s="245" t="s">
        <v>5295</v>
      </c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</row>
    <row r="497">
      <c r="A497" s="51"/>
      <c r="B497" s="51"/>
      <c r="C497" s="51"/>
      <c r="D497" s="245" t="s">
        <v>5296</v>
      </c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</row>
    <row r="498">
      <c r="A498" s="51"/>
      <c r="B498" s="51"/>
      <c r="C498" s="51"/>
      <c r="D498" s="245" t="s">
        <v>5297</v>
      </c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>
      <c r="A499" s="51"/>
      <c r="B499" s="51"/>
      <c r="C499" s="51"/>
      <c r="D499" s="245" t="s">
        <v>5298</v>
      </c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</row>
    <row r="500">
      <c r="A500" s="51"/>
      <c r="B500" s="51"/>
      <c r="C500" s="51"/>
      <c r="D500" s="245" t="s">
        <v>5299</v>
      </c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</row>
    <row r="501">
      <c r="A501" s="51"/>
      <c r="B501" s="51"/>
      <c r="C501" s="51"/>
      <c r="D501" s="245" t="s">
        <v>5300</v>
      </c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</row>
    <row r="502">
      <c r="A502" s="51"/>
      <c r="B502" s="51"/>
      <c r="C502" s="51"/>
      <c r="D502" s="245" t="s">
        <v>1054</v>
      </c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>
      <c r="A503" s="51"/>
      <c r="B503" s="51"/>
      <c r="C503" s="51"/>
      <c r="D503" s="245" t="s">
        <v>5301</v>
      </c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</row>
    <row r="504">
      <c r="A504" s="51"/>
      <c r="B504" s="51"/>
      <c r="C504" s="51"/>
      <c r="D504" s="245" t="s">
        <v>5302</v>
      </c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</row>
    <row r="505">
      <c r="A505" s="51"/>
      <c r="B505" s="51"/>
      <c r="C505" s="51"/>
      <c r="D505" s="245" t="s">
        <v>5303</v>
      </c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</row>
    <row r="506">
      <c r="A506" s="51"/>
      <c r="B506" s="51"/>
      <c r="C506" s="51"/>
      <c r="D506" s="245" t="s">
        <v>5304</v>
      </c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>
      <c r="A507" s="51"/>
      <c r="B507" s="51"/>
      <c r="C507" s="51"/>
      <c r="D507" s="245" t="s">
        <v>5305</v>
      </c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</row>
    <row r="508">
      <c r="A508" s="51"/>
      <c r="B508" s="51"/>
      <c r="C508" s="51"/>
      <c r="D508" s="245" t="s">
        <v>5306</v>
      </c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</row>
    <row r="509">
      <c r="A509" s="51"/>
      <c r="B509" s="51"/>
      <c r="C509" s="51"/>
      <c r="D509" s="245" t="s">
        <v>3354</v>
      </c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</row>
    <row r="510">
      <c r="A510" s="51"/>
      <c r="B510" s="51"/>
      <c r="C510" s="51"/>
      <c r="D510" s="245" t="s">
        <v>5307</v>
      </c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>
      <c r="A511" s="51"/>
      <c r="B511" s="51"/>
      <c r="C511" s="51"/>
      <c r="D511" s="245" t="s">
        <v>575</v>
      </c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</row>
    <row r="512">
      <c r="A512" s="51"/>
      <c r="B512" s="51"/>
      <c r="C512" s="51"/>
      <c r="D512" s="245" t="s">
        <v>5308</v>
      </c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</row>
    <row r="513">
      <c r="A513" s="51"/>
      <c r="B513" s="51"/>
      <c r="C513" s="51"/>
      <c r="D513" s="245" t="s">
        <v>5309</v>
      </c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</row>
    <row r="514">
      <c r="A514" s="51"/>
      <c r="B514" s="51"/>
      <c r="C514" s="51"/>
      <c r="D514" s="245" t="s">
        <v>5310</v>
      </c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>
      <c r="A515" s="51"/>
      <c r="B515" s="51"/>
      <c r="C515" s="51"/>
      <c r="D515" s="245" t="s">
        <v>5311</v>
      </c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</row>
    <row r="516">
      <c r="A516" s="51"/>
      <c r="B516" s="51"/>
      <c r="C516" s="51"/>
      <c r="D516" s="245" t="s">
        <v>3676</v>
      </c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</row>
    <row r="517">
      <c r="A517" s="51"/>
      <c r="B517" s="51"/>
      <c r="C517" s="51"/>
      <c r="D517" s="245" t="s">
        <v>5312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</row>
    <row r="518">
      <c r="A518" s="51"/>
      <c r="B518" s="51"/>
      <c r="C518" s="51"/>
      <c r="D518" s="245" t="s">
        <v>5313</v>
      </c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>
      <c r="A519" s="51"/>
      <c r="B519" s="51"/>
      <c r="C519" s="51"/>
      <c r="D519" s="245" t="s">
        <v>5314</v>
      </c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</row>
    <row r="520">
      <c r="A520" s="51"/>
      <c r="B520" s="51"/>
      <c r="C520" s="51"/>
      <c r="D520" s="245" t="s">
        <v>5315</v>
      </c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</row>
    <row r="521">
      <c r="A521" s="51"/>
      <c r="B521" s="51"/>
      <c r="C521" s="51"/>
      <c r="D521" s="245" t="s">
        <v>5316</v>
      </c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</row>
    <row r="522">
      <c r="A522" s="51"/>
      <c r="B522" s="51"/>
      <c r="C522" s="51"/>
      <c r="D522" s="245" t="s">
        <v>5317</v>
      </c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>
      <c r="A523" s="51"/>
      <c r="B523" s="51"/>
      <c r="C523" s="51"/>
      <c r="D523" s="245" t="s">
        <v>5318</v>
      </c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</row>
    <row r="524">
      <c r="A524" s="51"/>
      <c r="B524" s="51"/>
      <c r="C524" s="51"/>
      <c r="D524" s="245" t="s">
        <v>5319</v>
      </c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</row>
    <row r="525">
      <c r="A525" s="51"/>
      <c r="B525" s="51"/>
      <c r="C525" s="51"/>
      <c r="D525" s="245" t="s">
        <v>4323</v>
      </c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</row>
    <row r="526">
      <c r="A526" s="51"/>
      <c r="B526" s="51"/>
      <c r="C526" s="51"/>
      <c r="D526" s="245" t="s">
        <v>5320</v>
      </c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>
      <c r="A527" s="51"/>
      <c r="B527" s="51"/>
      <c r="C527" s="51"/>
      <c r="D527" s="245" t="s">
        <v>5321</v>
      </c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</row>
    <row r="528">
      <c r="A528" s="51"/>
      <c r="B528" s="51"/>
      <c r="C528" s="51"/>
      <c r="D528" s="245" t="s">
        <v>5322</v>
      </c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</row>
    <row r="529">
      <c r="A529" s="51"/>
      <c r="B529" s="51"/>
      <c r="C529" s="51"/>
      <c r="D529" s="245" t="s">
        <v>3946</v>
      </c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</row>
    <row r="530">
      <c r="A530" s="51"/>
      <c r="B530" s="51"/>
      <c r="C530" s="51"/>
      <c r="D530" s="245" t="s">
        <v>5323</v>
      </c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>
      <c r="A531" s="51"/>
      <c r="B531" s="51"/>
      <c r="C531" s="51"/>
      <c r="D531" s="245" t="s">
        <v>5324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</row>
    <row r="532">
      <c r="A532" s="51"/>
      <c r="B532" s="51"/>
      <c r="C532" s="51"/>
      <c r="D532" s="245" t="s">
        <v>5325</v>
      </c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</row>
    <row r="533">
      <c r="A533" s="51"/>
      <c r="B533" s="51"/>
      <c r="C533" s="51"/>
      <c r="D533" s="245" t="s">
        <v>5326</v>
      </c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</row>
    <row r="534">
      <c r="A534" s="51"/>
      <c r="B534" s="51"/>
      <c r="C534" s="51"/>
      <c r="D534" s="245" t="s">
        <v>5327</v>
      </c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>
      <c r="A535" s="51"/>
      <c r="B535" s="51"/>
      <c r="C535" s="51"/>
      <c r="D535" s="245" t="s">
        <v>2649</v>
      </c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</row>
    <row r="536">
      <c r="A536" s="51"/>
      <c r="B536" s="51"/>
      <c r="C536" s="51"/>
      <c r="D536" s="245" t="s">
        <v>2658</v>
      </c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</row>
    <row r="537">
      <c r="A537" s="51"/>
      <c r="B537" s="51"/>
      <c r="C537" s="51"/>
      <c r="D537" s="245" t="s">
        <v>1846</v>
      </c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</row>
    <row r="538">
      <c r="A538" s="51"/>
      <c r="B538" s="51"/>
      <c r="C538" s="51"/>
      <c r="D538" s="245" t="s">
        <v>3963</v>
      </c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>
      <c r="A539" s="51"/>
      <c r="B539" s="51"/>
      <c r="C539" s="51"/>
      <c r="D539" s="245" t="s">
        <v>2870</v>
      </c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</row>
    <row r="540">
      <c r="A540" s="51"/>
      <c r="B540" s="51"/>
      <c r="C540" s="51"/>
      <c r="D540" s="245" t="s">
        <v>5328</v>
      </c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</row>
    <row r="541">
      <c r="A541" s="51"/>
      <c r="B541" s="51"/>
      <c r="C541" s="51"/>
      <c r="D541" s="245" t="s">
        <v>5329</v>
      </c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</row>
    <row r="542">
      <c r="A542" s="51"/>
      <c r="B542" s="51"/>
      <c r="C542" s="51"/>
      <c r="D542" s="245" t="s">
        <v>1271</v>
      </c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>
      <c r="A543" s="51"/>
      <c r="B543" s="51"/>
      <c r="C543" s="51"/>
      <c r="D543" s="245" t="s">
        <v>5330</v>
      </c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</row>
    <row r="544">
      <c r="A544" s="51"/>
      <c r="B544" s="51"/>
      <c r="C544" s="51"/>
      <c r="D544" s="245" t="s">
        <v>5331</v>
      </c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</row>
    <row r="545">
      <c r="A545" s="51"/>
      <c r="B545" s="51"/>
      <c r="C545" s="51"/>
      <c r="D545" s="245" t="s">
        <v>359</v>
      </c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</row>
    <row r="546">
      <c r="A546" s="51"/>
      <c r="B546" s="51"/>
      <c r="C546" s="51"/>
      <c r="D546" s="245" t="s">
        <v>4125</v>
      </c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>
      <c r="A547" s="51"/>
      <c r="B547" s="51"/>
      <c r="C547" s="51"/>
      <c r="D547" s="245" t="s">
        <v>5332</v>
      </c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</row>
    <row r="548">
      <c r="A548" s="51"/>
      <c r="B548" s="51"/>
      <c r="C548" s="51"/>
      <c r="D548" s="245" t="s">
        <v>1379</v>
      </c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</row>
    <row r="549">
      <c r="A549" s="51"/>
      <c r="B549" s="51"/>
      <c r="C549" s="51"/>
      <c r="D549" s="245" t="s">
        <v>4044</v>
      </c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</row>
    <row r="550">
      <c r="A550" s="51"/>
      <c r="B550" s="51"/>
      <c r="C550" s="51"/>
      <c r="D550" s="245" t="s">
        <v>5333</v>
      </c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>
      <c r="A551" s="51"/>
      <c r="B551" s="51"/>
      <c r="C551" s="51"/>
      <c r="D551" s="245" t="s">
        <v>5334</v>
      </c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</row>
    <row r="552">
      <c r="A552" s="51"/>
      <c r="B552" s="51"/>
      <c r="C552" s="51"/>
      <c r="D552" s="245" t="s">
        <v>5335</v>
      </c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</row>
    <row r="553">
      <c r="A553" s="51"/>
      <c r="B553" s="51"/>
      <c r="C553" s="51"/>
      <c r="D553" s="245" t="s">
        <v>5336</v>
      </c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</row>
    <row r="554">
      <c r="A554" s="51"/>
      <c r="B554" s="51"/>
      <c r="C554" s="51"/>
      <c r="D554" s="245" t="s">
        <v>5337</v>
      </c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>
      <c r="A555" s="51"/>
      <c r="B555" s="51"/>
      <c r="C555" s="51"/>
      <c r="D555" s="245" t="s">
        <v>5338</v>
      </c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</row>
    <row r="556">
      <c r="A556" s="51"/>
      <c r="B556" s="51"/>
      <c r="C556" s="51"/>
      <c r="D556" s="245" t="s">
        <v>5339</v>
      </c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</row>
    <row r="557">
      <c r="A557" s="51"/>
      <c r="B557" s="51"/>
      <c r="C557" s="51"/>
      <c r="D557" s="245" t="s">
        <v>5340</v>
      </c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</row>
    <row r="558">
      <c r="A558" s="51"/>
      <c r="B558" s="51"/>
      <c r="C558" s="51"/>
      <c r="D558" s="245" t="s">
        <v>4052</v>
      </c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>
      <c r="A559" s="51"/>
      <c r="B559" s="51"/>
      <c r="C559" s="51"/>
      <c r="D559" s="245" t="s">
        <v>5341</v>
      </c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</row>
    <row r="560">
      <c r="A560" s="51"/>
      <c r="B560" s="51"/>
      <c r="C560" s="51"/>
      <c r="D560" s="245" t="s">
        <v>3815</v>
      </c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</row>
    <row r="561">
      <c r="A561" s="51"/>
      <c r="B561" s="51"/>
      <c r="C561" s="51"/>
      <c r="D561" s="245" t="s">
        <v>1713</v>
      </c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</row>
    <row r="562">
      <c r="A562" s="51"/>
      <c r="B562" s="51"/>
      <c r="C562" s="51"/>
      <c r="D562" s="245" t="s">
        <v>5342</v>
      </c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>
      <c r="A563" s="51"/>
      <c r="B563" s="51"/>
      <c r="C563" s="51"/>
      <c r="D563" s="245" t="s">
        <v>4522</v>
      </c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</row>
    <row r="564">
      <c r="A564" s="51"/>
      <c r="B564" s="51"/>
      <c r="C564" s="51"/>
      <c r="D564" s="245" t="s">
        <v>233</v>
      </c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</row>
    <row r="565">
      <c r="A565" s="51"/>
      <c r="B565" s="51"/>
      <c r="C565" s="51"/>
      <c r="D565" s="245" t="s">
        <v>2836</v>
      </c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</row>
    <row r="566">
      <c r="A566" s="51"/>
      <c r="B566" s="51"/>
      <c r="C566" s="51"/>
      <c r="D566" s="245" t="s">
        <v>5343</v>
      </c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>
      <c r="A567" s="51"/>
      <c r="B567" s="51"/>
      <c r="C567" s="51"/>
      <c r="D567" s="245" t="s">
        <v>5344</v>
      </c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</row>
    <row r="568">
      <c r="A568" s="51"/>
      <c r="B568" s="51"/>
      <c r="C568" s="51"/>
      <c r="D568" s="245" t="s">
        <v>2456</v>
      </c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</row>
    <row r="569">
      <c r="A569" s="51"/>
      <c r="B569" s="51"/>
      <c r="C569" s="51"/>
      <c r="D569" s="245" t="s">
        <v>5345</v>
      </c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</row>
    <row r="570">
      <c r="A570" s="51"/>
      <c r="B570" s="51"/>
      <c r="C570" s="51"/>
      <c r="D570" s="245" t="s">
        <v>5346</v>
      </c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>
      <c r="A571" s="51"/>
      <c r="B571" s="51"/>
      <c r="C571" s="51"/>
      <c r="D571" s="245" t="s">
        <v>785</v>
      </c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</row>
    <row r="572">
      <c r="A572" s="51"/>
      <c r="B572" s="51"/>
      <c r="C572" s="51"/>
      <c r="D572" s="245" t="s">
        <v>1352</v>
      </c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</row>
    <row r="573">
      <c r="A573" s="51"/>
      <c r="B573" s="51"/>
      <c r="C573" s="51"/>
      <c r="D573" s="245" t="s">
        <v>5347</v>
      </c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</row>
    <row r="574">
      <c r="A574" s="51"/>
      <c r="B574" s="51"/>
      <c r="C574" s="51"/>
      <c r="D574" s="245" t="s">
        <v>5348</v>
      </c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>
      <c r="A575" s="51"/>
      <c r="B575" s="51"/>
      <c r="C575" s="51"/>
      <c r="D575" s="245" t="s">
        <v>2204</v>
      </c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</row>
    <row r="576">
      <c r="A576" s="51"/>
      <c r="B576" s="51"/>
      <c r="C576" s="51"/>
      <c r="D576" s="245" t="s">
        <v>1721</v>
      </c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</row>
    <row r="577">
      <c r="A577" s="51"/>
      <c r="B577" s="51"/>
      <c r="C577" s="51"/>
      <c r="D577" s="245" t="s">
        <v>5349</v>
      </c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</row>
    <row r="578">
      <c r="A578" s="51"/>
      <c r="B578" s="51"/>
      <c r="C578" s="51"/>
      <c r="D578" s="245" t="s">
        <v>5350</v>
      </c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>
      <c r="A579" s="51"/>
      <c r="B579" s="51"/>
      <c r="C579" s="51"/>
      <c r="D579" s="245" t="s">
        <v>2148</v>
      </c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</row>
    <row r="580">
      <c r="A580" s="51"/>
      <c r="B580" s="51"/>
      <c r="C580" s="51"/>
      <c r="D580" s="245" t="s">
        <v>5351</v>
      </c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</row>
    <row r="581">
      <c r="A581" s="51"/>
      <c r="B581" s="51"/>
      <c r="C581" s="51"/>
      <c r="D581" s="245" t="s">
        <v>1880</v>
      </c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</row>
    <row r="582">
      <c r="A582" s="51"/>
      <c r="B582" s="51"/>
      <c r="C582" s="51"/>
      <c r="D582" s="245" t="s">
        <v>5352</v>
      </c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>
      <c r="A583" s="51"/>
      <c r="B583" s="51"/>
      <c r="C583" s="51"/>
      <c r="D583" s="245" t="s">
        <v>368</v>
      </c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</row>
    <row r="584">
      <c r="A584" s="51"/>
      <c r="B584" s="51"/>
      <c r="C584" s="51"/>
      <c r="D584" s="245" t="s">
        <v>5353</v>
      </c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</row>
    <row r="585">
      <c r="A585" s="51"/>
      <c r="B585" s="51"/>
      <c r="C585" s="51"/>
      <c r="D585" s="245" t="s">
        <v>2292</v>
      </c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</row>
    <row r="586">
      <c r="A586" s="51"/>
      <c r="B586" s="51"/>
      <c r="C586" s="51"/>
      <c r="D586" s="245" t="s">
        <v>5354</v>
      </c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>
      <c r="A587" s="51"/>
      <c r="B587" s="51"/>
      <c r="C587" s="51"/>
      <c r="D587" s="245" t="s">
        <v>3747</v>
      </c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</row>
    <row r="588">
      <c r="A588" s="51"/>
      <c r="B588" s="51"/>
      <c r="C588" s="51"/>
      <c r="D588" s="245" t="s">
        <v>5355</v>
      </c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</row>
    <row r="589">
      <c r="A589" s="51"/>
      <c r="B589" s="51"/>
      <c r="C589" s="51"/>
      <c r="D589" s="245" t="s">
        <v>5356</v>
      </c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</row>
    <row r="590">
      <c r="A590" s="51"/>
      <c r="B590" s="51"/>
      <c r="C590" s="51"/>
      <c r="D590" s="245" t="s">
        <v>5357</v>
      </c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>
      <c r="A591" s="51"/>
      <c r="B591" s="51"/>
      <c r="C591" s="51"/>
      <c r="D591" s="245" t="s">
        <v>5358</v>
      </c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</row>
    <row r="592">
      <c r="A592" s="51"/>
      <c r="B592" s="51"/>
      <c r="C592" s="51"/>
      <c r="D592" s="245" t="s">
        <v>4397</v>
      </c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</row>
    <row r="593">
      <c r="A593" s="51"/>
      <c r="B593" s="51"/>
      <c r="C593" s="51"/>
      <c r="D593" s="245" t="s">
        <v>4703</v>
      </c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</row>
    <row r="594">
      <c r="A594" s="51"/>
      <c r="B594" s="51"/>
      <c r="C594" s="51"/>
      <c r="D594" s="245" t="s">
        <v>5359</v>
      </c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>
      <c r="A595" s="51"/>
      <c r="B595" s="51"/>
      <c r="C595" s="51"/>
      <c r="D595" s="245" t="s">
        <v>5360</v>
      </c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</row>
    <row r="596">
      <c r="A596" s="51"/>
      <c r="B596" s="51"/>
      <c r="C596" s="51"/>
      <c r="D596" s="245" t="s">
        <v>2801</v>
      </c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</row>
    <row r="597">
      <c r="A597" s="51"/>
      <c r="B597" s="51"/>
      <c r="C597" s="51"/>
      <c r="D597" s="245" t="s">
        <v>5361</v>
      </c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</row>
    <row r="598">
      <c r="A598" s="51"/>
      <c r="B598" s="51"/>
      <c r="C598" s="51"/>
      <c r="D598" s="245" t="s">
        <v>5362</v>
      </c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>
      <c r="A599" s="51"/>
      <c r="B599" s="51"/>
      <c r="C599" s="51"/>
      <c r="D599" s="245" t="s">
        <v>5363</v>
      </c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</row>
    <row r="600">
      <c r="A600" s="51"/>
      <c r="B600" s="51"/>
      <c r="C600" s="51"/>
      <c r="D600" s="245" t="s">
        <v>5364</v>
      </c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</row>
    <row r="601">
      <c r="A601" s="51"/>
      <c r="B601" s="51"/>
      <c r="C601" s="51"/>
      <c r="D601" s="245" t="s">
        <v>5365</v>
      </c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</row>
    <row r="602">
      <c r="A602" s="51"/>
      <c r="B602" s="51"/>
      <c r="C602" s="51"/>
      <c r="D602" s="245" t="s">
        <v>5366</v>
      </c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>
      <c r="A603" s="51"/>
      <c r="B603" s="51"/>
      <c r="C603" s="51"/>
      <c r="D603" s="245" t="s">
        <v>2072</v>
      </c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</row>
    <row r="604">
      <c r="A604" s="51"/>
      <c r="B604" s="51"/>
      <c r="C604" s="51"/>
      <c r="D604" s="245" t="s">
        <v>5367</v>
      </c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</row>
    <row r="605">
      <c r="A605" s="51"/>
      <c r="B605" s="51"/>
      <c r="C605" s="51"/>
      <c r="D605" s="245" t="s">
        <v>1728</v>
      </c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</row>
    <row r="606">
      <c r="A606" s="51"/>
      <c r="B606" s="51"/>
      <c r="C606" s="51"/>
      <c r="D606" s="245" t="s">
        <v>5368</v>
      </c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>
      <c r="A607" s="51"/>
      <c r="B607" s="51"/>
      <c r="C607" s="51"/>
      <c r="D607" s="245" t="s">
        <v>4282</v>
      </c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</row>
    <row r="608">
      <c r="A608" s="51"/>
      <c r="B608" s="51"/>
      <c r="C608" s="51"/>
      <c r="D608" s="245" t="s">
        <v>2845</v>
      </c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</row>
    <row r="609">
      <c r="A609" s="51"/>
      <c r="B609" s="51"/>
      <c r="C609" s="51"/>
      <c r="D609" s="245" t="s">
        <v>5369</v>
      </c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</row>
    <row r="610">
      <c r="A610" s="51"/>
      <c r="B610" s="51"/>
      <c r="C610" s="51"/>
      <c r="D610" s="245" t="s">
        <v>440</v>
      </c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>
      <c r="A611" s="51"/>
      <c r="B611" s="51"/>
      <c r="C611" s="51"/>
      <c r="D611" s="245" t="s">
        <v>5370</v>
      </c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</row>
    <row r="612">
      <c r="A612" s="51"/>
      <c r="B612" s="51"/>
      <c r="C612" s="51"/>
      <c r="D612" s="245" t="s">
        <v>2132</v>
      </c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</row>
    <row r="613">
      <c r="A613" s="51"/>
      <c r="B613" s="51"/>
      <c r="C613" s="51"/>
      <c r="D613" s="245" t="s">
        <v>5371</v>
      </c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</row>
    <row r="614">
      <c r="A614" s="51"/>
      <c r="B614" s="51"/>
      <c r="C614" s="51"/>
      <c r="D614" s="245" t="s">
        <v>699</v>
      </c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>
      <c r="A615" s="51"/>
      <c r="B615" s="51"/>
      <c r="C615" s="51"/>
      <c r="D615" s="245" t="s">
        <v>5372</v>
      </c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</row>
    <row r="616">
      <c r="A616" s="51"/>
      <c r="B616" s="51"/>
      <c r="C616" s="51"/>
      <c r="D616" s="245" t="s">
        <v>4471</v>
      </c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</row>
    <row r="617">
      <c r="A617" s="51"/>
      <c r="B617" s="51"/>
      <c r="C617" s="51"/>
      <c r="D617" s="245" t="s">
        <v>5373</v>
      </c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</row>
    <row r="618">
      <c r="A618" s="51"/>
      <c r="B618" s="51"/>
      <c r="C618" s="51"/>
      <c r="D618" s="245" t="s">
        <v>5374</v>
      </c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>
      <c r="A619" s="51"/>
      <c r="B619" s="51"/>
      <c r="C619" s="51"/>
      <c r="D619" s="245" t="s">
        <v>2282</v>
      </c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</row>
    <row r="620">
      <c r="A620" s="51"/>
      <c r="B620" s="51"/>
      <c r="C620" s="51"/>
      <c r="D620" s="245" t="s">
        <v>5375</v>
      </c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</row>
    <row r="621">
      <c r="A621" s="51"/>
      <c r="B621" s="51"/>
      <c r="C621" s="51"/>
      <c r="D621" s="245" t="s">
        <v>2358</v>
      </c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</row>
    <row r="622">
      <c r="A622" s="51"/>
      <c r="B622" s="51"/>
      <c r="C622" s="51"/>
      <c r="D622" s="245" t="s">
        <v>5376</v>
      </c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>
      <c r="A623" s="51"/>
      <c r="B623" s="51"/>
      <c r="C623" s="51"/>
      <c r="D623" s="245" t="s">
        <v>5377</v>
      </c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</row>
    <row r="624">
      <c r="A624" s="51"/>
      <c r="B624" s="51"/>
      <c r="C624" s="51"/>
      <c r="D624" s="245" t="s">
        <v>2468</v>
      </c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</row>
    <row r="625">
      <c r="A625" s="51"/>
      <c r="B625" s="51"/>
      <c r="C625" s="51"/>
      <c r="D625" s="245" t="s">
        <v>5378</v>
      </c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</row>
    <row r="626">
      <c r="A626" s="51"/>
      <c r="B626" s="51"/>
      <c r="C626" s="51"/>
      <c r="D626" s="245" t="s">
        <v>4995</v>
      </c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>
      <c r="A627" s="51"/>
      <c r="B627" s="51"/>
      <c r="C627" s="51"/>
      <c r="D627" s="245" t="s">
        <v>5379</v>
      </c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</row>
    <row r="628">
      <c r="A628" s="51"/>
      <c r="B628" s="51"/>
      <c r="C628" s="51"/>
      <c r="D628" s="245" t="s">
        <v>5380</v>
      </c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</row>
    <row r="629">
      <c r="A629" s="51"/>
      <c r="B629" s="51"/>
      <c r="C629" s="51"/>
      <c r="D629" s="245" t="s">
        <v>5381</v>
      </c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</row>
    <row r="630">
      <c r="A630" s="51"/>
      <c r="B630" s="51"/>
      <c r="C630" s="51"/>
      <c r="D630" s="245" t="s">
        <v>2714</v>
      </c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>
      <c r="A631" s="51"/>
      <c r="B631" s="51"/>
      <c r="C631" s="51"/>
      <c r="D631" s="245" t="s">
        <v>2505</v>
      </c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</row>
    <row r="632">
      <c r="A632" s="51"/>
      <c r="B632" s="51"/>
      <c r="C632" s="51"/>
      <c r="D632" s="245" t="s">
        <v>2853</v>
      </c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</row>
    <row r="633">
      <c r="A633" s="51"/>
      <c r="B633" s="51"/>
      <c r="C633" s="51"/>
      <c r="D633" s="245" t="s">
        <v>5382</v>
      </c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</row>
    <row r="634">
      <c r="A634" s="51"/>
      <c r="B634" s="51"/>
      <c r="C634" s="51"/>
      <c r="D634" s="245" t="s">
        <v>1993</v>
      </c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>
      <c r="A635" s="51"/>
      <c r="B635" s="51"/>
      <c r="C635" s="51"/>
      <c r="D635" s="245" t="s">
        <v>1926</v>
      </c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</row>
    <row r="636">
      <c r="A636" s="51"/>
      <c r="B636" s="51"/>
      <c r="C636" s="51"/>
      <c r="D636" s="245" t="s">
        <v>3763</v>
      </c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</row>
    <row r="637">
      <c r="A637" s="51"/>
      <c r="B637" s="51"/>
      <c r="C637" s="51"/>
      <c r="D637" s="245" t="s">
        <v>197</v>
      </c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</row>
    <row r="638">
      <c r="A638" s="51"/>
      <c r="B638" s="51"/>
      <c r="C638" s="51"/>
      <c r="D638" s="245" t="s">
        <v>5383</v>
      </c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>
      <c r="A639" s="51"/>
      <c r="B639" s="51"/>
      <c r="C639" s="51"/>
      <c r="D639" s="245" t="s">
        <v>5384</v>
      </c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</row>
    <row r="640">
      <c r="A640" s="51"/>
      <c r="B640" s="51"/>
      <c r="C640" s="51"/>
      <c r="D640" s="245" t="s">
        <v>5385</v>
      </c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</row>
    <row r="641">
      <c r="A641" s="51"/>
      <c r="B641" s="51"/>
      <c r="C641" s="51"/>
      <c r="D641" s="245" t="s">
        <v>5386</v>
      </c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</row>
    <row r="642">
      <c r="A642" s="51"/>
      <c r="B642" s="51"/>
      <c r="C642" s="51"/>
      <c r="D642" s="245" t="s">
        <v>5387</v>
      </c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>
      <c r="A643" s="51"/>
      <c r="B643" s="51"/>
      <c r="C643" s="51"/>
      <c r="D643" s="245" t="s">
        <v>5388</v>
      </c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</row>
    <row r="644">
      <c r="A644" s="51"/>
      <c r="B644" s="51"/>
      <c r="C644" s="51"/>
      <c r="D644" s="245" t="s">
        <v>5389</v>
      </c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</row>
    <row r="645">
      <c r="A645" s="51"/>
      <c r="B645" s="51"/>
      <c r="C645" s="51"/>
      <c r="D645" s="245" t="s">
        <v>2394</v>
      </c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</row>
    <row r="646">
      <c r="A646" s="51"/>
      <c r="B646" s="51"/>
      <c r="C646" s="51"/>
      <c r="D646" s="245" t="s">
        <v>4019</v>
      </c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>
      <c r="A647" s="51"/>
      <c r="B647" s="51"/>
      <c r="C647" s="51"/>
      <c r="D647" s="245" t="s">
        <v>5390</v>
      </c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</row>
    <row r="648">
      <c r="A648" s="51"/>
      <c r="B648" s="51"/>
      <c r="C648" s="51"/>
      <c r="D648" s="245" t="s">
        <v>5391</v>
      </c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</row>
    <row r="649">
      <c r="A649" s="51"/>
      <c r="B649" s="51"/>
      <c r="C649" s="51"/>
      <c r="D649" s="245" t="s">
        <v>2436</v>
      </c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</row>
    <row r="650">
      <c r="A650" s="51"/>
      <c r="B650" s="51"/>
      <c r="C650" s="51"/>
      <c r="D650" s="245" t="s">
        <v>5392</v>
      </c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>
      <c r="A651" s="51"/>
      <c r="B651" s="51"/>
      <c r="C651" s="51"/>
      <c r="D651" s="245" t="s">
        <v>4782</v>
      </c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</row>
    <row r="652">
      <c r="A652" s="51"/>
      <c r="B652" s="51"/>
      <c r="C652" s="51"/>
      <c r="D652" s="245" t="s">
        <v>4766</v>
      </c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</row>
    <row r="653">
      <c r="A653" s="51"/>
      <c r="B653" s="51"/>
      <c r="C653" s="51"/>
      <c r="D653" s="245" t="s">
        <v>5393</v>
      </c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</row>
    <row r="654">
      <c r="A654" s="51"/>
      <c r="B654" s="51"/>
      <c r="C654" s="51"/>
      <c r="D654" s="245" t="s">
        <v>2991</v>
      </c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>
      <c r="A655" s="51"/>
      <c r="B655" s="51"/>
      <c r="C655" s="51"/>
      <c r="D655" s="245" t="s">
        <v>4067</v>
      </c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</row>
    <row r="656">
      <c r="A656" s="51"/>
      <c r="B656" s="51"/>
      <c r="C656" s="51"/>
      <c r="D656" s="245" t="s">
        <v>5394</v>
      </c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</row>
    <row r="657">
      <c r="A657" s="51"/>
      <c r="B657" s="51"/>
      <c r="C657" s="51"/>
      <c r="D657" s="245" t="s">
        <v>5395</v>
      </c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</row>
    <row r="658">
      <c r="A658" s="51"/>
      <c r="B658" s="51"/>
      <c r="C658" s="51"/>
      <c r="D658" s="245" t="s">
        <v>5396</v>
      </c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>
      <c r="A659" s="51"/>
      <c r="B659" s="51"/>
      <c r="C659" s="51"/>
      <c r="D659" s="245" t="s">
        <v>3043</v>
      </c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</row>
    <row r="660">
      <c r="A660" s="51"/>
      <c r="B660" s="51"/>
      <c r="C660" s="51"/>
      <c r="D660" s="245" t="s">
        <v>1807</v>
      </c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</row>
    <row r="661">
      <c r="A661" s="51"/>
      <c r="B661" s="51"/>
      <c r="C661" s="51"/>
      <c r="D661" s="245" t="s">
        <v>5397</v>
      </c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</row>
    <row r="662">
      <c r="A662" s="51"/>
      <c r="B662" s="51"/>
      <c r="C662" s="51"/>
      <c r="D662" s="245" t="s">
        <v>1556</v>
      </c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>
      <c r="A663" s="51"/>
      <c r="B663" s="51"/>
      <c r="C663" s="51"/>
      <c r="D663" s="245" t="s">
        <v>5398</v>
      </c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</row>
    <row r="664">
      <c r="A664" s="51"/>
      <c r="B664" s="51"/>
      <c r="C664" s="51"/>
      <c r="D664" s="245" t="s">
        <v>5399</v>
      </c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</row>
    <row r="665">
      <c r="A665" s="51"/>
      <c r="B665" s="51"/>
      <c r="C665" s="51"/>
      <c r="D665" s="245" t="s">
        <v>5400</v>
      </c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</row>
    <row r="666">
      <c r="A666" s="51"/>
      <c r="B666" s="51"/>
      <c r="C666" s="51"/>
      <c r="D666" s="245" t="s">
        <v>2475</v>
      </c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>
      <c r="A667" s="51"/>
      <c r="B667" s="51"/>
      <c r="C667" s="51"/>
      <c r="D667" s="245" t="s">
        <v>4614</v>
      </c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</row>
    <row r="668">
      <c r="A668" s="51"/>
      <c r="B668" s="51"/>
      <c r="C668" s="51"/>
      <c r="D668" s="245" t="s">
        <v>5401</v>
      </c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</row>
    <row r="669">
      <c r="A669" s="51"/>
      <c r="B669" s="51"/>
      <c r="C669" s="51"/>
      <c r="D669" s="245" t="s">
        <v>5402</v>
      </c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</row>
    <row r="670">
      <c r="A670" s="51"/>
      <c r="B670" s="51"/>
      <c r="C670" s="51"/>
      <c r="D670" s="245" t="s">
        <v>5403</v>
      </c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>
      <c r="A671" s="51"/>
      <c r="B671" s="51"/>
      <c r="C671" s="51"/>
      <c r="D671" s="245" t="s">
        <v>5404</v>
      </c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</row>
    <row r="672">
      <c r="A672" s="51"/>
      <c r="B672" s="51"/>
      <c r="C672" s="51"/>
      <c r="D672" s="245" t="s">
        <v>5405</v>
      </c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</row>
    <row r="673">
      <c r="A673" s="51"/>
      <c r="B673" s="51"/>
      <c r="C673" s="51"/>
      <c r="D673" s="245" t="s">
        <v>5406</v>
      </c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</row>
    <row r="674">
      <c r="A674" s="51"/>
      <c r="B674" s="51"/>
      <c r="C674" s="51"/>
      <c r="D674" s="245" t="s">
        <v>5407</v>
      </c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>
      <c r="A675" s="51"/>
      <c r="B675" s="51"/>
      <c r="C675" s="51"/>
      <c r="D675" s="245" t="s">
        <v>4530</v>
      </c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</row>
    <row r="676">
      <c r="A676" s="51"/>
      <c r="B676" s="51"/>
      <c r="C676" s="51"/>
      <c r="D676" s="245" t="s">
        <v>5408</v>
      </c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</row>
    <row r="677">
      <c r="A677" s="51"/>
      <c r="B677" s="51"/>
      <c r="C677" s="51"/>
      <c r="D677" s="245" t="s">
        <v>5409</v>
      </c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</row>
    <row r="678">
      <c r="A678" s="51"/>
      <c r="B678" s="51"/>
      <c r="C678" s="51"/>
      <c r="D678" s="245" t="s">
        <v>3521</v>
      </c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>
      <c r="A679" s="51"/>
      <c r="B679" s="51"/>
      <c r="C679" s="51"/>
      <c r="D679" s="245" t="s">
        <v>5410</v>
      </c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</row>
    <row r="680">
      <c r="A680" s="51"/>
      <c r="B680" s="51"/>
      <c r="C680" s="51"/>
      <c r="D680" s="245" t="s">
        <v>5411</v>
      </c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</row>
    <row r="681">
      <c r="A681" s="51"/>
      <c r="B681" s="51"/>
      <c r="C681" s="51"/>
      <c r="D681" s="245" t="s">
        <v>1688</v>
      </c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</row>
    <row r="682">
      <c r="A682" s="51"/>
      <c r="B682" s="51"/>
      <c r="C682" s="51"/>
      <c r="D682" s="245" t="s">
        <v>5412</v>
      </c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>
      <c r="A683" s="51"/>
      <c r="B683" s="51"/>
      <c r="C683" s="51"/>
      <c r="D683" s="245" t="s">
        <v>5413</v>
      </c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</row>
    <row r="684">
      <c r="A684" s="51"/>
      <c r="B684" s="51"/>
      <c r="C684" s="51"/>
      <c r="D684" s="245" t="s">
        <v>5414</v>
      </c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</row>
    <row r="685">
      <c r="A685" s="51"/>
      <c r="B685" s="51"/>
      <c r="C685" s="51"/>
      <c r="D685" s="245" t="s">
        <v>1280</v>
      </c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</row>
    <row r="686">
      <c r="A686" s="51"/>
      <c r="B686" s="51"/>
      <c r="C686" s="51"/>
      <c r="D686" s="245" t="s">
        <v>5415</v>
      </c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>
      <c r="A687" s="51"/>
      <c r="B687" s="51"/>
      <c r="C687" s="51"/>
      <c r="D687" s="245" t="s">
        <v>5416</v>
      </c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</row>
    <row r="688">
      <c r="A688" s="51"/>
      <c r="B688" s="51"/>
      <c r="C688" s="51"/>
      <c r="D688" s="245" t="s">
        <v>2528</v>
      </c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</row>
    <row r="689">
      <c r="A689" s="51"/>
      <c r="B689" s="51"/>
      <c r="C689" s="51"/>
      <c r="D689" s="245" t="s">
        <v>5417</v>
      </c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</row>
    <row r="690">
      <c r="A690" s="51"/>
      <c r="B690" s="51"/>
      <c r="C690" s="51"/>
      <c r="D690" s="245" t="s">
        <v>996</v>
      </c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>
      <c r="A691" s="51"/>
      <c r="B691" s="51"/>
      <c r="C691" s="51"/>
      <c r="D691" s="245" t="s">
        <v>5418</v>
      </c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</row>
    <row r="692">
      <c r="A692" s="51"/>
      <c r="B692" s="51"/>
      <c r="C692" s="51"/>
      <c r="D692" s="245" t="s">
        <v>4421</v>
      </c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</row>
    <row r="693">
      <c r="A693" s="51"/>
      <c r="B693" s="51"/>
      <c r="C693" s="51"/>
      <c r="D693" s="245" t="s">
        <v>5419</v>
      </c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</row>
    <row r="694">
      <c r="A694" s="51"/>
      <c r="B694" s="51"/>
      <c r="C694" s="51"/>
      <c r="D694" s="245" t="s">
        <v>5420</v>
      </c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>
      <c r="A695" s="51"/>
      <c r="B695" s="51"/>
      <c r="C695" s="51"/>
      <c r="D695" s="245" t="s">
        <v>5421</v>
      </c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</row>
    <row r="696">
      <c r="A696" s="51"/>
      <c r="B696" s="51"/>
      <c r="C696" s="51"/>
      <c r="D696" s="245" t="s">
        <v>3683</v>
      </c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</row>
    <row r="697">
      <c r="A697" s="51"/>
      <c r="B697" s="51"/>
      <c r="C697" s="51"/>
      <c r="D697" s="245" t="s">
        <v>5422</v>
      </c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</row>
    <row r="698">
      <c r="A698" s="51"/>
      <c r="B698" s="51"/>
      <c r="C698" s="51"/>
      <c r="D698" s="245" t="s">
        <v>5423</v>
      </c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>
      <c r="A699" s="51"/>
      <c r="B699" s="51"/>
      <c r="C699" s="51"/>
      <c r="D699" s="245" t="s">
        <v>1855</v>
      </c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</row>
    <row r="700">
      <c r="A700" s="51"/>
      <c r="B700" s="51"/>
      <c r="C700" s="51"/>
      <c r="D700" s="245" t="s">
        <v>1934</v>
      </c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</row>
    <row r="701">
      <c r="A701" s="51"/>
      <c r="B701" s="51"/>
      <c r="C701" s="51"/>
      <c r="D701" s="245" t="s">
        <v>5424</v>
      </c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</row>
    <row r="702">
      <c r="A702" s="51"/>
      <c r="B702" s="51"/>
      <c r="C702" s="51"/>
      <c r="D702" s="245" t="s">
        <v>5425</v>
      </c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>
      <c r="A703" s="51"/>
      <c r="B703" s="51"/>
      <c r="C703" s="51"/>
      <c r="D703" s="245" t="s">
        <v>5426</v>
      </c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</row>
    <row r="704">
      <c r="A704" s="51"/>
      <c r="B704" s="51"/>
      <c r="C704" s="51"/>
      <c r="D704" s="245" t="s">
        <v>5427</v>
      </c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</row>
    <row r="705">
      <c r="A705" s="51"/>
      <c r="B705" s="51"/>
      <c r="C705" s="51"/>
      <c r="D705" s="245" t="s">
        <v>3184</v>
      </c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</row>
    <row r="706">
      <c r="A706" s="51"/>
      <c r="B706" s="51"/>
      <c r="C706" s="51"/>
      <c r="D706" s="245" t="s">
        <v>2570</v>
      </c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>
      <c r="A707" s="51"/>
      <c r="B707" s="51"/>
      <c r="C707" s="51"/>
      <c r="D707" s="245" t="s">
        <v>5428</v>
      </c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</row>
    <row r="708">
      <c r="A708" s="51"/>
      <c r="B708" s="51"/>
      <c r="C708" s="51"/>
      <c r="D708" s="245" t="s">
        <v>5429</v>
      </c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</row>
    <row r="709">
      <c r="A709" s="51"/>
      <c r="B709" s="51"/>
      <c r="C709" s="51"/>
      <c r="D709" s="245" t="s">
        <v>1659</v>
      </c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</row>
    <row r="710">
      <c r="A710" s="51"/>
      <c r="B710" s="51"/>
      <c r="C710" s="51"/>
      <c r="D710" s="245" t="s">
        <v>5430</v>
      </c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>
      <c r="A711" s="51"/>
      <c r="B711" s="51"/>
      <c r="C711" s="51"/>
      <c r="D711" s="245" t="s">
        <v>5431</v>
      </c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</row>
    <row r="712">
      <c r="A712" s="51"/>
      <c r="B712" s="51"/>
      <c r="C712" s="51"/>
      <c r="D712" s="245" t="s">
        <v>5432</v>
      </c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</row>
    <row r="713">
      <c r="A713" s="51"/>
      <c r="B713" s="51"/>
      <c r="C713" s="51"/>
      <c r="D713" s="245" t="s">
        <v>961</v>
      </c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</row>
    <row r="714">
      <c r="A714" s="51"/>
      <c r="B714" s="51"/>
      <c r="C714" s="51"/>
      <c r="D714" s="245" t="s">
        <v>1445</v>
      </c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>
      <c r="A715" s="51"/>
      <c r="B715" s="51"/>
      <c r="C715" s="51"/>
      <c r="D715" s="245" t="s">
        <v>5433</v>
      </c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</row>
    <row r="716">
      <c r="A716" s="51"/>
      <c r="B716" s="51"/>
      <c r="C716" s="51"/>
      <c r="D716" s="245" t="s">
        <v>5434</v>
      </c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</row>
    <row r="717">
      <c r="A717" s="51"/>
      <c r="B717" s="51"/>
      <c r="C717" s="51"/>
      <c r="D717" s="245" t="s">
        <v>5435</v>
      </c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</row>
    <row r="718">
      <c r="A718" s="51"/>
      <c r="B718" s="51"/>
      <c r="C718" s="51"/>
      <c r="D718" s="245" t="s">
        <v>2512</v>
      </c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>
      <c r="A719" s="51"/>
      <c r="B719" s="51"/>
      <c r="C719" s="51"/>
      <c r="D719" s="245" t="s">
        <v>5436</v>
      </c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</row>
    <row r="720">
      <c r="A720" s="51"/>
      <c r="B720" s="51"/>
      <c r="C720" s="51"/>
      <c r="D720" s="245" t="s">
        <v>5437</v>
      </c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</row>
    <row r="721">
      <c r="A721" s="51"/>
      <c r="B721" s="51"/>
      <c r="C721" s="51"/>
      <c r="D721" s="245" t="s">
        <v>827</v>
      </c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</row>
    <row r="722">
      <c r="A722" s="51"/>
      <c r="B722" s="51"/>
      <c r="C722" s="51"/>
      <c r="D722" s="245" t="s">
        <v>5438</v>
      </c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>
      <c r="A723" s="51"/>
      <c r="B723" s="51"/>
      <c r="C723" s="51"/>
      <c r="D723" s="245" t="s">
        <v>2903</v>
      </c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</row>
    <row r="724">
      <c r="A724" s="51"/>
      <c r="B724" s="51"/>
      <c r="C724" s="51"/>
      <c r="D724" s="245" t="s">
        <v>5439</v>
      </c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</row>
    <row r="725">
      <c r="A725" s="51"/>
      <c r="B725" s="51"/>
      <c r="C725" s="51"/>
      <c r="D725" s="245" t="s">
        <v>757</v>
      </c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</row>
    <row r="726">
      <c r="A726" s="51"/>
      <c r="B726" s="51"/>
      <c r="C726" s="51"/>
      <c r="D726" s="245" t="s">
        <v>5440</v>
      </c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>
      <c r="A727" s="51"/>
      <c r="B727" s="51"/>
      <c r="C727" s="51"/>
      <c r="D727" s="245" t="s">
        <v>5441</v>
      </c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</row>
    <row r="728">
      <c r="A728" s="51"/>
      <c r="B728" s="51"/>
      <c r="C728" s="51"/>
      <c r="D728" s="245" t="s">
        <v>5442</v>
      </c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</row>
    <row r="729">
      <c r="A729" s="51"/>
      <c r="B729" s="51"/>
      <c r="C729" s="51"/>
      <c r="D729" s="245" t="s">
        <v>5443</v>
      </c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</row>
    <row r="730">
      <c r="A730" s="51"/>
      <c r="B730" s="51"/>
      <c r="C730" s="51"/>
      <c r="D730" s="245" t="s">
        <v>5444</v>
      </c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>
      <c r="A731" s="51"/>
      <c r="B731" s="51"/>
      <c r="C731" s="51"/>
      <c r="D731" s="245" t="s">
        <v>5445</v>
      </c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</row>
    <row r="732">
      <c r="A732" s="51"/>
      <c r="B732" s="51"/>
      <c r="C732" s="51"/>
      <c r="D732" s="245" t="s">
        <v>5446</v>
      </c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</row>
    <row r="733">
      <c r="A733" s="51"/>
      <c r="B733" s="51"/>
      <c r="C733" s="51"/>
      <c r="D733" s="245" t="s">
        <v>5447</v>
      </c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</row>
    <row r="734">
      <c r="A734" s="51"/>
      <c r="B734" s="51"/>
      <c r="C734" s="51"/>
      <c r="D734" s="245" t="s">
        <v>5448</v>
      </c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>
      <c r="A735" s="51"/>
      <c r="B735" s="51"/>
      <c r="C735" s="51"/>
      <c r="D735" s="245" t="s">
        <v>5449</v>
      </c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</row>
    <row r="736">
      <c r="A736" s="51"/>
      <c r="B736" s="51"/>
      <c r="C736" s="51"/>
      <c r="D736" s="245" t="s">
        <v>5450</v>
      </c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</row>
    <row r="737">
      <c r="A737" s="51"/>
      <c r="B737" s="51"/>
      <c r="C737" s="51"/>
      <c r="D737" s="245" t="s">
        <v>2328</v>
      </c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</row>
    <row r="738">
      <c r="A738" s="51"/>
      <c r="B738" s="51"/>
      <c r="C738" s="51"/>
      <c r="D738" s="245" t="s">
        <v>5451</v>
      </c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>
      <c r="A739" s="51"/>
      <c r="B739" s="51"/>
      <c r="C739" s="51"/>
      <c r="D739" s="245" t="s">
        <v>5452</v>
      </c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</row>
    <row r="740">
      <c r="A740" s="51"/>
      <c r="B740" s="51"/>
      <c r="C740" s="51"/>
      <c r="D740" s="245" t="s">
        <v>5453</v>
      </c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</row>
    <row r="741">
      <c r="A741" s="51"/>
      <c r="B741" s="51"/>
      <c r="C741" s="51"/>
      <c r="D741" s="245" t="s">
        <v>5454</v>
      </c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</row>
    <row r="742">
      <c r="A742" s="51"/>
      <c r="B742" s="51"/>
      <c r="C742" s="51"/>
      <c r="D742" s="245" t="s">
        <v>2379</v>
      </c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>
      <c r="A743" s="51"/>
      <c r="B743" s="51"/>
      <c r="C743" s="51"/>
      <c r="D743" s="245" t="s">
        <v>5455</v>
      </c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</row>
    <row r="744">
      <c r="A744" s="51"/>
      <c r="B744" s="51"/>
      <c r="C744" s="51"/>
      <c r="D744" s="245" t="s">
        <v>5456</v>
      </c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</row>
    <row r="745">
      <c r="A745" s="51"/>
      <c r="B745" s="51"/>
      <c r="C745" s="51"/>
      <c r="D745" s="245" t="s">
        <v>2727</v>
      </c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</row>
    <row r="746">
      <c r="A746" s="51"/>
      <c r="B746" s="51"/>
      <c r="C746" s="51"/>
      <c r="D746" s="245" t="s">
        <v>5457</v>
      </c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>
      <c r="A747" s="51"/>
      <c r="B747" s="51"/>
      <c r="C747" s="51"/>
      <c r="D747" s="245" t="s">
        <v>5458</v>
      </c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</row>
    <row r="748">
      <c r="A748" s="51"/>
      <c r="B748" s="51"/>
      <c r="C748" s="51"/>
      <c r="D748" s="245" t="s">
        <v>5459</v>
      </c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</row>
    <row r="749">
      <c r="A749" s="51"/>
      <c r="B749" s="51"/>
      <c r="C749" s="51"/>
      <c r="D749" s="245" t="s">
        <v>5460</v>
      </c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</row>
    <row r="750">
      <c r="A750" s="51"/>
      <c r="B750" s="51"/>
      <c r="C750" s="51"/>
      <c r="D750" s="245" t="s">
        <v>5461</v>
      </c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>
      <c r="A751" s="51"/>
      <c r="B751" s="51"/>
      <c r="C751" s="51"/>
      <c r="D751" s="245" t="s">
        <v>5462</v>
      </c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</row>
    <row r="752">
      <c r="A752" s="51"/>
      <c r="B752" s="51"/>
      <c r="C752" s="51"/>
      <c r="D752" s="245" t="s">
        <v>5463</v>
      </c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</row>
    <row r="753">
      <c r="A753" s="51"/>
      <c r="B753" s="51"/>
      <c r="C753" s="51"/>
      <c r="D753" s="245" t="s">
        <v>4246</v>
      </c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</row>
    <row r="754">
      <c r="A754" s="51"/>
      <c r="B754" s="51"/>
      <c r="C754" s="51"/>
      <c r="D754" s="245" t="s">
        <v>5464</v>
      </c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>
      <c r="A755" s="51"/>
      <c r="B755" s="51"/>
      <c r="C755" s="51"/>
      <c r="D755" s="245" t="s">
        <v>5465</v>
      </c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</row>
    <row r="756">
      <c r="A756" s="51"/>
      <c r="B756" s="51"/>
      <c r="C756" s="51"/>
      <c r="D756" s="245" t="s">
        <v>1288</v>
      </c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</row>
    <row r="757">
      <c r="A757" s="51"/>
      <c r="B757" s="51"/>
      <c r="C757" s="51"/>
      <c r="D757" s="245" t="s">
        <v>5466</v>
      </c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</row>
    <row r="758">
      <c r="A758" s="51"/>
      <c r="B758" s="51"/>
      <c r="C758" s="51"/>
      <c r="D758" s="245" t="s">
        <v>5467</v>
      </c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>
      <c r="A759" s="51"/>
      <c r="B759" s="51"/>
      <c r="C759" s="51"/>
      <c r="D759" s="245" t="s">
        <v>5468</v>
      </c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</row>
    <row r="760">
      <c r="A760" s="51"/>
      <c r="B760" s="51"/>
      <c r="C760" s="51"/>
      <c r="D760" s="245" t="s">
        <v>5469</v>
      </c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</row>
    <row r="761">
      <c r="A761" s="51"/>
      <c r="B761" s="51"/>
      <c r="C761" s="51"/>
      <c r="D761" s="245" t="s">
        <v>5470</v>
      </c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</row>
    <row r="762">
      <c r="A762" s="51"/>
      <c r="B762" s="51"/>
      <c r="C762" s="51"/>
      <c r="D762" s="245" t="s">
        <v>3439</v>
      </c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>
      <c r="A763" s="51"/>
      <c r="B763" s="51"/>
      <c r="C763" s="51"/>
      <c r="D763" s="245" t="s">
        <v>84</v>
      </c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</row>
    <row r="764">
      <c r="A764" s="51"/>
      <c r="B764" s="51"/>
      <c r="C764" s="51"/>
      <c r="D764" s="245" t="s">
        <v>5471</v>
      </c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</row>
    <row r="765">
      <c r="A765" s="51"/>
      <c r="B765" s="51"/>
      <c r="C765" s="51"/>
      <c r="D765" s="245" t="s">
        <v>5472</v>
      </c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</row>
    <row r="766">
      <c r="A766" s="51"/>
      <c r="B766" s="51"/>
      <c r="C766" s="51"/>
      <c r="D766" s="245" t="s">
        <v>5473</v>
      </c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>
      <c r="A767" s="51"/>
      <c r="B767" s="51"/>
      <c r="C767" s="51"/>
      <c r="D767" s="245" t="s">
        <v>4427</v>
      </c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</row>
    <row r="768">
      <c r="A768" s="51"/>
      <c r="B768" s="51"/>
      <c r="C768" s="51"/>
      <c r="D768" s="245" t="s">
        <v>316</v>
      </c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</row>
    <row r="769">
      <c r="A769" s="51"/>
      <c r="B769" s="51"/>
      <c r="C769" s="51"/>
      <c r="D769" s="245" t="s">
        <v>5474</v>
      </c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</row>
    <row r="770">
      <c r="A770" s="51"/>
      <c r="B770" s="51"/>
      <c r="C770" s="51"/>
      <c r="D770" s="245" t="s">
        <v>5475</v>
      </c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>
      <c r="A771" s="51"/>
      <c r="B771" s="51"/>
      <c r="C771" s="51"/>
      <c r="D771" s="245" t="s">
        <v>5476</v>
      </c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</row>
    <row r="772">
      <c r="A772" s="51"/>
      <c r="B772" s="51"/>
      <c r="C772" s="51"/>
      <c r="D772" s="245" t="s">
        <v>5477</v>
      </c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</row>
    <row r="773">
      <c r="A773" s="51"/>
      <c r="B773" s="51"/>
      <c r="C773" s="51"/>
      <c r="D773" s="245" t="s">
        <v>2001</v>
      </c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</row>
    <row r="774">
      <c r="A774" s="51"/>
      <c r="B774" s="51"/>
      <c r="C774" s="51"/>
      <c r="D774" s="245" t="s">
        <v>5478</v>
      </c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>
      <c r="A775" s="51"/>
      <c r="B775" s="51"/>
      <c r="C775" s="51"/>
      <c r="D775" s="245" t="s">
        <v>5479</v>
      </c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</row>
    <row r="776">
      <c r="A776" s="51"/>
      <c r="B776" s="51"/>
      <c r="C776" s="51"/>
      <c r="D776" s="245" t="s">
        <v>5480</v>
      </c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</row>
    <row r="777">
      <c r="A777" s="51"/>
      <c r="B777" s="51"/>
      <c r="C777" s="51"/>
      <c r="D777" s="245" t="s">
        <v>2538</v>
      </c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</row>
    <row r="778">
      <c r="A778" s="51"/>
      <c r="B778" s="51"/>
      <c r="C778" s="51"/>
      <c r="D778" s="245" t="s">
        <v>2386</v>
      </c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>
      <c r="A779" s="51"/>
      <c r="B779" s="51"/>
      <c r="C779" s="51"/>
      <c r="D779" s="245" t="s">
        <v>5481</v>
      </c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</row>
    <row r="780">
      <c r="A780" s="51"/>
      <c r="B780" s="51"/>
      <c r="C780" s="51"/>
      <c r="D780" s="245" t="s">
        <v>5482</v>
      </c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</row>
    <row r="781">
      <c r="A781" s="51"/>
      <c r="B781" s="51"/>
      <c r="C781" s="51"/>
      <c r="D781" s="245" t="s">
        <v>5483</v>
      </c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</row>
    <row r="782">
      <c r="A782" s="51"/>
      <c r="B782" s="51"/>
      <c r="C782" s="51"/>
      <c r="D782" s="245" t="s">
        <v>5484</v>
      </c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>
      <c r="A783" s="51"/>
      <c r="B783" s="51"/>
      <c r="C783" s="51"/>
      <c r="D783" s="245" t="s">
        <v>4791</v>
      </c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</row>
    <row r="784">
      <c r="A784" s="51"/>
      <c r="B784" s="51"/>
      <c r="C784" s="51"/>
      <c r="D784" s="245" t="s">
        <v>5485</v>
      </c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</row>
    <row r="785">
      <c r="A785" s="51"/>
      <c r="B785" s="51"/>
      <c r="C785" s="51"/>
      <c r="D785" s="245" t="s">
        <v>1571</v>
      </c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</row>
    <row r="786">
      <c r="A786" s="51"/>
      <c r="B786" s="51"/>
      <c r="C786" s="51"/>
      <c r="D786" s="245" t="s">
        <v>4337</v>
      </c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>
      <c r="A787" s="51"/>
      <c r="B787" s="51"/>
      <c r="C787" s="51"/>
      <c r="D787" s="245" t="s">
        <v>2054</v>
      </c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</row>
    <row r="788">
      <c r="A788" s="51"/>
      <c r="B788" s="51"/>
      <c r="C788" s="51"/>
      <c r="D788" s="245" t="s">
        <v>5486</v>
      </c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</row>
    <row r="789">
      <c r="A789" s="51"/>
      <c r="B789" s="51"/>
      <c r="C789" s="51"/>
      <c r="D789" s="245" t="s">
        <v>205</v>
      </c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</row>
    <row r="790">
      <c r="A790" s="51"/>
      <c r="B790" s="51"/>
      <c r="C790" s="51"/>
      <c r="D790" s="245" t="s">
        <v>1295</v>
      </c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>
      <c r="A791" s="51"/>
      <c r="B791" s="51"/>
      <c r="C791" s="51"/>
      <c r="D791" s="245" t="s">
        <v>4074</v>
      </c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</row>
    <row r="792">
      <c r="A792" s="51"/>
      <c r="B792" s="51"/>
      <c r="C792" s="51"/>
      <c r="D792" s="245" t="s">
        <v>5487</v>
      </c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</row>
    <row r="793">
      <c r="A793" s="51"/>
      <c r="B793" s="51"/>
      <c r="C793" s="51"/>
      <c r="D793" s="245" t="s">
        <v>5488</v>
      </c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</row>
    <row r="794">
      <c r="A794" s="51"/>
      <c r="B794" s="51"/>
      <c r="C794" s="51"/>
      <c r="D794" s="245" t="s">
        <v>2545</v>
      </c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>
      <c r="A795" s="51"/>
      <c r="B795" s="51"/>
      <c r="C795" s="51"/>
      <c r="D795" s="245" t="s">
        <v>5489</v>
      </c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</row>
    <row r="796">
      <c r="A796" s="51"/>
      <c r="B796" s="51"/>
      <c r="C796" s="51"/>
      <c r="D796" s="245" t="s">
        <v>5490</v>
      </c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</row>
    <row r="797">
      <c r="A797" s="51"/>
      <c r="B797" s="51"/>
      <c r="C797" s="51"/>
      <c r="D797" s="245" t="s">
        <v>4366</v>
      </c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</row>
    <row r="798">
      <c r="A798" s="51"/>
      <c r="B798" s="51"/>
      <c r="C798" s="51"/>
      <c r="D798" s="245" t="s">
        <v>2081</v>
      </c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>
      <c r="A799" s="51"/>
      <c r="B799" s="51"/>
      <c r="C799" s="51"/>
      <c r="D799" s="245" t="s">
        <v>5491</v>
      </c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</row>
    <row r="800">
      <c r="A800" s="51"/>
      <c r="B800" s="51"/>
      <c r="C800" s="51"/>
      <c r="D800" s="245" t="s">
        <v>519</v>
      </c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</row>
    <row r="801">
      <c r="A801" s="51"/>
      <c r="B801" s="51"/>
      <c r="C801" s="51"/>
      <c r="D801" s="245" t="s">
        <v>5492</v>
      </c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</row>
    <row r="802">
      <c r="A802" s="51"/>
      <c r="B802" s="51"/>
      <c r="C802" s="51"/>
      <c r="D802" s="245" t="s">
        <v>5493</v>
      </c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>
      <c r="A803" s="51"/>
      <c r="B803" s="51"/>
      <c r="C803" s="51"/>
      <c r="D803" s="245" t="s">
        <v>5494</v>
      </c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</row>
    <row r="804">
      <c r="A804" s="51"/>
      <c r="B804" s="51"/>
      <c r="C804" s="51"/>
      <c r="D804" s="245" t="s">
        <v>5495</v>
      </c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</row>
    <row r="805">
      <c r="A805" s="51"/>
      <c r="B805" s="51"/>
      <c r="C805" s="51"/>
      <c r="D805" s="245" t="s">
        <v>5496</v>
      </c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</row>
    <row r="806">
      <c r="A806" s="51"/>
      <c r="B806" s="51"/>
      <c r="C806" s="51"/>
      <c r="D806" s="245" t="s">
        <v>5497</v>
      </c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>
      <c r="A807" s="51"/>
      <c r="B807" s="51"/>
      <c r="C807" s="51"/>
      <c r="D807" s="245" t="s">
        <v>5498</v>
      </c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</row>
    <row r="808">
      <c r="A808" s="51"/>
      <c r="B808" s="51"/>
      <c r="C808" s="51"/>
      <c r="D808" s="245" t="s">
        <v>5499</v>
      </c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</row>
    <row r="809">
      <c r="A809" s="51"/>
      <c r="B809" s="51"/>
      <c r="C809" s="51"/>
      <c r="D809" s="245" t="s">
        <v>3194</v>
      </c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</row>
    <row r="810">
      <c r="A810" s="51"/>
      <c r="B810" s="51"/>
      <c r="C810" s="51"/>
      <c r="D810" s="245" t="s">
        <v>5500</v>
      </c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>
      <c r="A811" s="51"/>
      <c r="B811" s="51"/>
      <c r="C811" s="51"/>
      <c r="D811" s="245" t="s">
        <v>2335</v>
      </c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</row>
    <row r="812">
      <c r="A812" s="51"/>
      <c r="B812" s="51"/>
      <c r="C812" s="51"/>
      <c r="D812" s="245" t="s">
        <v>5501</v>
      </c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</row>
    <row r="813">
      <c r="A813" s="51"/>
      <c r="B813" s="51"/>
      <c r="C813" s="51"/>
      <c r="D813" s="245" t="s">
        <v>1213</v>
      </c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</row>
    <row r="814">
      <c r="A814" s="51"/>
      <c r="B814" s="51"/>
      <c r="C814" s="51"/>
      <c r="D814" s="245" t="s">
        <v>3902</v>
      </c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>
      <c r="A815" s="51"/>
      <c r="B815" s="51"/>
      <c r="C815" s="51"/>
      <c r="D815" s="245" t="s">
        <v>5502</v>
      </c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</row>
    <row r="816">
      <c r="A816" s="51"/>
      <c r="B816" s="51"/>
      <c r="C816" s="51"/>
      <c r="D816" s="245" t="s">
        <v>3203</v>
      </c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</row>
    <row r="817">
      <c r="A817" s="51"/>
      <c r="B817" s="51"/>
      <c r="C817" s="51"/>
      <c r="D817" s="245" t="s">
        <v>5503</v>
      </c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</row>
    <row r="818">
      <c r="A818" s="51"/>
      <c r="B818" s="51"/>
      <c r="C818" s="51"/>
      <c r="D818" s="245" t="s">
        <v>2585</v>
      </c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>
      <c r="A819" s="51"/>
      <c r="B819" s="51"/>
      <c r="C819" s="51"/>
      <c r="D819" s="245" t="s">
        <v>1005</v>
      </c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</row>
    <row r="820">
      <c r="A820" s="51"/>
      <c r="B820" s="51"/>
      <c r="C820" s="51"/>
      <c r="D820" s="245" t="s">
        <v>5504</v>
      </c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</row>
    <row r="821">
      <c r="A821" s="51"/>
      <c r="B821" s="51"/>
      <c r="C821" s="51"/>
      <c r="D821" s="245" t="s">
        <v>4736</v>
      </c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</row>
    <row r="822">
      <c r="A822" s="51"/>
      <c r="B822" s="51"/>
      <c r="C822" s="51"/>
      <c r="D822" s="245" t="s">
        <v>4081</v>
      </c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>
      <c r="A823" s="51"/>
      <c r="B823" s="51"/>
      <c r="C823" s="51"/>
      <c r="D823" s="245" t="s">
        <v>5505</v>
      </c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</row>
    <row r="824">
      <c r="A824" s="51"/>
      <c r="B824" s="51"/>
      <c r="C824" s="51"/>
      <c r="D824" s="245" t="s">
        <v>5506</v>
      </c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</row>
    <row r="825">
      <c r="A825" s="51"/>
      <c r="B825" s="51"/>
      <c r="C825" s="51"/>
      <c r="D825" s="245" t="s">
        <v>1943</v>
      </c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</row>
    <row r="826">
      <c r="A826" s="51"/>
      <c r="B826" s="51"/>
      <c r="C826" s="51"/>
      <c r="D826" s="245" t="s">
        <v>5507</v>
      </c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>
      <c r="A827" s="51"/>
      <c r="B827" s="51"/>
      <c r="C827" s="51"/>
      <c r="D827" s="245" t="s">
        <v>5508</v>
      </c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</row>
    <row r="828">
      <c r="A828" s="51"/>
      <c r="B828" s="51"/>
      <c r="C828" s="51"/>
      <c r="D828" s="245" t="s">
        <v>2999</v>
      </c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</row>
    <row r="829">
      <c r="A829" s="51"/>
      <c r="B829" s="51"/>
      <c r="C829" s="51"/>
      <c r="D829" s="245" t="s">
        <v>5509</v>
      </c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</row>
    <row r="830">
      <c r="A830" s="51"/>
      <c r="B830" s="51"/>
      <c r="C830" s="51"/>
      <c r="D830" s="245" t="s">
        <v>706</v>
      </c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>
      <c r="A831" s="51"/>
      <c r="B831" s="51"/>
      <c r="C831" s="51"/>
      <c r="D831" s="245" t="s">
        <v>5510</v>
      </c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</row>
    <row r="832">
      <c r="A832" s="51"/>
      <c r="B832" s="51"/>
      <c r="C832" s="51"/>
      <c r="D832" s="245" t="s">
        <v>2089</v>
      </c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</row>
    <row r="833">
      <c r="A833" s="51"/>
      <c r="B833" s="51"/>
      <c r="C833" s="51"/>
      <c r="D833" s="245" t="s">
        <v>5511</v>
      </c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</row>
    <row r="834">
      <c r="A834" s="51"/>
      <c r="B834" s="51"/>
      <c r="C834" s="51"/>
      <c r="D834" s="245" t="s">
        <v>2959</v>
      </c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>
      <c r="A835" s="51"/>
      <c r="B835" s="51"/>
      <c r="C835" s="51"/>
      <c r="D835" s="245" t="s">
        <v>144</v>
      </c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</row>
    <row r="836">
      <c r="A836" s="51"/>
      <c r="B836" s="51"/>
      <c r="C836" s="51"/>
      <c r="D836" s="245" t="s">
        <v>5512</v>
      </c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</row>
    <row r="837">
      <c r="A837" s="51"/>
      <c r="B837" s="51"/>
      <c r="C837" s="51"/>
      <c r="D837" s="245" t="s">
        <v>5513</v>
      </c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</row>
    <row r="838">
      <c r="A838" s="51"/>
      <c r="B838" s="51"/>
      <c r="C838" s="51"/>
      <c r="D838" s="245" t="s">
        <v>490</v>
      </c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>
      <c r="A839" s="51"/>
      <c r="B839" s="51"/>
      <c r="C839" s="51"/>
      <c r="D839" s="245" t="s">
        <v>1453</v>
      </c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</row>
    <row r="840">
      <c r="A840" s="51"/>
      <c r="B840" s="51"/>
      <c r="C840" s="51"/>
      <c r="D840" s="245" t="s">
        <v>5514</v>
      </c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</row>
    <row r="841">
      <c r="A841" s="51"/>
      <c r="B841" s="51"/>
      <c r="C841" s="51"/>
      <c r="D841" s="245" t="s">
        <v>4628</v>
      </c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</row>
    <row r="842">
      <c r="A842" s="51"/>
      <c r="B842" s="51"/>
      <c r="C842" s="51"/>
      <c r="D842" s="245" t="s">
        <v>5515</v>
      </c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>
      <c r="A843" s="51"/>
      <c r="B843" s="51"/>
      <c r="C843" s="51"/>
      <c r="D843" s="245" t="s">
        <v>5516</v>
      </c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</row>
    <row r="844">
      <c r="A844" s="51"/>
      <c r="B844" s="51"/>
      <c r="C844" s="51"/>
      <c r="D844" s="245" t="s">
        <v>5517</v>
      </c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</row>
    <row r="845">
      <c r="A845" s="51"/>
      <c r="B845" s="51"/>
      <c r="C845" s="51"/>
      <c r="D845" s="245" t="s">
        <v>5518</v>
      </c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</row>
    <row r="846">
      <c r="A846" s="51"/>
      <c r="B846" s="51"/>
      <c r="C846" s="51"/>
      <c r="D846" s="245" t="s">
        <v>5519</v>
      </c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>
      <c r="A847" s="51"/>
      <c r="B847" s="51"/>
      <c r="C847" s="51"/>
      <c r="D847" s="245" t="s">
        <v>5520</v>
      </c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</row>
    <row r="848">
      <c r="A848" s="51"/>
      <c r="B848" s="51"/>
      <c r="C848" s="51"/>
      <c r="D848" s="245" t="s">
        <v>5521</v>
      </c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</row>
    <row r="849">
      <c r="A849" s="51"/>
      <c r="B849" s="51"/>
      <c r="C849" s="51"/>
      <c r="D849" s="245" t="s">
        <v>5522</v>
      </c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</row>
    <row r="850">
      <c r="A850" s="51"/>
      <c r="B850" s="51"/>
      <c r="C850" s="51"/>
      <c r="D850" s="245" t="s">
        <v>5523</v>
      </c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>
      <c r="A851" s="51"/>
      <c r="B851" s="51"/>
      <c r="C851" s="51"/>
      <c r="D851" s="245" t="s">
        <v>5524</v>
      </c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</row>
    <row r="852">
      <c r="A852" s="51"/>
      <c r="B852" s="51"/>
      <c r="C852" s="51"/>
      <c r="D852" s="245" t="s">
        <v>5525</v>
      </c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</row>
    <row r="853">
      <c r="A853" s="51"/>
      <c r="B853" s="51"/>
      <c r="C853" s="51"/>
      <c r="D853" s="245" t="s">
        <v>4435</v>
      </c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</row>
    <row r="854">
      <c r="A854" s="51"/>
      <c r="B854" s="51"/>
      <c r="C854" s="51"/>
      <c r="D854" s="245" t="s">
        <v>1735</v>
      </c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>
      <c r="A855" s="51"/>
      <c r="B855" s="51"/>
      <c r="C855" s="51"/>
      <c r="D855" s="245" t="s">
        <v>5526</v>
      </c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</row>
    <row r="856">
      <c r="A856" s="51"/>
      <c r="B856" s="51"/>
      <c r="C856" s="51"/>
      <c r="D856" s="245" t="s">
        <v>5527</v>
      </c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</row>
    <row r="857">
      <c r="A857" s="51"/>
      <c r="B857" s="51"/>
      <c r="C857" s="51"/>
      <c r="D857" s="245" t="s">
        <v>5528</v>
      </c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</row>
    <row r="858">
      <c r="A858" s="51"/>
      <c r="B858" s="51"/>
      <c r="C858" s="51"/>
      <c r="D858" s="245" t="s">
        <v>1242</v>
      </c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>
      <c r="A859" s="51"/>
      <c r="B859" s="51"/>
      <c r="C859" s="51"/>
      <c r="D859" s="245" t="s">
        <v>5529</v>
      </c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</row>
    <row r="860">
      <c r="A860" s="51"/>
      <c r="B860" s="51"/>
      <c r="C860" s="51"/>
      <c r="D860" s="245" t="s">
        <v>5530</v>
      </c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</row>
    <row r="861">
      <c r="A861" s="51"/>
      <c r="B861" s="51"/>
      <c r="C861" s="51"/>
      <c r="D861" s="245" t="s">
        <v>5531</v>
      </c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</row>
    <row r="862">
      <c r="A862" s="51"/>
      <c r="B862" s="51"/>
      <c r="C862" s="51"/>
      <c r="D862" s="245" t="s">
        <v>2267</v>
      </c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>
      <c r="A863" s="51"/>
      <c r="B863" s="51"/>
      <c r="C863" s="51"/>
      <c r="D863" s="245" t="s">
        <v>5532</v>
      </c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</row>
    <row r="864">
      <c r="A864" s="51"/>
      <c r="B864" s="51"/>
      <c r="C864" s="51"/>
      <c r="D864" s="245" t="s">
        <v>5533</v>
      </c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</row>
    <row r="865">
      <c r="A865" s="51"/>
      <c r="B865" s="51"/>
      <c r="C865" s="51"/>
      <c r="D865" s="245" t="s">
        <v>5534</v>
      </c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</row>
    <row r="866">
      <c r="A866" s="51"/>
      <c r="B866" s="51"/>
      <c r="C866" s="51"/>
      <c r="D866" s="245" t="s">
        <v>5535</v>
      </c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>
      <c r="A867" s="51"/>
      <c r="B867" s="51"/>
      <c r="C867" s="51"/>
      <c r="D867" s="245" t="s">
        <v>2879</v>
      </c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</row>
    <row r="868">
      <c r="A868" s="51"/>
      <c r="B868" s="51"/>
      <c r="C868" s="51"/>
      <c r="D868" s="245" t="s">
        <v>5536</v>
      </c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</row>
    <row r="869">
      <c r="A869" s="51"/>
      <c r="B869" s="51"/>
      <c r="C869" s="51"/>
      <c r="D869" s="245" t="s">
        <v>2219</v>
      </c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</row>
    <row r="870">
      <c r="A870" s="51"/>
      <c r="B870" s="51"/>
      <c r="C870" s="51"/>
      <c r="D870" s="245" t="s">
        <v>5537</v>
      </c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>
      <c r="A871" s="51"/>
      <c r="B871" s="51"/>
      <c r="C871" s="51"/>
      <c r="D871" s="245" t="s">
        <v>5538</v>
      </c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</row>
    <row r="872">
      <c r="A872" s="51"/>
      <c r="B872" s="51"/>
      <c r="C872" s="51"/>
      <c r="D872" s="245" t="s">
        <v>5539</v>
      </c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</row>
    <row r="873">
      <c r="A873" s="51"/>
      <c r="B873" s="51"/>
      <c r="C873" s="51"/>
      <c r="D873" s="245" t="s">
        <v>5540</v>
      </c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</row>
    <row r="874">
      <c r="A874" s="51"/>
      <c r="B874" s="51"/>
      <c r="C874" s="51"/>
      <c r="D874" s="245" t="s">
        <v>526</v>
      </c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>
      <c r="A875" s="51"/>
      <c r="B875" s="51"/>
      <c r="C875" s="51"/>
      <c r="D875" s="245" t="s">
        <v>5541</v>
      </c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</row>
    <row r="876">
      <c r="A876" s="51"/>
      <c r="B876" s="51"/>
      <c r="C876" s="51"/>
      <c r="D876" s="245" t="s">
        <v>5542</v>
      </c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</row>
    <row r="877">
      <c r="A877" s="51"/>
      <c r="B877" s="51"/>
      <c r="C877" s="51"/>
      <c r="D877" s="245" t="s">
        <v>4442</v>
      </c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</row>
    <row r="878">
      <c r="A878" s="51"/>
      <c r="B878" s="51"/>
      <c r="C878" s="51"/>
      <c r="D878" s="245" t="s">
        <v>3799</v>
      </c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>
      <c r="A879" s="51"/>
      <c r="B879" s="51"/>
      <c r="C879" s="51"/>
      <c r="D879" s="245" t="s">
        <v>5543</v>
      </c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</row>
    <row r="880">
      <c r="A880" s="51"/>
      <c r="B880" s="51"/>
      <c r="C880" s="51"/>
      <c r="D880" s="245" t="s">
        <v>5544</v>
      </c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</row>
    <row r="881">
      <c r="A881" s="51"/>
      <c r="B881" s="51"/>
      <c r="C881" s="51"/>
      <c r="D881" s="245" t="s">
        <v>5545</v>
      </c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</row>
    <row r="882">
      <c r="A882" s="51"/>
      <c r="B882" s="51"/>
      <c r="C882" s="51"/>
      <c r="D882" s="245" t="s">
        <v>5546</v>
      </c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>
      <c r="A883" s="51"/>
      <c r="B883" s="51"/>
      <c r="C883" s="51"/>
      <c r="D883" s="245" t="s">
        <v>1579</v>
      </c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</row>
    <row r="884">
      <c r="A884" s="51"/>
      <c r="B884" s="51"/>
      <c r="C884" s="51"/>
      <c r="D884" s="245" t="s">
        <v>5547</v>
      </c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</row>
    <row r="885">
      <c r="A885" s="51"/>
      <c r="B885" s="51"/>
      <c r="C885" s="51"/>
      <c r="D885" s="245" t="s">
        <v>5548</v>
      </c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</row>
    <row r="886">
      <c r="A886" s="51"/>
      <c r="B886" s="51"/>
      <c r="C886" s="51"/>
      <c r="D886" s="245" t="s">
        <v>5549</v>
      </c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>
      <c r="A887" s="51"/>
      <c r="B887" s="51"/>
      <c r="C887" s="51"/>
      <c r="D887" s="245" t="s">
        <v>5550</v>
      </c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</row>
    <row r="888">
      <c r="A888" s="51"/>
      <c r="B888" s="51"/>
      <c r="C888" s="51"/>
      <c r="D888" s="245" t="s">
        <v>5551</v>
      </c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</row>
    <row r="889">
      <c r="A889" s="51"/>
      <c r="B889" s="51"/>
      <c r="C889" s="51"/>
      <c r="D889" s="245" t="s">
        <v>5552</v>
      </c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</row>
    <row r="890">
      <c r="A890" s="51"/>
      <c r="B890" s="51"/>
      <c r="C890" s="51"/>
      <c r="D890" s="245" t="s">
        <v>5553</v>
      </c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>
      <c r="A891" s="51"/>
      <c r="B891" s="51"/>
      <c r="C891" s="51"/>
      <c r="D891" s="245" t="s">
        <v>5554</v>
      </c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</row>
    <row r="892">
      <c r="A892" s="51"/>
      <c r="B892" s="51"/>
      <c r="C892" s="51"/>
      <c r="D892" s="245" t="s">
        <v>5555</v>
      </c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</row>
    <row r="893">
      <c r="A893" s="51"/>
      <c r="B893" s="51"/>
      <c r="C893" s="51"/>
      <c r="D893" s="245" t="s">
        <v>5556</v>
      </c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</row>
    <row r="894">
      <c r="A894" s="51"/>
      <c r="B894" s="51"/>
      <c r="C894" s="51"/>
      <c r="D894" s="245" t="s">
        <v>5557</v>
      </c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>
      <c r="A895" s="51"/>
      <c r="B895" s="51"/>
      <c r="C895" s="51"/>
      <c r="D895" s="245" t="s">
        <v>5558</v>
      </c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</row>
    <row r="896">
      <c r="A896" s="51"/>
      <c r="B896" s="51"/>
      <c r="C896" s="51"/>
      <c r="D896" s="245" t="s">
        <v>5559</v>
      </c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</row>
    <row r="897">
      <c r="A897" s="51"/>
      <c r="B897" s="51"/>
      <c r="C897" s="51"/>
      <c r="D897" s="245" t="s">
        <v>5560</v>
      </c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</row>
    <row r="898">
      <c r="A898" s="51"/>
      <c r="B898" s="51"/>
      <c r="C898" s="51"/>
      <c r="D898" s="245" t="s">
        <v>5561</v>
      </c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>
      <c r="A899" s="51"/>
      <c r="B899" s="51"/>
      <c r="C899" s="51"/>
      <c r="D899" s="245" t="s">
        <v>5562</v>
      </c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</row>
    <row r="900">
      <c r="A900" s="51"/>
      <c r="B900" s="51"/>
      <c r="C900" s="51"/>
      <c r="D900" s="245" t="s">
        <v>4635</v>
      </c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</row>
    <row r="901">
      <c r="A901" s="51"/>
      <c r="B901" s="51"/>
      <c r="C901" s="51"/>
      <c r="D901" s="245" t="s">
        <v>5563</v>
      </c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</row>
    <row r="902">
      <c r="A902" s="51"/>
      <c r="B902" s="51"/>
      <c r="C902" s="51"/>
      <c r="D902" s="245" t="s">
        <v>5564</v>
      </c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>
      <c r="A903" s="51"/>
      <c r="B903" s="51"/>
      <c r="C903" s="51"/>
      <c r="D903" s="245" t="s">
        <v>5565</v>
      </c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</row>
    <row r="904">
      <c r="A904" s="51"/>
      <c r="B904" s="51"/>
      <c r="C904" s="51"/>
      <c r="D904" s="245" t="s">
        <v>5566</v>
      </c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</row>
    <row r="905">
      <c r="A905" s="51"/>
      <c r="B905" s="51"/>
      <c r="C905" s="51"/>
      <c r="D905" s="245" t="s">
        <v>5567</v>
      </c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</row>
    <row r="906">
      <c r="A906" s="51"/>
      <c r="B906" s="51"/>
      <c r="C906" s="51"/>
      <c r="D906" s="245" t="s">
        <v>4259</v>
      </c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>
      <c r="A907" s="51"/>
      <c r="B907" s="51"/>
      <c r="C907" s="51"/>
      <c r="D907" s="245" t="s">
        <v>1060</v>
      </c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</row>
    <row r="908">
      <c r="A908" s="51"/>
      <c r="B908" s="51"/>
      <c r="C908" s="51"/>
      <c r="D908" s="245" t="s">
        <v>5568</v>
      </c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</row>
    <row r="909">
      <c r="A909" s="51"/>
      <c r="B909" s="51"/>
      <c r="C909" s="51"/>
      <c r="D909" s="245" t="s">
        <v>5569</v>
      </c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</row>
    <row r="910">
      <c r="A910" s="51"/>
      <c r="B910" s="51"/>
      <c r="C910" s="51"/>
      <c r="D910" s="245" t="s">
        <v>5570</v>
      </c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>
      <c r="A911" s="51"/>
      <c r="B911" s="51"/>
      <c r="C911" s="51"/>
      <c r="D911" s="245" t="s">
        <v>5571</v>
      </c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</row>
    <row r="912">
      <c r="A912" s="51"/>
      <c r="B912" s="51"/>
      <c r="C912" s="51"/>
      <c r="D912" s="245" t="s">
        <v>5572</v>
      </c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</row>
    <row r="913">
      <c r="A913" s="51"/>
      <c r="B913" s="51"/>
      <c r="C913" s="51"/>
      <c r="D913" s="245" t="s">
        <v>715</v>
      </c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</row>
    <row r="914">
      <c r="A914" s="51"/>
      <c r="B914" s="51"/>
      <c r="C914" s="51"/>
      <c r="D914" s="245" t="s">
        <v>5573</v>
      </c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>
      <c r="A915" s="51"/>
      <c r="B915" s="51"/>
      <c r="C915" s="51"/>
      <c r="D915" s="245" t="s">
        <v>5574</v>
      </c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</row>
    <row r="916">
      <c r="A916" s="51"/>
      <c r="B916" s="51"/>
      <c r="C916" s="51"/>
      <c r="D916" s="245" t="s">
        <v>3090</v>
      </c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</row>
    <row r="917">
      <c r="A917" s="51"/>
      <c r="B917" s="51"/>
      <c r="C917" s="51"/>
      <c r="D917" s="245" t="s">
        <v>2482</v>
      </c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</row>
    <row r="918">
      <c r="A918" s="51"/>
      <c r="B918" s="51"/>
      <c r="C918" s="51"/>
      <c r="D918" s="245" t="s">
        <v>646</v>
      </c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>
      <c r="A919" s="51"/>
      <c r="B919" s="51"/>
      <c r="C919" s="51"/>
      <c r="D919" s="245" t="s">
        <v>5575</v>
      </c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</row>
    <row r="920">
      <c r="A920" s="51"/>
      <c r="B920" s="51"/>
      <c r="C920" s="51"/>
      <c r="D920" s="245" t="s">
        <v>2941</v>
      </c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</row>
    <row r="921">
      <c r="A921" s="51"/>
      <c r="B921" s="51"/>
      <c r="C921" s="51"/>
      <c r="D921" s="245" t="s">
        <v>866</v>
      </c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</row>
    <row r="922">
      <c r="A922" s="51"/>
      <c r="B922" s="51"/>
      <c r="C922" s="51"/>
      <c r="D922" s="245" t="s">
        <v>5576</v>
      </c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>
      <c r="A923" s="51"/>
      <c r="B923" s="51"/>
      <c r="C923" s="51"/>
      <c r="D923" s="245" t="s">
        <v>5577</v>
      </c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</row>
    <row r="924">
      <c r="A924" s="51"/>
      <c r="B924" s="51"/>
      <c r="C924" s="51"/>
      <c r="D924" s="245" t="s">
        <v>5578</v>
      </c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</row>
    <row r="925">
      <c r="A925" s="51"/>
      <c r="B925" s="51"/>
      <c r="C925" s="51"/>
      <c r="D925" s="245" t="s">
        <v>5579</v>
      </c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</row>
    <row r="926">
      <c r="A926" s="51"/>
      <c r="B926" s="51"/>
      <c r="C926" s="51"/>
      <c r="D926" s="245" t="s">
        <v>1386</v>
      </c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>
      <c r="A927" s="51"/>
      <c r="B927" s="51"/>
      <c r="C927" s="51"/>
      <c r="D927" s="245" t="s">
        <v>5580</v>
      </c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</row>
    <row r="928">
      <c r="A928" s="51"/>
      <c r="B928" s="51"/>
      <c r="C928" s="51"/>
      <c r="D928" s="245" t="s">
        <v>5581</v>
      </c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</row>
    <row r="929">
      <c r="A929" s="51"/>
      <c r="B929" s="51"/>
      <c r="C929" s="51"/>
      <c r="D929" s="245" t="s">
        <v>5582</v>
      </c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</row>
    <row r="930">
      <c r="A930" s="51"/>
      <c r="B930" s="51"/>
      <c r="C930" s="51"/>
      <c r="D930" s="245" t="s">
        <v>5583</v>
      </c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>
      <c r="A931" s="51"/>
      <c r="B931" s="51"/>
      <c r="C931" s="51"/>
      <c r="D931" s="245" t="s">
        <v>5584</v>
      </c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</row>
    <row r="932">
      <c r="A932" s="51"/>
      <c r="B932" s="51"/>
      <c r="C932" s="51"/>
      <c r="D932" s="245" t="s">
        <v>5585</v>
      </c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</row>
    <row r="933">
      <c r="A933" s="51"/>
      <c r="B933" s="51"/>
      <c r="C933" s="51"/>
      <c r="D933" s="245" t="s">
        <v>5586</v>
      </c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</row>
    <row r="934">
      <c r="A934" s="51"/>
      <c r="B934" s="51"/>
      <c r="C934" s="51"/>
      <c r="D934" s="245" t="s">
        <v>5587</v>
      </c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>
      <c r="A935" s="51"/>
      <c r="B935" s="51"/>
      <c r="C935" s="51"/>
      <c r="D935" s="245" t="s">
        <v>5588</v>
      </c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</row>
    <row r="936">
      <c r="A936" s="51"/>
      <c r="B936" s="51"/>
      <c r="C936" s="51"/>
      <c r="D936" s="245" t="s">
        <v>5589</v>
      </c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</row>
    <row r="937">
      <c r="A937" s="51"/>
      <c r="B937" s="51"/>
      <c r="C937" s="51"/>
      <c r="D937" s="245" t="s">
        <v>5590</v>
      </c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</row>
    <row r="938">
      <c r="A938" s="51"/>
      <c r="B938" s="51"/>
      <c r="C938" s="51"/>
      <c r="D938" s="245" t="s">
        <v>1069</v>
      </c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>
      <c r="A939" s="51"/>
      <c r="B939" s="51"/>
      <c r="C939" s="51"/>
      <c r="D939" s="245" t="s">
        <v>3659</v>
      </c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</row>
    <row r="940">
      <c r="A940" s="51"/>
      <c r="B940" s="51"/>
      <c r="C940" s="51"/>
      <c r="D940" s="245" t="s">
        <v>5591</v>
      </c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</row>
    <row r="941">
      <c r="A941" s="51"/>
      <c r="B941" s="51"/>
      <c r="C941" s="51"/>
      <c r="D941" s="245" t="s">
        <v>2062</v>
      </c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</row>
    <row r="942">
      <c r="A942" s="51"/>
      <c r="B942" s="51"/>
      <c r="C942" s="51"/>
      <c r="D942" s="245" t="s">
        <v>5592</v>
      </c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>
      <c r="A943" s="51"/>
      <c r="B943" s="51"/>
      <c r="C943" s="51"/>
      <c r="D943" s="245" t="s">
        <v>5593</v>
      </c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</row>
    <row r="944">
      <c r="A944" s="51"/>
      <c r="B944" s="51"/>
      <c r="C944" s="51"/>
      <c r="D944" s="245" t="s">
        <v>5594</v>
      </c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</row>
    <row r="945">
      <c r="A945" s="51"/>
      <c r="B945" s="51"/>
      <c r="C945" s="51"/>
      <c r="D945" s="245" t="s">
        <v>1667</v>
      </c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</row>
    <row r="946">
      <c r="A946" s="51"/>
      <c r="B946" s="51"/>
      <c r="C946" s="51"/>
      <c r="D946" s="245" t="s">
        <v>5595</v>
      </c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>
      <c r="A947" s="51"/>
      <c r="B947" s="51"/>
      <c r="C947" s="51"/>
      <c r="D947" s="245" t="s">
        <v>5596</v>
      </c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</row>
    <row r="948">
      <c r="A948" s="51"/>
      <c r="B948" s="51"/>
      <c r="C948" s="51"/>
      <c r="D948" s="245" t="s">
        <v>4154</v>
      </c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</row>
    <row r="949">
      <c r="A949" s="51"/>
      <c r="B949" s="51"/>
      <c r="C949" s="51"/>
      <c r="D949" s="245" t="s">
        <v>1594</v>
      </c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</row>
    <row r="950">
      <c r="A950" s="51"/>
      <c r="B950" s="51"/>
      <c r="C950" s="51"/>
      <c r="D950" s="245" t="s">
        <v>5597</v>
      </c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>
      <c r="A951" s="51"/>
      <c r="B951" s="51"/>
      <c r="C951" s="51"/>
      <c r="D951" s="245" t="s">
        <v>2156</v>
      </c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</row>
    <row r="952">
      <c r="A952" s="51"/>
      <c r="B952" s="51"/>
      <c r="C952" s="51"/>
      <c r="D952" s="245" t="s">
        <v>5598</v>
      </c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</row>
    <row r="953">
      <c r="A953" s="51"/>
      <c r="B953" s="51"/>
      <c r="C953" s="51"/>
      <c r="D953" s="245" t="s">
        <v>1863</v>
      </c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</row>
    <row r="954">
      <c r="A954" s="51"/>
      <c r="B954" s="51"/>
      <c r="C954" s="51"/>
      <c r="D954" s="245" t="s">
        <v>5599</v>
      </c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>
      <c r="A955" s="51"/>
      <c r="B955" s="51"/>
      <c r="C955" s="51"/>
      <c r="D955" s="245" t="s">
        <v>3573</v>
      </c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</row>
    <row r="956">
      <c r="A956" s="51"/>
      <c r="B956" s="51"/>
      <c r="C956" s="51"/>
      <c r="D956" s="245" t="s">
        <v>2009</v>
      </c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</row>
    <row r="957">
      <c r="A957" s="51"/>
      <c r="B957" s="51"/>
      <c r="C957" s="51"/>
      <c r="D957" s="245" t="s">
        <v>5600</v>
      </c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</row>
    <row r="958">
      <c r="A958" s="51"/>
      <c r="B958" s="51"/>
      <c r="C958" s="51"/>
      <c r="D958" s="245" t="s">
        <v>5601</v>
      </c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>
      <c r="A959" s="51"/>
      <c r="B959" s="51"/>
      <c r="C959" s="51"/>
      <c r="D959" s="245" t="s">
        <v>5602</v>
      </c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</row>
    <row r="960">
      <c r="A960" s="51"/>
      <c r="B960" s="51"/>
      <c r="C960" s="51"/>
      <c r="D960" s="245" t="s">
        <v>5603</v>
      </c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</row>
    <row r="961">
      <c r="A961" s="51"/>
      <c r="B961" s="51"/>
      <c r="C961" s="51"/>
      <c r="D961" s="245" t="s">
        <v>5604</v>
      </c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</row>
    <row r="962">
      <c r="A962" s="51"/>
      <c r="B962" s="51"/>
      <c r="C962" s="51"/>
      <c r="D962" s="245" t="s">
        <v>5605</v>
      </c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>
      <c r="A963" s="51"/>
      <c r="B963" s="51"/>
      <c r="C963" s="51"/>
      <c r="D963" s="245" t="s">
        <v>3062</v>
      </c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</row>
    <row r="964">
      <c r="A964" s="51"/>
      <c r="B964" s="51"/>
      <c r="C964" s="51"/>
      <c r="D964" s="245" t="s">
        <v>5606</v>
      </c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</row>
    <row r="965">
      <c r="A965" s="51"/>
      <c r="B965" s="51"/>
      <c r="C965" s="51"/>
      <c r="D965" s="245" t="s">
        <v>376</v>
      </c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</row>
    <row r="966">
      <c r="A966" s="51"/>
      <c r="B966" s="51"/>
      <c r="C966" s="51"/>
      <c r="D966" s="245" t="s">
        <v>5607</v>
      </c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>
      <c r="A967" s="51"/>
      <c r="B967" s="51"/>
      <c r="C967" s="51"/>
      <c r="D967" s="245" t="s">
        <v>5608</v>
      </c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</row>
    <row r="968">
      <c r="A968" s="51"/>
      <c r="B968" s="51"/>
      <c r="C968" s="51"/>
      <c r="D968" s="245" t="s">
        <v>5609</v>
      </c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</row>
    <row r="969">
      <c r="A969" s="51"/>
      <c r="B969" s="51"/>
      <c r="C969" s="51"/>
      <c r="D969" s="245" t="s">
        <v>584</v>
      </c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</row>
    <row r="970">
      <c r="A970" s="51"/>
      <c r="B970" s="51"/>
      <c r="C970" s="51"/>
      <c r="D970" s="245" t="s">
        <v>5610</v>
      </c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>
      <c r="A971" s="51"/>
      <c r="B971" s="51"/>
      <c r="C971" s="51"/>
      <c r="D971" s="245" t="s">
        <v>1743</v>
      </c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</row>
    <row r="972">
      <c r="A972" s="51"/>
      <c r="B972" s="51"/>
      <c r="C972" s="51"/>
      <c r="D972" s="245" t="s">
        <v>1750</v>
      </c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</row>
    <row r="973">
      <c r="A973" s="51"/>
      <c r="B973" s="51"/>
      <c r="C973" s="51"/>
      <c r="D973" s="245" t="s">
        <v>835</v>
      </c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</row>
    <row r="974">
      <c r="A974" s="51"/>
      <c r="B974" s="51"/>
      <c r="C974" s="51"/>
      <c r="D974" s="245" t="s">
        <v>5611</v>
      </c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>
      <c r="A975" s="51"/>
      <c r="B975" s="51"/>
      <c r="C975" s="51"/>
      <c r="D975" s="245" t="s">
        <v>5612</v>
      </c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</row>
    <row r="976">
      <c r="A976" s="51"/>
      <c r="B976" s="51"/>
      <c r="C976" s="51"/>
      <c r="D976" s="245" t="s">
        <v>5613</v>
      </c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</row>
    <row r="977">
      <c r="A977" s="51"/>
      <c r="B977" s="51"/>
      <c r="C977" s="51"/>
      <c r="D977" s="245" t="s">
        <v>1887</v>
      </c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</row>
    <row r="978">
      <c r="A978" s="51"/>
      <c r="B978" s="51"/>
      <c r="C978" s="51"/>
      <c r="D978" s="245" t="s">
        <v>5614</v>
      </c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>
      <c r="A979" s="51"/>
      <c r="B979" s="51"/>
      <c r="C979" s="51"/>
      <c r="D979" s="245" t="s">
        <v>5615</v>
      </c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</row>
    <row r="980">
      <c r="A980" s="51"/>
      <c r="B980" s="51"/>
      <c r="C980" s="51"/>
      <c r="D980" s="245" t="s">
        <v>5616</v>
      </c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</row>
    <row r="981">
      <c r="A981" s="51"/>
      <c r="B981" s="51"/>
      <c r="C981" s="51"/>
      <c r="D981" s="245" t="s">
        <v>5617</v>
      </c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</row>
    <row r="982">
      <c r="A982" s="51"/>
      <c r="B982" s="51"/>
      <c r="C982" s="51"/>
      <c r="D982" s="245" t="s">
        <v>1320</v>
      </c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>
      <c r="A983" s="51"/>
      <c r="B983" s="51"/>
      <c r="C983" s="51"/>
      <c r="D983" s="245" t="s">
        <v>5618</v>
      </c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</row>
    <row r="984">
      <c r="A984" s="51"/>
      <c r="B984" s="51"/>
      <c r="C984" s="51"/>
      <c r="D984" s="245" t="s">
        <v>3792</v>
      </c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</row>
    <row r="985">
      <c r="A985" s="51"/>
      <c r="B985" s="51"/>
      <c r="C985" s="51"/>
      <c r="D985" s="245" t="s">
        <v>4089</v>
      </c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</row>
    <row r="986">
      <c r="A986" s="51"/>
      <c r="B986" s="51"/>
      <c r="C986" s="51"/>
      <c r="D986" s="245" t="s">
        <v>5619</v>
      </c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>
      <c r="A987" s="51"/>
      <c r="B987" s="51"/>
      <c r="C987" s="51"/>
      <c r="D987" s="245" t="s">
        <v>5620</v>
      </c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</row>
    <row r="988">
      <c r="A988" s="51"/>
      <c r="B988" s="51"/>
      <c r="C988" s="51"/>
      <c r="D988" s="245" t="s">
        <v>5621</v>
      </c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</row>
    <row r="989">
      <c r="A989" s="51"/>
      <c r="B989" s="51"/>
      <c r="C989" s="51"/>
      <c r="D989" s="245" t="s">
        <v>5622</v>
      </c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</row>
    <row r="990">
      <c r="A990" s="51"/>
      <c r="B990" s="51"/>
      <c r="C990" s="51"/>
      <c r="D990" s="245" t="s">
        <v>5623</v>
      </c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>
      <c r="A991" s="51"/>
      <c r="B991" s="51"/>
      <c r="C991" s="51"/>
      <c r="D991" s="245" t="s">
        <v>1896</v>
      </c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</row>
    <row r="992">
      <c r="A992" s="51"/>
      <c r="B992" s="51"/>
      <c r="C992" s="51"/>
      <c r="D992" s="245" t="s">
        <v>627</v>
      </c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</row>
    <row r="993">
      <c r="A993" s="51"/>
      <c r="B993" s="51"/>
      <c r="C993" s="51"/>
      <c r="D993" s="245" t="s">
        <v>5624</v>
      </c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</row>
    <row r="994">
      <c r="A994" s="51"/>
      <c r="B994" s="51"/>
      <c r="C994" s="51"/>
      <c r="D994" s="245" t="s">
        <v>601</v>
      </c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>
      <c r="A995" s="51"/>
      <c r="B995" s="51"/>
      <c r="C995" s="51"/>
      <c r="D995" s="245" t="s">
        <v>5625</v>
      </c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</row>
    <row r="996">
      <c r="A996" s="51"/>
      <c r="B996" s="51"/>
      <c r="C996" s="51"/>
      <c r="D996" s="245" t="s">
        <v>5626</v>
      </c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</row>
    <row r="997">
      <c r="A997" s="51"/>
      <c r="B997" s="51"/>
      <c r="C997" s="51"/>
      <c r="D997" s="245" t="s">
        <v>4267</v>
      </c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</row>
    <row r="998">
      <c r="A998" s="51"/>
      <c r="B998" s="51"/>
      <c r="C998" s="51"/>
      <c r="D998" s="245" t="s">
        <v>5627</v>
      </c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>
      <c r="A999" s="51"/>
      <c r="B999" s="51"/>
      <c r="C999" s="51"/>
      <c r="D999" s="245" t="s">
        <v>5628</v>
      </c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</row>
    <row r="1000">
      <c r="A1000" s="51"/>
      <c r="B1000" s="51"/>
      <c r="C1000" s="51"/>
      <c r="D1000" s="245" t="s">
        <v>5629</v>
      </c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</row>
    <row r="1001">
      <c r="A1001" s="51"/>
      <c r="B1001" s="51"/>
      <c r="C1001" s="51"/>
      <c r="D1001" s="245" t="s">
        <v>5630</v>
      </c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</row>
    <row r="1002">
      <c r="A1002" s="51"/>
      <c r="B1002" s="51"/>
      <c r="C1002" s="51"/>
      <c r="D1002" s="245" t="s">
        <v>5631</v>
      </c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>
      <c r="A1003" s="51"/>
      <c r="B1003" s="51"/>
      <c r="C1003" s="51"/>
      <c r="D1003" s="245" t="s">
        <v>5632</v>
      </c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</row>
    <row r="1004">
      <c r="A1004" s="51"/>
      <c r="B1004" s="51"/>
      <c r="C1004" s="51"/>
      <c r="D1004" s="245" t="s">
        <v>5633</v>
      </c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</row>
    <row r="1005">
      <c r="A1005" s="51"/>
      <c r="B1005" s="51"/>
      <c r="C1005" s="51"/>
      <c r="D1005" s="245" t="s">
        <v>2982</v>
      </c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</row>
    <row r="1006">
      <c r="A1006" s="51"/>
      <c r="B1006" s="51"/>
      <c r="C1006" s="51"/>
      <c r="D1006" s="245" t="s">
        <v>5634</v>
      </c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>
      <c r="A1007" s="51"/>
      <c r="B1007" s="51"/>
      <c r="C1007" s="51"/>
      <c r="D1007" s="245" t="s">
        <v>5635</v>
      </c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</row>
    <row r="1008">
      <c r="A1008" s="51"/>
      <c r="B1008" s="51"/>
      <c r="C1008" s="51"/>
      <c r="D1008" s="245" t="s">
        <v>5636</v>
      </c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</row>
    <row r="1009">
      <c r="A1009" s="51"/>
      <c r="B1009" s="51"/>
      <c r="C1009" s="51"/>
      <c r="D1009" s="245" t="s">
        <v>5637</v>
      </c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</row>
    <row r="1010">
      <c r="A1010" s="51"/>
      <c r="B1010" s="51"/>
      <c r="C1010" s="51"/>
      <c r="D1010" s="245" t="s">
        <v>5638</v>
      </c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>
      <c r="A1011" s="51"/>
      <c r="B1011" s="51"/>
      <c r="C1011" s="51"/>
      <c r="D1011" s="245" t="s">
        <v>5639</v>
      </c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</row>
    <row r="1012">
      <c r="A1012" s="51"/>
      <c r="B1012" s="51"/>
      <c r="C1012" s="51"/>
      <c r="D1012" s="245" t="s">
        <v>5640</v>
      </c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</row>
    <row r="1013">
      <c r="A1013" s="51"/>
      <c r="B1013" s="51"/>
      <c r="C1013" s="51"/>
      <c r="D1013" s="245" t="s">
        <v>5641</v>
      </c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</row>
    <row r="1014">
      <c r="A1014" s="51"/>
      <c r="B1014" s="51"/>
      <c r="C1014" s="51"/>
      <c r="D1014" s="245" t="s">
        <v>5642</v>
      </c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>
      <c r="A1015" s="51"/>
      <c r="B1015" s="51"/>
      <c r="C1015" s="51"/>
      <c r="D1015" s="245" t="s">
        <v>5643</v>
      </c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</row>
    <row r="1016">
      <c r="A1016" s="51"/>
      <c r="B1016" s="51"/>
      <c r="C1016" s="51"/>
      <c r="D1016" s="245" t="s">
        <v>5644</v>
      </c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</row>
    <row r="1017">
      <c r="A1017" s="51"/>
      <c r="B1017" s="51"/>
      <c r="C1017" s="51"/>
      <c r="D1017" s="245" t="s">
        <v>5645</v>
      </c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</row>
    <row r="1018">
      <c r="A1018" s="51"/>
      <c r="B1018" s="51"/>
      <c r="C1018" s="51"/>
      <c r="D1018" s="245" t="s">
        <v>5646</v>
      </c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>
      <c r="A1019" s="51"/>
      <c r="B1019" s="51"/>
      <c r="C1019" s="51"/>
      <c r="D1019" s="245" t="s">
        <v>5647</v>
      </c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</row>
    <row r="1020">
      <c r="A1020" s="51"/>
      <c r="B1020" s="51"/>
      <c r="C1020" s="51"/>
      <c r="D1020" s="245" t="s">
        <v>5648</v>
      </c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</row>
    <row r="1021">
      <c r="A1021" s="51"/>
      <c r="B1021" s="51"/>
      <c r="C1021" s="51"/>
      <c r="D1021" s="245" t="s">
        <v>5649</v>
      </c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</row>
    <row r="1022">
      <c r="A1022" s="51"/>
      <c r="B1022" s="51"/>
      <c r="C1022" s="51"/>
      <c r="D1022" s="245" t="s">
        <v>5650</v>
      </c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>
      <c r="A1023" s="51"/>
      <c r="B1023" s="51"/>
      <c r="C1023" s="51"/>
      <c r="D1023" s="245" t="s">
        <v>5651</v>
      </c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</row>
    <row r="1024">
      <c r="A1024" s="51"/>
      <c r="B1024" s="51"/>
      <c r="C1024" s="51"/>
      <c r="D1024" s="245" t="s">
        <v>5652</v>
      </c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</row>
    <row r="1025">
      <c r="A1025" s="51"/>
      <c r="B1025" s="51"/>
      <c r="C1025" s="51"/>
      <c r="D1025" s="245" t="s">
        <v>5653</v>
      </c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</row>
    <row r="1026">
      <c r="A1026" s="51"/>
      <c r="B1026" s="51"/>
      <c r="C1026" s="51"/>
      <c r="D1026" s="245" t="s">
        <v>5654</v>
      </c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>
      <c r="A1027" s="51"/>
      <c r="B1027" s="51"/>
      <c r="C1027" s="51"/>
      <c r="D1027" s="245" t="s">
        <v>154</v>
      </c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</row>
    <row r="1028">
      <c r="A1028" s="51"/>
      <c r="B1028" s="51"/>
      <c r="C1028" s="51"/>
      <c r="D1028" s="245" t="s">
        <v>5655</v>
      </c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</row>
    <row r="1029">
      <c r="A1029" s="51"/>
      <c r="B1029" s="51"/>
      <c r="C1029" s="51"/>
      <c r="D1029" s="245" t="s">
        <v>4457</v>
      </c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</row>
    <row r="1030">
      <c r="A1030" s="51"/>
      <c r="B1030" s="51"/>
      <c r="C1030" s="51"/>
      <c r="D1030" s="245" t="s">
        <v>4464</v>
      </c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>
      <c r="A1031" s="51"/>
      <c r="B1031" s="51"/>
      <c r="C1031" s="51"/>
      <c r="D1031" s="245" t="s">
        <v>5656</v>
      </c>
      <c r="E1031" s="51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</row>
    <row r="1032">
      <c r="A1032" s="51"/>
      <c r="B1032" s="51"/>
      <c r="C1032" s="51"/>
      <c r="D1032" s="245" t="s">
        <v>5657</v>
      </c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</row>
    <row r="1033">
      <c r="A1033" s="51"/>
      <c r="B1033" s="51"/>
      <c r="C1033" s="51"/>
      <c r="D1033" s="245" t="s">
        <v>1075</v>
      </c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</row>
    <row r="1034">
      <c r="A1034" s="51"/>
      <c r="B1034" s="51"/>
      <c r="C1034" s="51"/>
      <c r="D1034" s="245" t="s">
        <v>5658</v>
      </c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>
      <c r="A1035" s="51"/>
      <c r="B1035" s="51"/>
      <c r="C1035" s="51"/>
      <c r="D1035" s="245" t="s">
        <v>5659</v>
      </c>
      <c r="E1035" s="51"/>
      <c r="F1035" s="51"/>
      <c r="G1035" s="51"/>
      <c r="H1035" s="51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</row>
    <row r="1036">
      <c r="A1036" s="51"/>
      <c r="B1036" s="51"/>
      <c r="C1036" s="51"/>
      <c r="D1036" s="245" t="s">
        <v>3626</v>
      </c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</row>
    <row r="1037">
      <c r="A1037" s="51"/>
      <c r="B1037" s="51"/>
      <c r="C1037" s="51"/>
      <c r="D1037" s="245" t="s">
        <v>1602</v>
      </c>
      <c r="E1037" s="51"/>
      <c r="F1037" s="51"/>
      <c r="G1037" s="51"/>
      <c r="H1037" s="51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</row>
    <row r="1038">
      <c r="A1038" s="51"/>
      <c r="B1038" s="51"/>
      <c r="C1038" s="51"/>
      <c r="D1038" s="245" t="s">
        <v>1952</v>
      </c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>
      <c r="A1039" s="51"/>
      <c r="B1039" s="51"/>
      <c r="C1039" s="51"/>
      <c r="D1039" s="245" t="s">
        <v>3072</v>
      </c>
      <c r="E1039" s="51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</row>
    <row r="1040">
      <c r="A1040" s="51"/>
      <c r="B1040" s="51"/>
      <c r="C1040" s="51"/>
      <c r="D1040" s="245" t="s">
        <v>1871</v>
      </c>
      <c r="E1040" s="51"/>
      <c r="F1040" s="51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</row>
    <row r="1041">
      <c r="A1041" s="51"/>
      <c r="B1041" s="51"/>
      <c r="C1041" s="51"/>
      <c r="D1041" s="245" t="s">
        <v>2911</v>
      </c>
      <c r="E1041" s="51"/>
      <c r="F1041" s="51"/>
      <c r="G1041" s="51"/>
      <c r="H1041" s="51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</row>
    <row r="1042">
      <c r="A1042" s="51"/>
      <c r="B1042" s="51"/>
      <c r="C1042" s="51"/>
      <c r="D1042" s="245" t="s">
        <v>1012</v>
      </c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>
      <c r="A1043" s="51"/>
      <c r="B1043" s="51"/>
      <c r="C1043" s="51"/>
      <c r="D1043" s="245" t="s">
        <v>5660</v>
      </c>
      <c r="E1043" s="51"/>
      <c r="F1043" s="51"/>
      <c r="G1043" s="51"/>
      <c r="H1043" s="51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</row>
    <row r="1044">
      <c r="A1044" s="51"/>
      <c r="B1044" s="51"/>
      <c r="C1044" s="51"/>
      <c r="D1044" s="245" t="s">
        <v>5661</v>
      </c>
      <c r="E1044" s="51"/>
      <c r="F1044" s="51"/>
      <c r="G1044" s="51"/>
      <c r="H1044" s="51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</row>
    <row r="1045">
      <c r="A1045" s="51"/>
      <c r="B1045" s="51"/>
      <c r="C1045" s="51"/>
      <c r="D1045" s="245" t="s">
        <v>5662</v>
      </c>
      <c r="E1045" s="51"/>
      <c r="F1045" s="51"/>
      <c r="G1045" s="51"/>
      <c r="H1045" s="51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</row>
    <row r="1046">
      <c r="A1046" s="51"/>
      <c r="B1046" s="51"/>
      <c r="C1046" s="51"/>
      <c r="D1046" s="245" t="s">
        <v>535</v>
      </c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>
      <c r="A1047" s="51"/>
      <c r="B1047" s="51"/>
      <c r="C1047" s="51"/>
      <c r="D1047" s="245" t="s">
        <v>5663</v>
      </c>
      <c r="E1047" s="51"/>
      <c r="F1047" s="51"/>
      <c r="G1047" s="51"/>
      <c r="H1047" s="51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</row>
    <row r="1048">
      <c r="A1048" s="51"/>
      <c r="B1048" s="51"/>
      <c r="C1048" s="51"/>
      <c r="D1048" s="245" t="s">
        <v>5664</v>
      </c>
      <c r="E1048" s="51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</row>
    <row r="1049">
      <c r="A1049" s="51"/>
      <c r="B1049" s="51"/>
      <c r="C1049" s="51"/>
      <c r="D1049" s="245" t="s">
        <v>3696</v>
      </c>
      <c r="E1049" s="51"/>
      <c r="F1049" s="51"/>
      <c r="G1049" s="51"/>
      <c r="H1049" s="51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</row>
    <row r="1050">
      <c r="A1050" s="51"/>
      <c r="B1050" s="51"/>
      <c r="C1050" s="51"/>
      <c r="D1050" s="245" t="s">
        <v>765</v>
      </c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>
      <c r="A1051" s="51"/>
      <c r="B1051" s="51"/>
      <c r="C1051" s="51"/>
      <c r="D1051" s="245" t="s">
        <v>2402</v>
      </c>
      <c r="E1051" s="51"/>
      <c r="F1051" s="51"/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</row>
    <row r="1052">
      <c r="A1052" s="51"/>
      <c r="B1052" s="51"/>
      <c r="C1052" s="51"/>
      <c r="D1052" s="245" t="s">
        <v>5665</v>
      </c>
      <c r="E1052" s="51"/>
      <c r="F1052" s="51"/>
      <c r="G1052" s="51"/>
      <c r="H1052" s="51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</row>
    <row r="1053">
      <c r="A1053" s="51"/>
      <c r="B1053" s="51"/>
      <c r="C1053" s="51"/>
      <c r="D1053" s="245" t="s">
        <v>5666</v>
      </c>
      <c r="E1053" s="51"/>
      <c r="F1053" s="51"/>
      <c r="G1053" s="51"/>
      <c r="H1053" s="51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</row>
    <row r="1054">
      <c r="A1054" s="51"/>
      <c r="B1054" s="51"/>
      <c r="C1054" s="51"/>
      <c r="D1054" s="245" t="s">
        <v>5667</v>
      </c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>
      <c r="A1055" s="51"/>
      <c r="B1055" s="51"/>
      <c r="C1055" s="51"/>
      <c r="D1055" s="245" t="s">
        <v>5668</v>
      </c>
      <c r="E1055" s="51"/>
      <c r="F1055" s="51"/>
      <c r="G1055" s="51"/>
      <c r="H1055" s="51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</row>
    <row r="1056">
      <c r="A1056" s="51"/>
      <c r="B1056" s="51"/>
      <c r="C1056" s="51"/>
      <c r="D1056" s="245" t="s">
        <v>5669</v>
      </c>
      <c r="E1056" s="51"/>
      <c r="F1056" s="51"/>
      <c r="G1056" s="51"/>
      <c r="H1056" s="51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</row>
    <row r="1057">
      <c r="A1057" s="51"/>
      <c r="B1057" s="51"/>
      <c r="C1057" s="51"/>
      <c r="D1057" s="245" t="s">
        <v>5670</v>
      </c>
      <c r="E1057" s="51"/>
      <c r="F1057" s="51"/>
      <c r="G1057" s="51"/>
      <c r="H1057" s="51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</row>
    <row r="1058">
      <c r="A1058" s="51"/>
      <c r="B1058" s="51"/>
      <c r="C1058" s="51"/>
      <c r="D1058" s="245" t="s">
        <v>5671</v>
      </c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>
      <c r="A1059" s="51"/>
      <c r="B1059" s="51"/>
      <c r="C1059" s="51"/>
      <c r="D1059" s="245" t="s">
        <v>5672</v>
      </c>
      <c r="E1059" s="51"/>
      <c r="F1059" s="51"/>
      <c r="G1059" s="51"/>
      <c r="H1059" s="51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</row>
    <row r="1060">
      <c r="A1060" s="51"/>
      <c r="B1060" s="51"/>
      <c r="C1060" s="51"/>
      <c r="D1060" s="245" t="s">
        <v>1461</v>
      </c>
      <c r="E1060" s="51"/>
      <c r="F1060" s="51"/>
      <c r="G1060" s="51"/>
      <c r="H1060" s="51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</row>
    <row r="1061">
      <c r="A1061" s="51"/>
      <c r="B1061" s="51"/>
      <c r="C1061" s="51"/>
      <c r="D1061" s="245" t="s">
        <v>4544</v>
      </c>
      <c r="E1061" s="51"/>
      <c r="F1061" s="51"/>
      <c r="G1061" s="51"/>
      <c r="H1061" s="51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</row>
    <row r="1062">
      <c r="A1062" s="51"/>
      <c r="B1062" s="51"/>
      <c r="C1062" s="51"/>
      <c r="D1062" s="245" t="s">
        <v>2366</v>
      </c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>
      <c r="A1063" s="51"/>
      <c r="B1063" s="51"/>
      <c r="C1063" s="51"/>
      <c r="D1063" s="245" t="s">
        <v>1249</v>
      </c>
      <c r="E1063" s="51"/>
      <c r="F1063" s="51"/>
      <c r="G1063" s="51"/>
      <c r="H1063" s="51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</row>
    <row r="1064">
      <c r="A1064" s="51"/>
      <c r="B1064" s="51"/>
      <c r="C1064" s="51"/>
      <c r="D1064" s="245" t="s">
        <v>5673</v>
      </c>
      <c r="E1064" s="51"/>
      <c r="F1064" s="51"/>
      <c r="G1064" s="51"/>
      <c r="H1064" s="51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</row>
    <row r="1065">
      <c r="A1065" s="51"/>
      <c r="B1065" s="51"/>
      <c r="C1065" s="51"/>
      <c r="D1065" s="245" t="s">
        <v>5674</v>
      </c>
      <c r="E1065" s="51"/>
      <c r="F1065" s="51"/>
      <c r="G1065" s="51"/>
      <c r="H1065" s="51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</row>
    <row r="1066">
      <c r="A1066" s="51"/>
      <c r="B1066" s="51"/>
      <c r="C1066" s="51"/>
      <c r="D1066" s="245" t="s">
        <v>2809</v>
      </c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>
      <c r="A1067" s="51"/>
      <c r="B1067" s="51"/>
      <c r="C1067" s="51"/>
      <c r="D1067" s="245" t="s">
        <v>874</v>
      </c>
      <c r="E1067" s="51"/>
      <c r="F1067" s="51"/>
      <c r="G1067" s="51"/>
      <c r="H1067" s="51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</row>
    <row r="1068">
      <c r="A1068" s="51"/>
      <c r="B1068" s="51"/>
      <c r="C1068" s="51"/>
      <c r="D1068" s="245" t="s">
        <v>5675</v>
      </c>
      <c r="E1068" s="51"/>
      <c r="F1068" s="51"/>
      <c r="G1068" s="51"/>
      <c r="H1068" s="51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</row>
    <row r="1069">
      <c r="A1069" s="51"/>
      <c r="B1069" s="51"/>
      <c r="C1069" s="51"/>
      <c r="D1069" s="245" t="s">
        <v>5676</v>
      </c>
      <c r="E1069" s="51"/>
      <c r="F1069" s="51"/>
      <c r="G1069" s="51"/>
      <c r="H1069" s="51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</row>
    <row r="1070">
      <c r="A1070" s="51"/>
      <c r="B1070" s="51"/>
      <c r="C1070" s="51"/>
      <c r="D1070" s="245" t="s">
        <v>5677</v>
      </c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>
      <c r="A1071" s="51"/>
      <c r="B1071" s="51"/>
      <c r="C1071" s="51"/>
      <c r="D1071" s="245" t="s">
        <v>5678</v>
      </c>
      <c r="E1071" s="51"/>
      <c r="F1071" s="51"/>
      <c r="G1071" s="51"/>
      <c r="H1071" s="51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</row>
    <row r="1072">
      <c r="A1072" s="51"/>
      <c r="B1072" s="51"/>
      <c r="C1072" s="51"/>
      <c r="D1072" s="245" t="s">
        <v>5679</v>
      </c>
      <c r="E1072" s="51"/>
      <c r="F1072" s="51"/>
      <c r="G1072" s="51"/>
      <c r="H1072" s="51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</row>
    <row r="1073">
      <c r="A1073" s="51"/>
      <c r="B1073" s="51"/>
      <c r="C1073" s="51"/>
      <c r="D1073" s="245" t="s">
        <v>384</v>
      </c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</row>
    <row r="1074">
      <c r="A1074" s="51"/>
      <c r="B1074" s="51"/>
      <c r="C1074" s="51"/>
      <c r="D1074" s="245" t="s">
        <v>2595</v>
      </c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>
      <c r="A1075" s="51"/>
      <c r="B1075" s="51"/>
      <c r="C1075" s="51"/>
      <c r="D1075" s="245" t="s">
        <v>1674</v>
      </c>
      <c r="E1075" s="51"/>
      <c r="F1075" s="51"/>
      <c r="G1075" s="51"/>
      <c r="H1075" s="51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</row>
    <row r="1076">
      <c r="A1076" s="51"/>
      <c r="B1076" s="51"/>
      <c r="C1076" s="51"/>
      <c r="D1076" s="245" t="s">
        <v>166</v>
      </c>
      <c r="E1076" s="51"/>
      <c r="F1076" s="51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</row>
    <row r="1077">
      <c r="A1077" s="51"/>
      <c r="B1077" s="51"/>
      <c r="C1077" s="51"/>
      <c r="D1077" s="245" t="s">
        <v>1083</v>
      </c>
      <c r="E1077" s="51"/>
      <c r="F1077" s="51"/>
      <c r="G1077" s="51"/>
      <c r="H1077" s="51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</row>
    <row r="1078">
      <c r="A1078" s="51"/>
      <c r="B1078" s="51"/>
      <c r="C1078" s="51"/>
      <c r="D1078" s="245" t="s">
        <v>5680</v>
      </c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>
      <c r="A1079" s="51"/>
      <c r="B1079" s="51"/>
      <c r="C1079" s="51"/>
      <c r="D1079" s="245" t="s">
        <v>3285</v>
      </c>
      <c r="E1079" s="51"/>
      <c r="F1079" s="51"/>
      <c r="G1079" s="51"/>
      <c r="H1079" s="51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</row>
    <row r="1080">
      <c r="A1080" s="51"/>
      <c r="B1080" s="51"/>
      <c r="C1080" s="51"/>
      <c r="D1080" s="245" t="s">
        <v>5681</v>
      </c>
      <c r="E1080" s="51"/>
      <c r="F1080" s="51"/>
      <c r="G1080" s="51"/>
      <c r="H1080" s="51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</row>
    <row r="1081">
      <c r="A1081" s="51"/>
      <c r="B1081" s="51"/>
      <c r="C1081" s="51"/>
      <c r="D1081" s="245" t="s">
        <v>5682</v>
      </c>
      <c r="E1081" s="51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</row>
    <row r="1082">
      <c r="A1082" s="51"/>
      <c r="B1082" s="51"/>
      <c r="C1082" s="51"/>
      <c r="D1082" s="245" t="s">
        <v>5683</v>
      </c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>
      <c r="A1083" s="51"/>
      <c r="B1083" s="51"/>
      <c r="C1083" s="51"/>
      <c r="D1083" s="245" t="s">
        <v>5684</v>
      </c>
      <c r="E1083" s="51"/>
      <c r="F1083" s="51"/>
      <c r="G1083" s="51"/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</row>
    <row r="1084">
      <c r="A1084" s="51"/>
      <c r="B1084" s="51"/>
      <c r="C1084" s="51"/>
      <c r="D1084" s="245" t="s">
        <v>5685</v>
      </c>
      <c r="E1084" s="51"/>
      <c r="F1084" s="51"/>
      <c r="G1084" s="51"/>
      <c r="H1084" s="51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</row>
    <row r="1085">
      <c r="A1085" s="51"/>
      <c r="B1085" s="51"/>
      <c r="C1085" s="51"/>
      <c r="D1085" s="245" t="s">
        <v>5686</v>
      </c>
      <c r="E1085" s="51"/>
      <c r="F1085" s="51"/>
      <c r="G1085" s="51"/>
      <c r="H1085" s="51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</row>
    <row r="1086">
      <c r="A1086" s="51"/>
      <c r="B1086" s="51"/>
      <c r="C1086" s="51"/>
      <c r="D1086" s="245" t="s">
        <v>784</v>
      </c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>
      <c r="A1087" s="51"/>
      <c r="B1087" s="51"/>
      <c r="C1087" s="51"/>
      <c r="D1087" s="245" t="s">
        <v>5687</v>
      </c>
      <c r="E1087" s="51"/>
      <c r="F1087" s="51"/>
      <c r="G1087" s="51"/>
      <c r="H1087" s="51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</row>
    <row r="1088">
      <c r="A1088" s="51"/>
      <c r="B1088" s="51"/>
      <c r="C1088" s="51"/>
      <c r="D1088" s="245" t="s">
        <v>948</v>
      </c>
      <c r="E1088" s="51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</row>
    <row r="1089">
      <c r="A1089" s="51"/>
      <c r="B1089" s="51"/>
      <c r="C1089" s="51"/>
      <c r="D1089" s="245" t="s">
        <v>5688</v>
      </c>
      <c r="E1089" s="51"/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</row>
    <row r="1090">
      <c r="A1090" s="51"/>
      <c r="B1090" s="51"/>
      <c r="C1090" s="51"/>
      <c r="D1090" s="245" t="s">
        <v>215</v>
      </c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>
      <c r="A1091" s="51"/>
      <c r="B1091" s="51"/>
      <c r="C1091" s="51"/>
      <c r="D1091" s="245" t="s">
        <v>5689</v>
      </c>
      <c r="E1091" s="51"/>
      <c r="F1091" s="51"/>
      <c r="G1091" s="51"/>
      <c r="H1091" s="51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</row>
    <row r="1092">
      <c r="A1092" s="51"/>
      <c r="B1092" s="51"/>
      <c r="C1092" s="51"/>
      <c r="D1092" s="245" t="s">
        <v>5690</v>
      </c>
      <c r="E1092" s="51"/>
      <c r="F1092" s="51"/>
      <c r="G1092" s="51"/>
      <c r="H1092" s="51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</row>
    <row r="1093">
      <c r="A1093" s="51"/>
      <c r="B1093" s="51"/>
      <c r="C1093" s="51"/>
      <c r="D1093" s="245" t="s">
        <v>5691</v>
      </c>
      <c r="E1093" s="51"/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</row>
    <row r="1094">
      <c r="A1094" s="51"/>
      <c r="B1094" s="51"/>
      <c r="C1094" s="51"/>
      <c r="D1094" s="245" t="s">
        <v>5692</v>
      </c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>
      <c r="A1095" s="51"/>
      <c r="B1095" s="51"/>
      <c r="C1095" s="51"/>
      <c r="D1095" s="245" t="s">
        <v>5693</v>
      </c>
      <c r="E1095" s="51"/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</row>
    <row r="1096">
      <c r="A1096" s="51"/>
      <c r="B1096" s="51"/>
      <c r="C1096" s="51"/>
      <c r="D1096" s="245" t="s">
        <v>5694</v>
      </c>
      <c r="E1096" s="51"/>
      <c r="F1096" s="51"/>
      <c r="G1096" s="51"/>
      <c r="H1096" s="51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</row>
    <row r="1097">
      <c r="A1097" s="51"/>
      <c r="B1097" s="51"/>
      <c r="C1097" s="51"/>
      <c r="D1097" s="245" t="s">
        <v>5695</v>
      </c>
      <c r="E1097" s="51"/>
      <c r="F1097" s="51"/>
      <c r="G1097" s="51"/>
      <c r="H1097" s="51"/>
      <c r="I1097" s="51"/>
      <c r="J1097" s="51"/>
      <c r="K1097" s="51"/>
      <c r="L1097" s="51"/>
      <c r="M1097" s="51"/>
      <c r="N1097" s="51"/>
      <c r="O1097" s="51"/>
      <c r="P1097" s="51"/>
      <c r="Q1097" s="51"/>
      <c r="R1097" s="51"/>
    </row>
    <row r="1098">
      <c r="A1098" s="51"/>
      <c r="B1098" s="51"/>
      <c r="C1098" s="51"/>
      <c r="D1098" s="245" t="s">
        <v>5696</v>
      </c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>
      <c r="A1099" s="51"/>
      <c r="B1099" s="51"/>
      <c r="C1099" s="51"/>
      <c r="D1099" s="245" t="s">
        <v>5697</v>
      </c>
      <c r="E1099" s="51"/>
      <c r="F1099" s="51"/>
      <c r="G1099" s="51"/>
      <c r="H1099" s="51"/>
      <c r="I1099" s="51"/>
      <c r="J1099" s="51"/>
      <c r="K1099" s="51"/>
      <c r="L1099" s="51"/>
      <c r="M1099" s="51"/>
      <c r="N1099" s="51"/>
      <c r="O1099" s="51"/>
      <c r="P1099" s="51"/>
      <c r="Q1099" s="51"/>
      <c r="R1099" s="51"/>
    </row>
    <row r="1100">
      <c r="A1100" s="51"/>
      <c r="B1100" s="51"/>
      <c r="C1100" s="51"/>
      <c r="D1100" s="245" t="s">
        <v>5698</v>
      </c>
      <c r="E1100" s="51"/>
      <c r="F1100" s="51"/>
      <c r="G1100" s="51"/>
      <c r="H1100" s="51"/>
      <c r="I1100" s="51"/>
      <c r="J1100" s="51"/>
      <c r="K1100" s="51"/>
      <c r="L1100" s="51"/>
      <c r="M1100" s="51"/>
      <c r="N1100" s="51"/>
      <c r="O1100" s="51"/>
      <c r="P1100" s="51"/>
      <c r="Q1100" s="51"/>
      <c r="R1100" s="51"/>
    </row>
    <row r="1101">
      <c r="A1101" s="51"/>
      <c r="B1101" s="51"/>
      <c r="C1101" s="51"/>
      <c r="D1101" s="245" t="s">
        <v>5699</v>
      </c>
      <c r="E1101" s="51"/>
      <c r="F1101" s="51"/>
      <c r="G1101" s="51"/>
      <c r="H1101" s="51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</row>
    <row r="1102">
      <c r="A1102" s="51"/>
      <c r="B1102" s="51"/>
      <c r="C1102" s="51"/>
      <c r="D1102" s="245" t="s">
        <v>1091</v>
      </c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>
      <c r="A1103" s="51"/>
      <c r="B1103" s="51"/>
      <c r="C1103" s="51"/>
      <c r="D1103" s="245" t="s">
        <v>5700</v>
      </c>
      <c r="E1103" s="51"/>
      <c r="F1103" s="51"/>
      <c r="G1103" s="51"/>
      <c r="H1103" s="51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</row>
    <row r="1104">
      <c r="A1104" s="51"/>
      <c r="B1104" s="51"/>
      <c r="C1104" s="51"/>
      <c r="D1104" s="245" t="s">
        <v>5701</v>
      </c>
      <c r="E1104" s="51"/>
      <c r="F1104" s="51"/>
      <c r="G1104" s="51"/>
      <c r="H1104" s="51"/>
      <c r="I1104" s="51"/>
      <c r="J1104" s="51"/>
      <c r="K1104" s="51"/>
      <c r="L1104" s="51"/>
      <c r="M1104" s="51"/>
      <c r="N1104" s="51"/>
      <c r="O1104" s="51"/>
      <c r="P1104" s="51"/>
      <c r="Q1104" s="51"/>
      <c r="R1104" s="51"/>
    </row>
    <row r="1105">
      <c r="A1105" s="51"/>
      <c r="B1105" s="51"/>
      <c r="C1105" s="51"/>
      <c r="D1105" s="245" t="s">
        <v>5702</v>
      </c>
      <c r="E1105" s="51"/>
      <c r="F1105" s="51"/>
      <c r="G1105" s="51"/>
      <c r="H1105" s="51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</row>
    <row r="1106">
      <c r="A1106" s="51"/>
      <c r="B1106" s="51"/>
      <c r="C1106" s="51"/>
      <c r="D1106" s="245" t="s">
        <v>5703</v>
      </c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>
      <c r="A1107" s="51"/>
      <c r="B1107" s="51"/>
      <c r="C1107" s="51"/>
      <c r="D1107" s="245" t="s">
        <v>176</v>
      </c>
      <c r="E1107" s="51"/>
      <c r="F1107" s="51"/>
      <c r="G1107" s="51"/>
      <c r="H1107" s="51"/>
      <c r="I1107" s="51"/>
      <c r="J1107" s="51"/>
      <c r="K1107" s="51"/>
      <c r="L1107" s="51"/>
      <c r="M1107" s="51"/>
      <c r="N1107" s="51"/>
      <c r="O1107" s="51"/>
      <c r="P1107" s="51"/>
      <c r="Q1107" s="51"/>
      <c r="R1107" s="51"/>
    </row>
    <row r="1108">
      <c r="A1108" s="51"/>
      <c r="B1108" s="51"/>
      <c r="C1108" s="51"/>
      <c r="D1108" s="245" t="s">
        <v>5704</v>
      </c>
      <c r="E1108" s="51"/>
      <c r="F1108" s="51"/>
      <c r="G1108" s="51"/>
      <c r="H1108" s="51"/>
      <c r="I1108" s="51"/>
      <c r="J1108" s="51"/>
      <c r="K1108" s="51"/>
      <c r="L1108" s="51"/>
      <c r="M1108" s="51"/>
      <c r="N1108" s="51"/>
      <c r="O1108" s="51"/>
      <c r="P1108" s="51"/>
      <c r="Q1108" s="51"/>
      <c r="R1108" s="51"/>
    </row>
    <row r="1109">
      <c r="A1109" s="51"/>
      <c r="B1109" s="51"/>
      <c r="C1109" s="51"/>
      <c r="D1109" s="245" t="s">
        <v>5705</v>
      </c>
      <c r="E1109" s="51"/>
      <c r="F1109" s="51"/>
      <c r="G1109" s="51"/>
      <c r="H1109" s="51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</row>
    <row r="1110">
      <c r="A1110" s="51"/>
      <c r="B1110" s="51"/>
      <c r="C1110" s="51"/>
      <c r="D1110" s="245" t="s">
        <v>5706</v>
      </c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>
      <c r="A1111" s="51"/>
      <c r="B1111" s="51"/>
      <c r="C1111" s="51"/>
      <c r="D1111" s="245" t="s">
        <v>5707</v>
      </c>
      <c r="E1111" s="51"/>
      <c r="F1111" s="51"/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</row>
    <row r="1112">
      <c r="A1112" s="51"/>
      <c r="B1112" s="51"/>
      <c r="C1112" s="51"/>
      <c r="D1112" s="245" t="s">
        <v>5708</v>
      </c>
      <c r="E1112" s="51"/>
      <c r="F1112" s="51"/>
      <c r="G1112" s="51"/>
      <c r="H1112" s="51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</row>
    <row r="1113">
      <c r="A1113" s="51"/>
      <c r="B1113" s="51"/>
      <c r="C1113" s="51"/>
      <c r="D1113" s="245" t="s">
        <v>5709</v>
      </c>
      <c r="E1113" s="51"/>
      <c r="F1113" s="51"/>
      <c r="G1113" s="51"/>
      <c r="H1113" s="51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</row>
    <row r="1114">
      <c r="A1114" s="51"/>
      <c r="B1114" s="51"/>
      <c r="C1114" s="51"/>
      <c r="D1114" s="245" t="s">
        <v>5710</v>
      </c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>
      <c r="A1115" s="51"/>
      <c r="B1115" s="51"/>
      <c r="C1115" s="51"/>
      <c r="D1115" s="245" t="s">
        <v>771</v>
      </c>
      <c r="E1115" s="51"/>
      <c r="F1115" s="51"/>
      <c r="G1115" s="51"/>
      <c r="H1115" s="51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</row>
    <row r="1116">
      <c r="A1116" s="51"/>
      <c r="B1116" s="51"/>
      <c r="C1116" s="51"/>
      <c r="D1116" s="245" t="s">
        <v>969</v>
      </c>
      <c r="E1116" s="51"/>
      <c r="F1116" s="51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</row>
    <row r="1117">
      <c r="A1117" s="51"/>
      <c r="B1117" s="51"/>
      <c r="C1117" s="51"/>
      <c r="D1117" s="245" t="s">
        <v>976</v>
      </c>
      <c r="E1117" s="51"/>
      <c r="F1117" s="51"/>
      <c r="G1117" s="51"/>
      <c r="H1117" s="51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</row>
    <row r="1118">
      <c r="A1118" s="51"/>
      <c r="B1118" s="51"/>
      <c r="C1118" s="51"/>
      <c r="D1118" s="245" t="s">
        <v>1814</v>
      </c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>
      <c r="A1119" s="51"/>
      <c r="B1119" s="51"/>
      <c r="C1119" s="51"/>
      <c r="D1119" s="245" t="s">
        <v>5711</v>
      </c>
      <c r="E1119" s="51"/>
      <c r="F1119" s="51"/>
      <c r="G1119" s="51"/>
      <c r="H1119" s="51"/>
      <c r="I1119" s="51"/>
      <c r="J1119" s="51"/>
      <c r="K1119" s="51"/>
      <c r="L1119" s="51"/>
      <c r="M1119" s="51"/>
      <c r="N1119" s="51"/>
      <c r="O1119" s="51"/>
      <c r="P1119" s="51"/>
      <c r="Q1119" s="51"/>
      <c r="R1119" s="51"/>
    </row>
    <row r="1120">
      <c r="A1120" s="51"/>
      <c r="B1120" s="51"/>
      <c r="C1120" s="51"/>
      <c r="D1120" s="245" t="s">
        <v>3213</v>
      </c>
      <c r="E1120" s="51"/>
      <c r="F1120" s="51"/>
      <c r="G1120" s="51"/>
      <c r="H1120" s="51"/>
      <c r="I1120" s="51"/>
      <c r="J1120" s="51"/>
      <c r="K1120" s="51"/>
      <c r="L1120" s="51"/>
      <c r="M1120" s="51"/>
      <c r="N1120" s="51"/>
      <c r="O1120" s="51"/>
      <c r="P1120" s="51"/>
      <c r="Q1120" s="51"/>
      <c r="R1120" s="51"/>
    </row>
    <row r="1121">
      <c r="A1121" s="51"/>
      <c r="B1121" s="51"/>
      <c r="C1121" s="51"/>
      <c r="D1121" s="245" t="s">
        <v>5712</v>
      </c>
      <c r="E1121" s="51"/>
      <c r="F1121" s="51"/>
      <c r="G1121" s="51"/>
      <c r="H1121" s="51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</row>
    <row r="1122">
      <c r="A1122" s="51"/>
      <c r="B1122" s="51"/>
      <c r="C1122" s="51"/>
      <c r="D1122" s="245" t="s">
        <v>5713</v>
      </c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>
      <c r="A1123" s="51"/>
      <c r="B1123" s="51"/>
      <c r="C1123" s="51"/>
      <c r="D1123" s="245" t="s">
        <v>5714</v>
      </c>
      <c r="E1123" s="51"/>
      <c r="F1123" s="51"/>
      <c r="G1123" s="51"/>
      <c r="H1123" s="51"/>
      <c r="I1123" s="51"/>
      <c r="J1123" s="51"/>
      <c r="K1123" s="51"/>
      <c r="L1123" s="51"/>
      <c r="M1123" s="51"/>
      <c r="N1123" s="51"/>
      <c r="O1123" s="51"/>
      <c r="P1123" s="51"/>
      <c r="Q1123" s="51"/>
      <c r="R1123" s="51"/>
    </row>
    <row r="1124">
      <c r="A1124" s="51"/>
      <c r="B1124" s="51"/>
      <c r="C1124" s="51"/>
      <c r="D1124" s="245" t="s">
        <v>5715</v>
      </c>
      <c r="E1124" s="51"/>
      <c r="F1124" s="51"/>
      <c r="G1124" s="51"/>
      <c r="H1124" s="51"/>
      <c r="I1124" s="51"/>
      <c r="J1124" s="51"/>
      <c r="K1124" s="51"/>
      <c r="L1124" s="51"/>
      <c r="M1124" s="51"/>
      <c r="N1124" s="51"/>
      <c r="O1124" s="51"/>
      <c r="P1124" s="51"/>
      <c r="Q1124" s="51"/>
      <c r="R1124" s="51"/>
    </row>
    <row r="1125">
      <c r="A1125" s="51"/>
      <c r="B1125" s="51"/>
      <c r="C1125" s="51"/>
      <c r="D1125" s="245" t="s">
        <v>5716</v>
      </c>
      <c r="E1125" s="51"/>
      <c r="F1125" s="51"/>
      <c r="G1125" s="51"/>
      <c r="H1125" s="51"/>
      <c r="I1125" s="51"/>
      <c r="J1125" s="51"/>
      <c r="K1125" s="51"/>
      <c r="L1125" s="51"/>
      <c r="M1125" s="51"/>
      <c r="N1125" s="51"/>
      <c r="O1125" s="51"/>
      <c r="P1125" s="51"/>
      <c r="Q1125" s="51"/>
      <c r="R1125" s="51"/>
    </row>
    <row r="1126">
      <c r="A1126" s="51"/>
      <c r="B1126" s="51"/>
      <c r="C1126" s="51"/>
      <c r="D1126" s="245" t="s">
        <v>5717</v>
      </c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>
      <c r="A1127" s="51"/>
      <c r="B1127" s="51"/>
      <c r="C1127" s="51"/>
      <c r="D1127" s="245" t="s">
        <v>5718</v>
      </c>
      <c r="E1127" s="51"/>
      <c r="F1127" s="51"/>
      <c r="G1127" s="51"/>
      <c r="H1127" s="51"/>
      <c r="I1127" s="51"/>
      <c r="J1127" s="51"/>
      <c r="K1127" s="51"/>
      <c r="L1127" s="51"/>
      <c r="M1127" s="51"/>
      <c r="N1127" s="51"/>
      <c r="O1127" s="51"/>
      <c r="P1127" s="51"/>
      <c r="Q1127" s="51"/>
      <c r="R1127" s="51"/>
    </row>
    <row r="1128">
      <c r="A1128" s="51"/>
      <c r="B1128" s="51"/>
      <c r="C1128" s="51"/>
      <c r="D1128" s="245" t="s">
        <v>5719</v>
      </c>
      <c r="E1128" s="51"/>
      <c r="F1128" s="51"/>
      <c r="G1128" s="51"/>
      <c r="H1128" s="51"/>
      <c r="I1128" s="51"/>
      <c r="J1128" s="51"/>
      <c r="K1128" s="51"/>
      <c r="L1128" s="51"/>
      <c r="M1128" s="51"/>
      <c r="N1128" s="51"/>
      <c r="O1128" s="51"/>
      <c r="P1128" s="51"/>
      <c r="Q1128" s="51"/>
      <c r="R1128" s="51"/>
    </row>
    <row r="1129">
      <c r="A1129" s="51"/>
      <c r="B1129" s="51"/>
      <c r="C1129" s="51"/>
      <c r="D1129" s="245" t="s">
        <v>3918</v>
      </c>
      <c r="E1129" s="51"/>
      <c r="F1129" s="51"/>
      <c r="G1129" s="51"/>
      <c r="H1129" s="51"/>
      <c r="I1129" s="51"/>
      <c r="J1129" s="51"/>
      <c r="K1129" s="51"/>
      <c r="L1129" s="51"/>
      <c r="M1129" s="51"/>
      <c r="N1129" s="51"/>
      <c r="O1129" s="51"/>
      <c r="P1129" s="51"/>
      <c r="Q1129" s="51"/>
      <c r="R1129" s="51"/>
    </row>
    <row r="1130">
      <c r="A1130" s="51"/>
      <c r="B1130" s="51"/>
      <c r="C1130" s="51"/>
      <c r="D1130" s="245" t="s">
        <v>5720</v>
      </c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>
      <c r="A1131" s="51"/>
      <c r="B1131" s="51"/>
      <c r="C1131" s="51"/>
      <c r="D1131" s="245" t="s">
        <v>5721</v>
      </c>
      <c r="E1131" s="51"/>
      <c r="F1131" s="51"/>
      <c r="G1131" s="51"/>
      <c r="H1131" s="51"/>
      <c r="I1131" s="51"/>
      <c r="J1131" s="51"/>
      <c r="K1131" s="51"/>
      <c r="L1131" s="51"/>
      <c r="M1131" s="51"/>
      <c r="N1131" s="51"/>
      <c r="O1131" s="51"/>
      <c r="P1131" s="51"/>
      <c r="Q1131" s="51"/>
      <c r="R1131" s="51"/>
    </row>
    <row r="1132">
      <c r="A1132" s="51"/>
      <c r="B1132" s="51"/>
      <c r="C1132" s="51"/>
      <c r="D1132" s="245" t="s">
        <v>3362</v>
      </c>
      <c r="E1132" s="51"/>
      <c r="F1132" s="51"/>
      <c r="G1132" s="51"/>
      <c r="H1132" s="51"/>
      <c r="I1132" s="51"/>
      <c r="J1132" s="51"/>
      <c r="K1132" s="51"/>
      <c r="L1132" s="51"/>
      <c r="M1132" s="51"/>
      <c r="N1132" s="51"/>
      <c r="O1132" s="51"/>
      <c r="P1132" s="51"/>
      <c r="Q1132" s="51"/>
      <c r="R1132" s="51"/>
    </row>
    <row r="1133">
      <c r="A1133" s="51"/>
      <c r="B1133" s="51"/>
      <c r="C1133" s="51"/>
      <c r="D1133" s="245" t="s">
        <v>934</v>
      </c>
      <c r="E1133" s="51"/>
      <c r="F1133" s="51"/>
      <c r="G1133" s="51"/>
      <c r="H1133" s="51"/>
      <c r="I1133" s="51"/>
      <c r="J1133" s="51"/>
      <c r="K1133" s="51"/>
      <c r="L1133" s="51"/>
      <c r="M1133" s="51"/>
      <c r="N1133" s="51"/>
      <c r="O1133" s="51"/>
      <c r="P1133" s="51"/>
      <c r="Q1133" s="51"/>
      <c r="R1133" s="51"/>
    </row>
    <row r="1134">
      <c r="A1134" s="51"/>
      <c r="B1134" s="51"/>
      <c r="C1134" s="51"/>
      <c r="D1134" s="245" t="s">
        <v>1219</v>
      </c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>
      <c r="A1135" s="51"/>
      <c r="B1135" s="51"/>
      <c r="C1135" s="51"/>
      <c r="D1135" s="245" t="s">
        <v>1396</v>
      </c>
      <c r="E1135" s="51"/>
      <c r="F1135" s="51"/>
      <c r="G1135" s="51"/>
      <c r="H1135" s="51"/>
      <c r="I1135" s="51"/>
      <c r="J1135" s="51"/>
      <c r="K1135" s="51"/>
      <c r="L1135" s="51"/>
      <c r="M1135" s="51"/>
      <c r="N1135" s="51"/>
      <c r="O1135" s="51"/>
      <c r="P1135" s="51"/>
      <c r="Q1135" s="51"/>
      <c r="R1135" s="51"/>
    </row>
    <row r="1136">
      <c r="A1136" s="51"/>
      <c r="B1136" s="51"/>
      <c r="C1136" s="51"/>
      <c r="D1136" s="245" t="s">
        <v>5722</v>
      </c>
      <c r="E1136" s="51"/>
      <c r="F1136" s="51"/>
      <c r="G1136" s="51"/>
      <c r="H1136" s="51"/>
      <c r="I1136" s="51"/>
      <c r="J1136" s="51"/>
      <c r="K1136" s="51"/>
      <c r="L1136" s="51"/>
      <c r="M1136" s="51"/>
      <c r="N1136" s="51"/>
      <c r="O1136" s="51"/>
      <c r="P1136" s="51"/>
      <c r="Q1136" s="51"/>
      <c r="R1136" s="51"/>
    </row>
    <row r="1137">
      <c r="A1137" s="51"/>
      <c r="B1137" s="51"/>
      <c r="C1137" s="51"/>
      <c r="D1137" s="245" t="s">
        <v>3407</v>
      </c>
      <c r="E1137" s="51"/>
      <c r="F1137" s="51"/>
      <c r="G1137" s="51"/>
      <c r="H1137" s="51"/>
      <c r="I1137" s="51"/>
      <c r="J1137" s="51"/>
      <c r="K1137" s="51"/>
      <c r="L1137" s="51"/>
      <c r="M1137" s="51"/>
      <c r="N1137" s="51"/>
      <c r="O1137" s="51"/>
      <c r="P1137" s="51"/>
      <c r="Q1137" s="51"/>
      <c r="R1137" s="51"/>
    </row>
    <row r="1138">
      <c r="A1138" s="51"/>
      <c r="B1138" s="51"/>
      <c r="C1138" s="51"/>
      <c r="D1138" s="245" t="s">
        <v>5723</v>
      </c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>
      <c r="A1139" s="51"/>
      <c r="B1139" s="51"/>
      <c r="C1139" s="51"/>
      <c r="D1139" s="245" t="s">
        <v>5724</v>
      </c>
      <c r="E1139" s="51"/>
      <c r="F1139" s="51"/>
      <c r="G1139" s="51"/>
      <c r="H1139" s="51"/>
      <c r="I1139" s="51"/>
      <c r="J1139" s="51"/>
      <c r="K1139" s="51"/>
      <c r="L1139" s="51"/>
      <c r="M1139" s="51"/>
      <c r="N1139" s="51"/>
      <c r="O1139" s="51"/>
      <c r="P1139" s="51"/>
      <c r="Q1139" s="51"/>
      <c r="R1139" s="51"/>
    </row>
    <row r="1140">
      <c r="A1140" s="51"/>
      <c r="B1140" s="51"/>
      <c r="C1140" s="51"/>
      <c r="D1140" s="245" t="s">
        <v>3370</v>
      </c>
      <c r="E1140" s="51"/>
      <c r="F1140" s="51"/>
      <c r="G1140" s="51"/>
      <c r="H1140" s="51"/>
      <c r="I1140" s="51"/>
      <c r="J1140" s="51"/>
      <c r="K1140" s="51"/>
      <c r="L1140" s="51"/>
      <c r="M1140" s="51"/>
      <c r="N1140" s="51"/>
      <c r="O1140" s="51"/>
      <c r="P1140" s="51"/>
      <c r="Q1140" s="51"/>
      <c r="R1140" s="51"/>
    </row>
    <row r="1141">
      <c r="A1141" s="51"/>
      <c r="B1141" s="51"/>
      <c r="C1141" s="51"/>
      <c r="D1141" s="245" t="s">
        <v>5725</v>
      </c>
      <c r="E1141" s="51"/>
      <c r="F1141" s="51"/>
      <c r="G1141" s="51"/>
      <c r="H1141" s="51"/>
      <c r="I1141" s="51"/>
      <c r="J1141" s="51"/>
      <c r="K1141" s="51"/>
      <c r="L1141" s="51"/>
      <c r="M1141" s="51"/>
      <c r="N1141" s="51"/>
      <c r="O1141" s="51"/>
      <c r="P1141" s="51"/>
      <c r="Q1141" s="51"/>
      <c r="R1141" s="51"/>
    </row>
    <row r="1142">
      <c r="A1142" s="51"/>
      <c r="B1142" s="51"/>
      <c r="C1142" s="51"/>
      <c r="D1142" s="245" t="s">
        <v>5726</v>
      </c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>
      <c r="A1143" s="51"/>
      <c r="B1143" s="51"/>
      <c r="C1143" s="51"/>
      <c r="D1143" s="245" t="s">
        <v>5727</v>
      </c>
      <c r="E1143" s="51"/>
      <c r="F1143" s="51"/>
      <c r="G1143" s="51"/>
      <c r="H1143" s="51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</row>
    <row r="1144">
      <c r="A1144" s="51"/>
      <c r="B1144" s="51"/>
      <c r="C1144" s="51"/>
      <c r="D1144" s="245" t="s">
        <v>5728</v>
      </c>
      <c r="E1144" s="51"/>
      <c r="F1144" s="51"/>
      <c r="G1144" s="51"/>
      <c r="H1144" s="51"/>
      <c r="I1144" s="51"/>
      <c r="J1144" s="51"/>
      <c r="K1144" s="51"/>
      <c r="L1144" s="51"/>
      <c r="M1144" s="51"/>
      <c r="N1144" s="51"/>
      <c r="O1144" s="51"/>
      <c r="P1144" s="51"/>
      <c r="Q1144" s="51"/>
      <c r="R1144" s="51"/>
    </row>
    <row r="1145">
      <c r="A1145" s="51"/>
      <c r="B1145" s="51"/>
      <c r="C1145" s="51"/>
      <c r="D1145" s="245" t="s">
        <v>5729</v>
      </c>
      <c r="E1145" s="51"/>
      <c r="F1145" s="51"/>
      <c r="G1145" s="51"/>
      <c r="H1145" s="51"/>
      <c r="I1145" s="51"/>
      <c r="J1145" s="51"/>
      <c r="K1145" s="51"/>
      <c r="L1145" s="51"/>
      <c r="M1145" s="51"/>
      <c r="N1145" s="51"/>
      <c r="O1145" s="51"/>
      <c r="P1145" s="51"/>
      <c r="Q1145" s="51"/>
      <c r="R1145" s="51"/>
    </row>
    <row r="1146">
      <c r="A1146" s="51"/>
      <c r="B1146" s="51"/>
      <c r="C1146" s="51"/>
      <c r="D1146" s="245" t="s">
        <v>5730</v>
      </c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>
      <c r="A1147" s="51"/>
      <c r="B1147" s="51"/>
      <c r="C1147" s="51"/>
      <c r="D1147" s="245" t="s">
        <v>5731</v>
      </c>
      <c r="E1147" s="51"/>
      <c r="F1147" s="51"/>
      <c r="G1147" s="51"/>
      <c r="H1147" s="51"/>
      <c r="I1147" s="51"/>
      <c r="J1147" s="51"/>
      <c r="K1147" s="51"/>
      <c r="L1147" s="51"/>
      <c r="M1147" s="51"/>
      <c r="N1147" s="51"/>
      <c r="O1147" s="51"/>
      <c r="P1147" s="51"/>
      <c r="Q1147" s="51"/>
      <c r="R1147" s="51"/>
    </row>
    <row r="1148">
      <c r="A1148" s="51"/>
      <c r="B1148" s="51"/>
      <c r="C1148" s="51"/>
      <c r="D1148" s="245" t="s">
        <v>5732</v>
      </c>
      <c r="E1148" s="51"/>
      <c r="F1148" s="51"/>
      <c r="G1148" s="51"/>
      <c r="H1148" s="51"/>
      <c r="I1148" s="51"/>
      <c r="J1148" s="51"/>
      <c r="K1148" s="51"/>
      <c r="L1148" s="51"/>
      <c r="M1148" s="51"/>
      <c r="N1148" s="51"/>
      <c r="O1148" s="51"/>
      <c r="P1148" s="51"/>
      <c r="Q1148" s="51"/>
      <c r="R1148" s="51"/>
    </row>
    <row r="1149">
      <c r="A1149" s="51"/>
      <c r="B1149" s="51"/>
      <c r="C1149" s="51"/>
      <c r="D1149" s="245" t="s">
        <v>5733</v>
      </c>
      <c r="E1149" s="51"/>
      <c r="F1149" s="51"/>
      <c r="G1149" s="51"/>
      <c r="H1149" s="51"/>
      <c r="I1149" s="51"/>
      <c r="J1149" s="51"/>
      <c r="K1149" s="51"/>
      <c r="L1149" s="51"/>
      <c r="M1149" s="51"/>
      <c r="N1149" s="51"/>
      <c r="O1149" s="51"/>
      <c r="P1149" s="51"/>
      <c r="Q1149" s="51"/>
      <c r="R1149" s="51"/>
    </row>
    <row r="1150">
      <c r="A1150" s="51"/>
      <c r="B1150" s="51"/>
      <c r="C1150" s="51"/>
      <c r="D1150" s="245" t="s">
        <v>5734</v>
      </c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>
      <c r="A1151" s="51"/>
      <c r="B1151" s="51"/>
      <c r="C1151" s="51"/>
      <c r="D1151" s="245" t="s">
        <v>399</v>
      </c>
      <c r="E1151" s="51"/>
      <c r="F1151" s="51"/>
      <c r="G1151" s="51"/>
      <c r="H1151" s="51"/>
      <c r="I1151" s="51"/>
      <c r="J1151" s="51"/>
      <c r="K1151" s="51"/>
      <c r="L1151" s="51"/>
      <c r="M1151" s="51"/>
      <c r="N1151" s="51"/>
      <c r="O1151" s="51"/>
      <c r="P1151" s="51"/>
      <c r="Q1151" s="51"/>
      <c r="R1151" s="51"/>
    </row>
    <row r="1152">
      <c r="A1152" s="51"/>
      <c r="B1152" s="51"/>
      <c r="C1152" s="51"/>
      <c r="D1152" s="245" t="s">
        <v>1467</v>
      </c>
      <c r="E1152" s="51"/>
      <c r="F1152" s="51"/>
      <c r="G1152" s="51"/>
      <c r="H1152" s="51"/>
      <c r="I1152" s="51"/>
      <c r="J1152" s="51"/>
      <c r="K1152" s="51"/>
      <c r="L1152" s="51"/>
      <c r="M1152" s="51"/>
      <c r="N1152" s="51"/>
      <c r="O1152" s="51"/>
      <c r="P1152" s="51"/>
      <c r="Q1152" s="51"/>
      <c r="R1152" s="51"/>
    </row>
    <row r="1153">
      <c r="A1153" s="51"/>
      <c r="B1153" s="51"/>
      <c r="C1153" s="51"/>
      <c r="D1153" s="245" t="s">
        <v>777</v>
      </c>
      <c r="E1153" s="51"/>
      <c r="F1153" s="51"/>
      <c r="G1153" s="51"/>
      <c r="H1153" s="51"/>
      <c r="I1153" s="51"/>
      <c r="J1153" s="51"/>
      <c r="K1153" s="51"/>
      <c r="L1153" s="51"/>
      <c r="M1153" s="51"/>
      <c r="N1153" s="51"/>
      <c r="O1153" s="51"/>
      <c r="P1153" s="51"/>
      <c r="Q1153" s="51"/>
      <c r="R1153" s="51"/>
    </row>
    <row r="1154">
      <c r="A1154" s="51"/>
      <c r="B1154" s="51"/>
      <c r="C1154" s="51"/>
      <c r="D1154" s="245" t="s">
        <v>3082</v>
      </c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>
      <c r="A1155" s="51"/>
      <c r="B1155" s="51"/>
      <c r="C1155" s="51"/>
      <c r="D1155" s="245" t="s">
        <v>5735</v>
      </c>
      <c r="E1155" s="51"/>
      <c r="F1155" s="51"/>
      <c r="G1155" s="51"/>
      <c r="H1155" s="51"/>
      <c r="I1155" s="51"/>
      <c r="J1155" s="51"/>
      <c r="K1155" s="51"/>
      <c r="L1155" s="51"/>
      <c r="M1155" s="51"/>
      <c r="N1155" s="51"/>
      <c r="O1155" s="51"/>
      <c r="P1155" s="51"/>
      <c r="Q1155" s="51"/>
      <c r="R1155" s="51"/>
    </row>
    <row r="1156">
      <c r="A1156" s="51"/>
      <c r="B1156" s="51"/>
      <c r="C1156" s="51"/>
      <c r="D1156" s="245" t="s">
        <v>5736</v>
      </c>
      <c r="E1156" s="51"/>
      <c r="F1156" s="51"/>
      <c r="G1156" s="51"/>
      <c r="H1156" s="51"/>
      <c r="I1156" s="51"/>
      <c r="J1156" s="51"/>
      <c r="K1156" s="51"/>
      <c r="L1156" s="51"/>
      <c r="M1156" s="51"/>
      <c r="N1156" s="51"/>
      <c r="O1156" s="51"/>
      <c r="P1156" s="51"/>
      <c r="Q1156" s="51"/>
      <c r="R1156" s="51"/>
    </row>
    <row r="1157">
      <c r="A1157" s="51"/>
      <c r="B1157" s="51"/>
      <c r="C1157" s="51"/>
      <c r="D1157" s="245" t="s">
        <v>5737</v>
      </c>
      <c r="E1157" s="51"/>
      <c r="F1157" s="51"/>
      <c r="G1157" s="51"/>
      <c r="H1157" s="51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</row>
    <row r="1158">
      <c r="A1158" s="51"/>
      <c r="B1158" s="51"/>
      <c r="C1158" s="51"/>
      <c r="D1158" s="245" t="s">
        <v>5738</v>
      </c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>
      <c r="A1159" s="51"/>
      <c r="B1159" s="51"/>
      <c r="C1159" s="51"/>
      <c r="D1159" s="245" t="s">
        <v>3223</v>
      </c>
      <c r="E1159" s="51"/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  <c r="Q1159" s="51"/>
      <c r="R1159" s="51"/>
    </row>
    <row r="1160">
      <c r="A1160" s="51"/>
      <c r="B1160" s="51"/>
      <c r="C1160" s="51"/>
      <c r="D1160" s="245" t="s">
        <v>5739</v>
      </c>
      <c r="E1160" s="51"/>
      <c r="F1160" s="51"/>
      <c r="G1160" s="51"/>
      <c r="H1160" s="51"/>
      <c r="I1160" s="51"/>
      <c r="J1160" s="51"/>
      <c r="K1160" s="51"/>
      <c r="L1160" s="51"/>
      <c r="M1160" s="51"/>
      <c r="N1160" s="51"/>
      <c r="O1160" s="51"/>
      <c r="P1160" s="51"/>
      <c r="Q1160" s="51"/>
      <c r="R1160" s="51"/>
    </row>
    <row r="1161">
      <c r="A1161" s="51"/>
      <c r="B1161" s="51"/>
      <c r="C1161" s="51"/>
      <c r="D1161" s="245" t="s">
        <v>5740</v>
      </c>
      <c r="E1161" s="51"/>
      <c r="F1161" s="51"/>
      <c r="G1161" s="51"/>
      <c r="H1161" s="51"/>
      <c r="I1161" s="51"/>
      <c r="J1161" s="51"/>
      <c r="K1161" s="51"/>
      <c r="L1161" s="51"/>
      <c r="M1161" s="51"/>
      <c r="N1161" s="51"/>
      <c r="O1161" s="51"/>
      <c r="P1161" s="51"/>
      <c r="Q1161" s="51"/>
      <c r="R1161" s="51"/>
    </row>
    <row r="1162">
      <c r="A1162" s="51"/>
      <c r="B1162" s="51"/>
      <c r="C1162" s="51"/>
      <c r="D1162" s="245" t="s">
        <v>5741</v>
      </c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>
      <c r="A1163" s="51"/>
      <c r="B1163" s="51"/>
      <c r="C1163" s="51"/>
      <c r="D1163" s="245" t="s">
        <v>5742</v>
      </c>
      <c r="E1163" s="51"/>
      <c r="F1163" s="51"/>
      <c r="G1163" s="51"/>
      <c r="H1163" s="51"/>
      <c r="I1163" s="51"/>
      <c r="J1163" s="51"/>
      <c r="K1163" s="51"/>
      <c r="L1163" s="51"/>
      <c r="M1163" s="51"/>
      <c r="N1163" s="51"/>
      <c r="O1163" s="51"/>
      <c r="P1163" s="51"/>
      <c r="Q1163" s="51"/>
      <c r="R1163" s="51"/>
    </row>
    <row r="1164">
      <c r="A1164" s="51"/>
      <c r="B1164" s="51"/>
      <c r="C1164" s="51"/>
      <c r="D1164" s="245" t="s">
        <v>5743</v>
      </c>
      <c r="E1164" s="51"/>
      <c r="F1164" s="51"/>
      <c r="G1164" s="51"/>
      <c r="H1164" s="51"/>
      <c r="I1164" s="51"/>
      <c r="J1164" s="51"/>
      <c r="K1164" s="51"/>
      <c r="L1164" s="51"/>
      <c r="M1164" s="51"/>
      <c r="N1164" s="51"/>
      <c r="O1164" s="51"/>
      <c r="P1164" s="51"/>
      <c r="Q1164" s="51"/>
      <c r="R1164" s="51"/>
    </row>
    <row r="1165">
      <c r="A1165" s="51"/>
      <c r="B1165" s="51"/>
      <c r="C1165" s="51"/>
      <c r="D1165" s="245" t="s">
        <v>5744</v>
      </c>
      <c r="E1165" s="51"/>
      <c r="F1165" s="51"/>
      <c r="G1165" s="51"/>
      <c r="H1165" s="51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</row>
    <row r="1166">
      <c r="A1166" s="51"/>
      <c r="B1166" s="51"/>
      <c r="C1166" s="51"/>
      <c r="D1166" s="245" t="s">
        <v>5745</v>
      </c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>
      <c r="A1167" s="51"/>
      <c r="B1167" s="51"/>
      <c r="C1167" s="51"/>
      <c r="D1167" s="245" t="s">
        <v>933</v>
      </c>
      <c r="E1167" s="51"/>
      <c r="F1167" s="51"/>
      <c r="G1167" s="51"/>
      <c r="H1167" s="51"/>
      <c r="I1167" s="51"/>
      <c r="J1167" s="51"/>
      <c r="K1167" s="51"/>
      <c r="L1167" s="51"/>
      <c r="M1167" s="51"/>
      <c r="N1167" s="51"/>
      <c r="O1167" s="51"/>
      <c r="P1167" s="51"/>
      <c r="Q1167" s="51"/>
      <c r="R1167" s="51"/>
    </row>
    <row r="1168">
      <c r="A1168" s="51"/>
      <c r="B1168" s="51"/>
      <c r="C1168" s="51"/>
      <c r="D1168" s="245" t="s">
        <v>297</v>
      </c>
      <c r="E1168" s="51"/>
      <c r="F1168" s="51"/>
      <c r="G1168" s="51"/>
      <c r="H1168" s="51"/>
      <c r="I1168" s="51"/>
      <c r="J1168" s="51"/>
      <c r="K1168" s="51"/>
      <c r="L1168" s="51"/>
      <c r="M1168" s="51"/>
      <c r="N1168" s="51"/>
      <c r="O1168" s="51"/>
      <c r="P1168" s="51"/>
      <c r="Q1168" s="51"/>
      <c r="R1168" s="51"/>
    </row>
    <row r="1169">
      <c r="A1169" s="51"/>
      <c r="B1169" s="51"/>
      <c r="C1169" s="51"/>
      <c r="D1169" s="245" t="s">
        <v>5746</v>
      </c>
      <c r="E1169" s="51"/>
      <c r="F1169" s="51"/>
      <c r="G1169" s="51"/>
      <c r="H1169" s="51"/>
      <c r="I1169" s="51"/>
      <c r="J1169" s="51"/>
      <c r="K1169" s="51"/>
      <c r="L1169" s="51"/>
      <c r="M1169" s="51"/>
      <c r="N1169" s="51"/>
      <c r="O1169" s="51"/>
      <c r="P1169" s="51"/>
      <c r="Q1169" s="51"/>
      <c r="R1169" s="51"/>
    </row>
    <row r="1170">
      <c r="A1170" s="51"/>
      <c r="B1170" s="51"/>
      <c r="C1170" s="51"/>
      <c r="D1170" s="245" t="s">
        <v>5747</v>
      </c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>
      <c r="A1171" s="51"/>
      <c r="B1171" s="51"/>
      <c r="C1171" s="51"/>
      <c r="D1171" s="245" t="s">
        <v>5748</v>
      </c>
      <c r="E1171" s="51"/>
      <c r="F1171" s="51"/>
      <c r="G1171" s="51"/>
      <c r="H1171" s="51"/>
      <c r="I1171" s="51"/>
      <c r="J1171" s="51"/>
      <c r="K1171" s="51"/>
      <c r="L1171" s="51"/>
      <c r="M1171" s="51"/>
      <c r="N1171" s="51"/>
      <c r="O1171" s="51"/>
      <c r="P1171" s="51"/>
      <c r="Q1171" s="51"/>
      <c r="R1171" s="51"/>
    </row>
    <row r="1172">
      <c r="A1172" s="51"/>
      <c r="B1172" s="51"/>
      <c r="C1172" s="51"/>
      <c r="D1172" s="245" t="s">
        <v>5749</v>
      </c>
      <c r="E1172" s="51"/>
      <c r="F1172" s="51"/>
      <c r="G1172" s="51"/>
      <c r="H1172" s="51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</row>
    <row r="1173">
      <c r="A1173" s="51"/>
      <c r="B1173" s="51"/>
      <c r="C1173" s="51"/>
      <c r="D1173" s="245" t="s">
        <v>801</v>
      </c>
      <c r="E1173" s="51"/>
      <c r="F1173" s="51"/>
      <c r="G1173" s="51"/>
      <c r="H1173" s="51"/>
      <c r="I1173" s="51"/>
      <c r="J1173" s="51"/>
      <c r="K1173" s="51"/>
      <c r="L1173" s="51"/>
      <c r="M1173" s="51"/>
      <c r="N1173" s="51"/>
      <c r="O1173" s="51"/>
      <c r="P1173" s="51"/>
      <c r="Q1173" s="51"/>
      <c r="R1173" s="51"/>
    </row>
    <row r="1174">
      <c r="A1174" s="51"/>
      <c r="B1174" s="51"/>
      <c r="C1174" s="51"/>
      <c r="D1174" s="245" t="s">
        <v>1030</v>
      </c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>
      <c r="A1175" s="51"/>
      <c r="B1175" s="51"/>
      <c r="C1175" s="51"/>
      <c r="D1175" s="245" t="s">
        <v>5750</v>
      </c>
      <c r="E1175" s="51"/>
      <c r="F1175" s="51"/>
      <c r="G1175" s="51"/>
      <c r="H1175" s="51"/>
      <c r="I1175" s="51"/>
      <c r="J1175" s="51"/>
      <c r="K1175" s="51"/>
      <c r="L1175" s="51"/>
      <c r="M1175" s="51"/>
      <c r="N1175" s="51"/>
      <c r="O1175" s="51"/>
      <c r="P1175" s="51"/>
      <c r="Q1175" s="51"/>
      <c r="R1175" s="51"/>
    </row>
    <row r="1176">
      <c r="A1176" s="51"/>
      <c r="B1176" s="51"/>
      <c r="C1176" s="51"/>
      <c r="D1176" s="245" t="s">
        <v>5751</v>
      </c>
      <c r="E1176" s="51"/>
      <c r="F1176" s="51"/>
      <c r="G1176" s="51"/>
      <c r="H1176" s="51"/>
      <c r="I1176" s="51"/>
      <c r="J1176" s="51"/>
      <c r="K1176" s="51"/>
      <c r="L1176" s="51"/>
      <c r="M1176" s="51"/>
      <c r="N1176" s="51"/>
      <c r="O1176" s="51"/>
      <c r="P1176" s="51"/>
      <c r="Q1176" s="51"/>
      <c r="R1176" s="51"/>
    </row>
    <row r="1177">
      <c r="A1177" s="51"/>
      <c r="B1177" s="51"/>
      <c r="C1177" s="51"/>
      <c r="D1177" s="245" t="s">
        <v>5752</v>
      </c>
      <c r="E1177" s="51"/>
      <c r="F1177" s="51"/>
      <c r="G1177" s="51"/>
      <c r="H1177" s="51"/>
      <c r="I1177" s="51"/>
      <c r="J1177" s="51"/>
      <c r="K1177" s="51"/>
      <c r="L1177" s="51"/>
      <c r="M1177" s="51"/>
      <c r="N1177" s="51"/>
      <c r="O1177" s="51"/>
      <c r="P1177" s="51"/>
      <c r="Q1177" s="51"/>
      <c r="R1177" s="51"/>
    </row>
    <row r="1178">
      <c r="A1178" s="51"/>
      <c r="B1178" s="51"/>
      <c r="C1178" s="51"/>
      <c r="D1178" s="245" t="s">
        <v>5753</v>
      </c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>
      <c r="A1179" s="51"/>
      <c r="B1179" s="51"/>
      <c r="C1179" s="51"/>
      <c r="D1179" s="245" t="s">
        <v>5754</v>
      </c>
      <c r="E1179" s="51"/>
      <c r="F1179" s="51"/>
      <c r="G1179" s="51"/>
      <c r="H1179" s="51"/>
      <c r="I1179" s="51"/>
      <c r="J1179" s="51"/>
      <c r="K1179" s="51"/>
      <c r="L1179" s="51"/>
      <c r="M1179" s="51"/>
      <c r="N1179" s="51"/>
      <c r="O1179" s="51"/>
      <c r="P1179" s="51"/>
      <c r="Q1179" s="51"/>
      <c r="R1179" s="51"/>
    </row>
    <row r="1180">
      <c r="A1180" s="51"/>
      <c r="B1180" s="51"/>
      <c r="C1180" s="51"/>
      <c r="D1180" s="245" t="s">
        <v>2817</v>
      </c>
      <c r="E1180" s="51"/>
      <c r="F1180" s="51"/>
      <c r="G1180" s="51"/>
      <c r="H1180" s="51"/>
      <c r="I1180" s="51"/>
      <c r="J1180" s="51"/>
      <c r="K1180" s="51"/>
      <c r="L1180" s="51"/>
      <c r="M1180" s="51"/>
      <c r="N1180" s="51"/>
      <c r="O1180" s="51"/>
      <c r="P1180" s="51"/>
      <c r="Q1180" s="51"/>
      <c r="R1180" s="51"/>
    </row>
    <row r="1181">
      <c r="A1181" s="51"/>
      <c r="B1181" s="51"/>
      <c r="C1181" s="51"/>
      <c r="D1181" s="245" t="s">
        <v>5755</v>
      </c>
      <c r="E1181" s="51"/>
      <c r="F1181" s="51"/>
      <c r="G1181" s="51"/>
      <c r="H1181" s="51"/>
      <c r="I1181" s="51"/>
      <c r="J1181" s="51"/>
      <c r="K1181" s="51"/>
      <c r="L1181" s="51"/>
      <c r="M1181" s="51"/>
      <c r="N1181" s="51"/>
      <c r="O1181" s="51"/>
      <c r="P1181" s="51"/>
      <c r="Q1181" s="51"/>
      <c r="R1181" s="51"/>
    </row>
    <row r="1182">
      <c r="A1182" s="51"/>
      <c r="B1182" s="51"/>
      <c r="C1182" s="51"/>
      <c r="D1182" s="245" t="s">
        <v>5756</v>
      </c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>
      <c r="A1183" s="51"/>
      <c r="B1183" s="51"/>
      <c r="C1183" s="51"/>
      <c r="D1183" s="245" t="s">
        <v>5757</v>
      </c>
      <c r="E1183" s="51"/>
      <c r="F1183" s="51"/>
      <c r="G1183" s="51"/>
      <c r="H1183" s="51"/>
      <c r="I1183" s="51"/>
      <c r="J1183" s="51"/>
      <c r="K1183" s="51"/>
      <c r="L1183" s="51"/>
      <c r="M1183" s="51"/>
      <c r="N1183" s="51"/>
      <c r="O1183" s="51"/>
      <c r="P1183" s="51"/>
      <c r="Q1183" s="51"/>
      <c r="R1183" s="51"/>
    </row>
    <row r="1184">
      <c r="A1184" s="51"/>
      <c r="B1184" s="51"/>
      <c r="C1184" s="51"/>
      <c r="D1184" s="245" t="s">
        <v>5758</v>
      </c>
      <c r="E1184" s="51"/>
      <c r="F1184" s="51"/>
      <c r="G1184" s="51"/>
      <c r="H1184" s="51"/>
      <c r="I1184" s="51"/>
      <c r="J1184" s="51"/>
      <c r="K1184" s="51"/>
      <c r="L1184" s="51"/>
      <c r="M1184" s="51"/>
      <c r="N1184" s="51"/>
      <c r="O1184" s="51"/>
      <c r="P1184" s="51"/>
      <c r="Q1184" s="51"/>
      <c r="R1184" s="51"/>
    </row>
    <row r="1185">
      <c r="A1185" s="51"/>
      <c r="B1185" s="51"/>
      <c r="C1185" s="51"/>
      <c r="D1185" s="245" t="s">
        <v>5759</v>
      </c>
      <c r="E1185" s="51"/>
      <c r="F1185" s="51"/>
      <c r="G1185" s="51"/>
      <c r="H1185" s="51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</row>
    <row r="1186">
      <c r="A1186" s="51"/>
      <c r="B1186" s="51"/>
      <c r="C1186" s="51"/>
      <c r="D1186" s="245" t="s">
        <v>5760</v>
      </c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>
      <c r="A1187" s="51"/>
      <c r="B1187" s="51"/>
      <c r="C1187" s="51"/>
      <c r="D1187" s="245" t="s">
        <v>5761</v>
      </c>
      <c r="E1187" s="51"/>
      <c r="F1187" s="51"/>
      <c r="G1187" s="51"/>
      <c r="H1187" s="51"/>
      <c r="I1187" s="51"/>
      <c r="J1187" s="51"/>
      <c r="K1187" s="51"/>
      <c r="L1187" s="51"/>
      <c r="M1187" s="51"/>
      <c r="N1187" s="51"/>
      <c r="O1187" s="51"/>
      <c r="P1187" s="51"/>
      <c r="Q1187" s="51"/>
      <c r="R1187" s="51"/>
    </row>
    <row r="1188">
      <c r="A1188" s="51"/>
      <c r="B1188" s="51"/>
      <c r="C1188" s="51"/>
      <c r="D1188" s="245" t="s">
        <v>5762</v>
      </c>
      <c r="E1188" s="51"/>
      <c r="F1188" s="51"/>
      <c r="G1188" s="51"/>
      <c r="H1188" s="51"/>
      <c r="I1188" s="51"/>
      <c r="J1188" s="51"/>
      <c r="K1188" s="51"/>
      <c r="L1188" s="51"/>
      <c r="M1188" s="51"/>
      <c r="N1188" s="51"/>
      <c r="O1188" s="51"/>
      <c r="P1188" s="51"/>
      <c r="Q1188" s="51"/>
      <c r="R1188" s="51"/>
    </row>
    <row r="1189">
      <c r="A1189" s="51"/>
      <c r="B1189" s="51"/>
      <c r="C1189" s="51"/>
      <c r="D1189" s="245" t="s">
        <v>5763</v>
      </c>
      <c r="E1189" s="51"/>
      <c r="F1189" s="51"/>
      <c r="G1189" s="51"/>
      <c r="H1189" s="51"/>
      <c r="I1189" s="51"/>
      <c r="J1189" s="51"/>
      <c r="K1189" s="51"/>
      <c r="L1189" s="51"/>
      <c r="M1189" s="51"/>
      <c r="N1189" s="51"/>
      <c r="O1189" s="51"/>
      <c r="P1189" s="51"/>
      <c r="Q1189" s="51"/>
      <c r="R1189" s="51"/>
    </row>
    <row r="1190">
      <c r="A1190" s="51"/>
      <c r="B1190" s="51"/>
      <c r="C1190" s="51"/>
      <c r="D1190" s="245" t="s">
        <v>3101</v>
      </c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>
      <c r="A1191" s="51"/>
      <c r="B1191" s="51"/>
      <c r="C1191" s="51"/>
      <c r="D1191" s="245" t="s">
        <v>5764</v>
      </c>
      <c r="E1191" s="51"/>
      <c r="F1191" s="51"/>
      <c r="G1191" s="51"/>
      <c r="H1191" s="51"/>
      <c r="I1191" s="51"/>
      <c r="J1191" s="51"/>
      <c r="K1191" s="51"/>
      <c r="L1191" s="51"/>
      <c r="M1191" s="51"/>
      <c r="N1191" s="51"/>
      <c r="O1191" s="51"/>
      <c r="P1191" s="51"/>
      <c r="Q1191" s="51"/>
      <c r="R1191" s="51"/>
    </row>
    <row r="1192">
      <c r="A1192" s="51"/>
      <c r="B1192" s="51"/>
      <c r="C1192" s="51"/>
      <c r="D1192" s="245" t="s">
        <v>5765</v>
      </c>
      <c r="E1192" s="51"/>
      <c r="F1192" s="51"/>
      <c r="G1192" s="51"/>
      <c r="H1192" s="51"/>
      <c r="I1192" s="51"/>
      <c r="J1192" s="51"/>
      <c r="K1192" s="51"/>
      <c r="L1192" s="51"/>
      <c r="M1192" s="51"/>
      <c r="N1192" s="51"/>
      <c r="O1192" s="51"/>
      <c r="P1192" s="51"/>
      <c r="Q1192" s="51"/>
      <c r="R1192" s="51"/>
    </row>
    <row r="1193">
      <c r="A1193" s="51"/>
      <c r="B1193" s="51"/>
      <c r="C1193" s="51"/>
      <c r="D1193" s="247" t="s">
        <v>2443</v>
      </c>
      <c r="E1193" s="51"/>
      <c r="F1193" s="51"/>
      <c r="G1193" s="51"/>
      <c r="H1193" s="51"/>
      <c r="I1193" s="51"/>
      <c r="J1193" s="51"/>
      <c r="K1193" s="51"/>
      <c r="L1193" s="51"/>
      <c r="M1193" s="51"/>
      <c r="N1193" s="51"/>
      <c r="O1193" s="51"/>
      <c r="P1193" s="51"/>
      <c r="Q1193" s="51"/>
      <c r="R1193" s="51"/>
    </row>
    <row r="1194">
      <c r="A1194" s="51"/>
      <c r="B1194" s="51"/>
      <c r="C1194" s="51"/>
      <c r="D1194" s="245" t="s">
        <v>1960</v>
      </c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>
      <c r="A1195" s="51"/>
      <c r="B1195" s="51"/>
      <c r="C1195" s="51"/>
      <c r="D1195" s="245" t="s">
        <v>5766</v>
      </c>
      <c r="E1195" s="51"/>
      <c r="F1195" s="51"/>
      <c r="G1195" s="51"/>
      <c r="H1195" s="51"/>
      <c r="I1195" s="51"/>
      <c r="J1195" s="51"/>
      <c r="K1195" s="51"/>
      <c r="L1195" s="51"/>
      <c r="M1195" s="51"/>
      <c r="N1195" s="51"/>
      <c r="O1195" s="51"/>
      <c r="P1195" s="51"/>
      <c r="Q1195" s="51"/>
      <c r="R1195" s="51"/>
    </row>
    <row r="1196">
      <c r="A1196" s="51"/>
      <c r="B1196" s="51"/>
      <c r="C1196" s="51"/>
      <c r="D1196" s="245" t="s">
        <v>5767</v>
      </c>
      <c r="E1196" s="51"/>
      <c r="F1196" s="51"/>
      <c r="G1196" s="51"/>
      <c r="H1196" s="51"/>
      <c r="I1196" s="51"/>
      <c r="J1196" s="51"/>
      <c r="K1196" s="51"/>
      <c r="L1196" s="51"/>
      <c r="M1196" s="51"/>
      <c r="N1196" s="51"/>
      <c r="O1196" s="51"/>
      <c r="P1196" s="51"/>
      <c r="Q1196" s="51"/>
      <c r="R1196" s="51"/>
    </row>
    <row r="1197">
      <c r="A1197" s="51"/>
      <c r="B1197" s="51"/>
      <c r="C1197" s="51"/>
      <c r="D1197" s="245" t="s">
        <v>3553</v>
      </c>
      <c r="E1197" s="51"/>
      <c r="F1197" s="51"/>
      <c r="G1197" s="51"/>
      <c r="H1197" s="51"/>
      <c r="I1197" s="51"/>
      <c r="J1197" s="51"/>
      <c r="K1197" s="51"/>
      <c r="L1197" s="51"/>
      <c r="M1197" s="51"/>
      <c r="N1197" s="51"/>
      <c r="O1197" s="51"/>
      <c r="P1197" s="51"/>
      <c r="Q1197" s="51"/>
      <c r="R1197" s="51"/>
    </row>
    <row r="1198">
      <c r="A1198" s="51"/>
      <c r="B1198" s="51"/>
      <c r="C1198" s="51"/>
      <c r="D1198" s="245" t="s">
        <v>940</v>
      </c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>
      <c r="A1199" s="51"/>
      <c r="B1199" s="51"/>
      <c r="C1199" s="51"/>
      <c r="D1199" s="245" t="s">
        <v>5768</v>
      </c>
      <c r="E1199" s="51"/>
      <c r="F1199" s="51"/>
      <c r="G1199" s="51"/>
      <c r="H1199" s="51"/>
      <c r="I1199" s="51"/>
      <c r="J1199" s="51"/>
      <c r="K1199" s="51"/>
      <c r="L1199" s="51"/>
      <c r="M1199" s="51"/>
      <c r="N1199" s="51"/>
      <c r="O1199" s="51"/>
      <c r="P1199" s="51"/>
      <c r="Q1199" s="51"/>
      <c r="R1199" s="51"/>
    </row>
    <row r="1200">
      <c r="A1200" s="51"/>
      <c r="B1200" s="51"/>
      <c r="C1200" s="51"/>
      <c r="D1200" s="245" t="s">
        <v>306</v>
      </c>
      <c r="E1200" s="51"/>
      <c r="F1200" s="51"/>
      <c r="G1200" s="51"/>
      <c r="H1200" s="51"/>
      <c r="I1200" s="51"/>
      <c r="J1200" s="51"/>
      <c r="K1200" s="51"/>
      <c r="L1200" s="51"/>
      <c r="M1200" s="51"/>
      <c r="N1200" s="51"/>
      <c r="O1200" s="51"/>
      <c r="P1200" s="51"/>
      <c r="Q1200" s="51"/>
      <c r="R1200" s="51"/>
    </row>
    <row r="1201">
      <c r="A1201" s="51"/>
      <c r="B1201" s="51"/>
      <c r="C1201" s="51"/>
      <c r="D1201" s="245" t="s">
        <v>408</v>
      </c>
      <c r="E1201" s="51"/>
      <c r="F1201" s="51"/>
      <c r="G1201" s="51"/>
      <c r="H1201" s="51"/>
      <c r="I1201" s="51"/>
      <c r="J1201" s="51"/>
      <c r="K1201" s="51"/>
      <c r="L1201" s="51"/>
      <c r="M1201" s="51"/>
      <c r="N1201" s="51"/>
      <c r="O1201" s="51"/>
      <c r="P1201" s="51"/>
      <c r="Q1201" s="51"/>
      <c r="R1201" s="51"/>
    </row>
    <row r="1202">
      <c r="A1202" s="51"/>
      <c r="B1202" s="51"/>
      <c r="C1202" s="51"/>
      <c r="D1202" s="245" t="s">
        <v>4289</v>
      </c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>
      <c r="A1203" s="51"/>
      <c r="B1203" s="51"/>
      <c r="C1203" s="51"/>
      <c r="D1203" s="245" t="s">
        <v>5769</v>
      </c>
      <c r="E1203" s="51"/>
      <c r="F1203" s="51"/>
      <c r="G1203" s="51"/>
      <c r="H1203" s="51"/>
      <c r="I1203" s="51"/>
      <c r="J1203" s="51"/>
      <c r="K1203" s="51"/>
      <c r="L1203" s="51"/>
      <c r="M1203" s="51"/>
      <c r="N1203" s="51"/>
      <c r="O1203" s="51"/>
      <c r="P1203" s="51"/>
      <c r="Q1203" s="51"/>
      <c r="R1203" s="51"/>
    </row>
    <row r="1204">
      <c r="A1204" s="51"/>
      <c r="B1204" s="51"/>
      <c r="C1204" s="51"/>
      <c r="D1204" s="247" t="s">
        <v>4351</v>
      </c>
      <c r="E1204" s="51"/>
      <c r="F1204" s="51"/>
      <c r="G1204" s="51"/>
      <c r="H1204" s="51"/>
      <c r="I1204" s="51"/>
      <c r="J1204" s="51"/>
      <c r="K1204" s="51"/>
      <c r="L1204" s="51"/>
      <c r="M1204" s="51"/>
      <c r="N1204" s="51"/>
      <c r="O1204" s="51"/>
      <c r="P1204" s="51"/>
      <c r="Q1204" s="51"/>
      <c r="R1204" s="51"/>
    </row>
    <row r="1205">
      <c r="A1205" s="51"/>
      <c r="B1205" s="51"/>
      <c r="C1205" s="51"/>
      <c r="D1205" s="245" t="s">
        <v>4586</v>
      </c>
      <c r="E1205" s="51"/>
      <c r="F1205" s="51"/>
      <c r="G1205" s="51"/>
      <c r="H1205" s="51"/>
      <c r="I1205" s="51"/>
      <c r="J1205" s="51"/>
      <c r="K1205" s="51"/>
      <c r="L1205" s="51"/>
      <c r="M1205" s="51"/>
      <c r="N1205" s="51"/>
      <c r="O1205" s="51"/>
      <c r="P1205" s="51"/>
      <c r="Q1205" s="51"/>
      <c r="R1205" s="51"/>
    </row>
    <row r="1206">
      <c r="A1206" s="51"/>
      <c r="B1206" s="51"/>
      <c r="C1206" s="51"/>
      <c r="D1206" s="245" t="s">
        <v>5770</v>
      </c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>
      <c r="A1207" s="51"/>
      <c r="B1207" s="51"/>
      <c r="C1207" s="51"/>
      <c r="D1207" s="245" t="s">
        <v>5029</v>
      </c>
      <c r="E1207" s="51"/>
      <c r="F1207" s="51"/>
      <c r="G1207" s="51"/>
      <c r="H1207" s="51"/>
      <c r="I1207" s="51"/>
      <c r="J1207" s="51"/>
      <c r="K1207" s="51"/>
      <c r="L1207" s="51"/>
      <c r="M1207" s="51"/>
      <c r="N1207" s="51"/>
      <c r="O1207" s="51"/>
      <c r="P1207" s="51"/>
      <c r="Q1207" s="51"/>
      <c r="R1207" s="51"/>
    </row>
    <row r="1208">
      <c r="A1208" s="51"/>
      <c r="B1208" s="51"/>
      <c r="C1208" s="51"/>
      <c r="D1208" s="245" t="s">
        <v>4550</v>
      </c>
      <c r="E1208" s="51"/>
      <c r="F1208" s="51"/>
      <c r="G1208" s="51"/>
      <c r="H1208" s="51"/>
      <c r="I1208" s="51"/>
      <c r="J1208" s="51"/>
      <c r="K1208" s="51"/>
      <c r="L1208" s="51"/>
      <c r="M1208" s="51"/>
      <c r="N1208" s="51"/>
      <c r="O1208" s="51"/>
      <c r="P1208" s="51"/>
      <c r="Q1208" s="51"/>
      <c r="R1208" s="51"/>
    </row>
    <row r="1209">
      <c r="A1209" s="51"/>
      <c r="B1209" s="51"/>
      <c r="C1209" s="51"/>
      <c r="D1209" s="245" t="s">
        <v>5771</v>
      </c>
      <c r="E1209" s="51"/>
      <c r="F1209" s="51"/>
      <c r="G1209" s="51"/>
      <c r="H1209" s="51"/>
      <c r="I1209" s="51"/>
      <c r="J1209" s="51"/>
      <c r="K1209" s="51"/>
      <c r="L1209" s="51"/>
      <c r="M1209" s="51"/>
      <c r="N1209" s="51"/>
      <c r="O1209" s="51"/>
      <c r="P1209" s="51"/>
      <c r="Q1209" s="51"/>
      <c r="R1209" s="51"/>
    </row>
    <row r="1210">
      <c r="A1210" s="51"/>
      <c r="B1210" s="51"/>
      <c r="C1210" s="51"/>
      <c r="D1210" s="245" t="s">
        <v>5772</v>
      </c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>
      <c r="A1211" s="51"/>
      <c r="B1211" s="51"/>
      <c r="C1211" s="51"/>
      <c r="D1211" s="245" t="s">
        <v>4690</v>
      </c>
      <c r="E1211" s="51"/>
      <c r="F1211" s="51"/>
      <c r="G1211" s="51"/>
      <c r="H1211" s="51"/>
      <c r="I1211" s="51"/>
      <c r="J1211" s="51"/>
      <c r="K1211" s="51"/>
      <c r="L1211" s="51"/>
      <c r="M1211" s="51"/>
      <c r="N1211" s="51"/>
      <c r="O1211" s="51"/>
      <c r="P1211" s="51"/>
      <c r="Q1211" s="51"/>
      <c r="R1211" s="51"/>
    </row>
    <row r="1212">
      <c r="A1212" s="51"/>
      <c r="B1212" s="51"/>
      <c r="C1212" s="51"/>
      <c r="D1212" s="245" t="s">
        <v>5773</v>
      </c>
      <c r="E1212" s="51"/>
      <c r="F1212" s="51"/>
      <c r="G1212" s="51"/>
      <c r="H1212" s="51"/>
      <c r="I1212" s="51"/>
      <c r="J1212" s="51"/>
      <c r="K1212" s="51"/>
      <c r="L1212" s="51"/>
      <c r="M1212" s="51"/>
      <c r="N1212" s="51"/>
      <c r="O1212" s="51"/>
      <c r="P1212" s="51"/>
      <c r="Q1212" s="51"/>
      <c r="R1212" s="51"/>
    </row>
    <row r="1213">
      <c r="A1213" s="51"/>
      <c r="B1213" s="51"/>
      <c r="C1213" s="51"/>
      <c r="D1213" s="245" t="s">
        <v>5774</v>
      </c>
      <c r="E1213" s="51"/>
      <c r="F1213" s="51"/>
      <c r="G1213" s="51"/>
      <c r="H1213" s="51"/>
      <c r="I1213" s="51"/>
      <c r="J1213" s="51"/>
      <c r="K1213" s="51"/>
      <c r="L1213" s="51"/>
      <c r="M1213" s="51"/>
      <c r="N1213" s="51"/>
      <c r="O1213" s="51"/>
      <c r="P1213" s="51"/>
      <c r="Q1213" s="51"/>
      <c r="R1213" s="51"/>
    </row>
    <row r="1214">
      <c r="A1214" s="51"/>
      <c r="B1214" s="51"/>
      <c r="C1214" s="51"/>
      <c r="D1214" s="245" t="s">
        <v>5775</v>
      </c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>
      <c r="A1215" s="51"/>
      <c r="B1215" s="51"/>
      <c r="C1215" s="51"/>
      <c r="D1215" s="245" t="s">
        <v>5776</v>
      </c>
      <c r="E1215" s="51"/>
      <c r="F1215" s="51"/>
      <c r="G1215" s="51"/>
      <c r="H1215" s="51"/>
      <c r="I1215" s="51"/>
      <c r="J1215" s="51"/>
      <c r="K1215" s="51"/>
      <c r="L1215" s="51"/>
      <c r="M1215" s="51"/>
      <c r="N1215" s="51"/>
      <c r="O1215" s="51"/>
      <c r="P1215" s="51"/>
      <c r="Q1215" s="51"/>
      <c r="R1215" s="51"/>
    </row>
    <row r="1216">
      <c r="A1216" s="51"/>
      <c r="B1216" s="51"/>
      <c r="C1216" s="51"/>
      <c r="D1216" s="247" t="s">
        <v>792</v>
      </c>
      <c r="E1216" s="51"/>
      <c r="F1216" s="51"/>
      <c r="G1216" s="51"/>
      <c r="H1216" s="51"/>
      <c r="I1216" s="51"/>
      <c r="J1216" s="51"/>
      <c r="K1216" s="51"/>
      <c r="L1216" s="51"/>
      <c r="M1216" s="51"/>
      <c r="N1216" s="51"/>
      <c r="O1216" s="51"/>
      <c r="P1216" s="51"/>
      <c r="Q1216" s="51"/>
      <c r="R1216" s="51"/>
    </row>
    <row r="1217">
      <c r="A1217" s="51"/>
      <c r="B1217" s="51"/>
      <c r="C1217" s="51"/>
      <c r="D1217" s="245" t="s">
        <v>5777</v>
      </c>
      <c r="E1217" s="51"/>
      <c r="F1217" s="51"/>
      <c r="G1217" s="51"/>
      <c r="H1217" s="51"/>
      <c r="I1217" s="51"/>
      <c r="J1217" s="51"/>
      <c r="K1217" s="51"/>
      <c r="L1217" s="51"/>
      <c r="M1217" s="51"/>
      <c r="N1217" s="51"/>
      <c r="O1217" s="51"/>
      <c r="P1217" s="51"/>
      <c r="Q1217" s="51"/>
      <c r="R1217" s="51"/>
    </row>
    <row r="1218">
      <c r="A1218" s="51"/>
      <c r="B1218" s="51"/>
      <c r="C1218" s="51"/>
      <c r="D1218" s="245" t="s">
        <v>730</v>
      </c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>
      <c r="A1219" s="51"/>
      <c r="B1219" s="51"/>
      <c r="C1219" s="51"/>
      <c r="D1219" s="245" t="s">
        <v>5778</v>
      </c>
      <c r="E1219" s="51"/>
      <c r="F1219" s="51"/>
      <c r="G1219" s="51"/>
      <c r="H1219" s="51"/>
      <c r="I1219" s="51"/>
      <c r="J1219" s="51"/>
      <c r="K1219" s="51"/>
      <c r="L1219" s="51"/>
      <c r="M1219" s="51"/>
      <c r="N1219" s="51"/>
      <c r="O1219" s="51"/>
      <c r="P1219" s="51"/>
      <c r="Q1219" s="51"/>
      <c r="R1219" s="51"/>
    </row>
    <row r="1220">
      <c r="A1220" s="51"/>
      <c r="B1220" s="51"/>
      <c r="C1220" s="51"/>
      <c r="D1220" s="245" t="s">
        <v>5779</v>
      </c>
      <c r="E1220" s="51"/>
      <c r="F1220" s="51"/>
      <c r="G1220" s="51"/>
      <c r="H1220" s="51"/>
      <c r="I1220" s="51"/>
      <c r="J1220" s="51"/>
      <c r="K1220" s="51"/>
      <c r="L1220" s="51"/>
      <c r="M1220" s="51"/>
      <c r="N1220" s="51"/>
      <c r="O1220" s="51"/>
      <c r="P1220" s="51"/>
      <c r="Q1220" s="51"/>
      <c r="R1220" s="51"/>
    </row>
    <row r="1221">
      <c r="A1221" s="51"/>
      <c r="B1221" s="51"/>
      <c r="C1221" s="51"/>
      <c r="D1221" s="245" t="s">
        <v>3486</v>
      </c>
      <c r="E1221" s="51"/>
      <c r="F1221" s="51"/>
      <c r="G1221" s="51"/>
      <c r="H1221" s="51"/>
      <c r="I1221" s="51"/>
      <c r="J1221" s="51"/>
      <c r="K1221" s="51"/>
      <c r="L1221" s="51"/>
      <c r="M1221" s="51"/>
      <c r="N1221" s="51"/>
      <c r="O1221" s="51"/>
      <c r="P1221" s="51"/>
      <c r="Q1221" s="51"/>
      <c r="R1221" s="51"/>
    </row>
    <row r="1222">
      <c r="A1222" s="51"/>
      <c r="B1222" s="51"/>
      <c r="C1222" s="51"/>
      <c r="D1222" s="245" t="s">
        <v>5780</v>
      </c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>
      <c r="A1223" s="51"/>
      <c r="B1223" s="51"/>
      <c r="C1223" s="51"/>
      <c r="D1223" s="245" t="s">
        <v>5781</v>
      </c>
      <c r="E1223" s="51"/>
      <c r="F1223" s="51"/>
      <c r="G1223" s="51"/>
      <c r="H1223" s="51"/>
      <c r="I1223" s="51"/>
      <c r="J1223" s="51"/>
      <c r="K1223" s="51"/>
      <c r="L1223" s="51"/>
      <c r="M1223" s="51"/>
      <c r="N1223" s="51"/>
      <c r="O1223" s="51"/>
      <c r="P1223" s="51"/>
      <c r="Q1223" s="51"/>
      <c r="R1223" s="51"/>
    </row>
    <row r="1224">
      <c r="A1224" s="51"/>
      <c r="B1224" s="51"/>
      <c r="C1224" s="51"/>
      <c r="D1224" s="247" t="s">
        <v>5782</v>
      </c>
      <c r="E1224" s="51"/>
      <c r="F1224" s="51"/>
      <c r="G1224" s="51"/>
      <c r="H1224" s="51"/>
      <c r="I1224" s="51"/>
      <c r="J1224" s="51"/>
      <c r="K1224" s="51"/>
      <c r="L1224" s="51"/>
      <c r="M1224" s="51"/>
      <c r="N1224" s="51"/>
      <c r="O1224" s="51"/>
      <c r="P1224" s="51"/>
      <c r="Q1224" s="51"/>
      <c r="R1224" s="51"/>
    </row>
    <row r="1225">
      <c r="A1225" s="51"/>
      <c r="B1225" s="51"/>
      <c r="C1225" s="51"/>
      <c r="D1225" s="245" t="s">
        <v>5783</v>
      </c>
      <c r="E1225" s="51"/>
      <c r="F1225" s="51"/>
      <c r="G1225" s="51"/>
      <c r="H1225" s="51"/>
      <c r="I1225" s="51"/>
      <c r="J1225" s="51"/>
      <c r="K1225" s="51"/>
      <c r="L1225" s="51"/>
      <c r="M1225" s="51"/>
      <c r="N1225" s="51"/>
      <c r="O1225" s="51"/>
      <c r="P1225" s="51"/>
      <c r="Q1225" s="51"/>
      <c r="R1225" s="51"/>
    </row>
    <row r="1226">
      <c r="A1226" s="51"/>
      <c r="B1226" s="51"/>
      <c r="C1226" s="51"/>
      <c r="D1226" s="245" t="s">
        <v>5784</v>
      </c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>
      <c r="A1227" s="51"/>
      <c r="B1227" s="51"/>
      <c r="C1227" s="51"/>
      <c r="D1227" s="245" t="s">
        <v>5785</v>
      </c>
      <c r="E1227" s="51"/>
      <c r="F1227" s="51"/>
      <c r="G1227" s="51"/>
      <c r="H1227" s="51"/>
      <c r="I1227" s="51"/>
      <c r="J1227" s="51"/>
      <c r="K1227" s="51"/>
      <c r="L1227" s="51"/>
      <c r="M1227" s="51"/>
      <c r="N1227" s="51"/>
      <c r="O1227" s="51"/>
      <c r="P1227" s="51"/>
      <c r="Q1227" s="51"/>
      <c r="R1227" s="51"/>
    </row>
    <row r="1228">
      <c r="A1228" s="51"/>
      <c r="B1228" s="51"/>
      <c r="C1228" s="51"/>
      <c r="D1228" s="245" t="s">
        <v>5786</v>
      </c>
      <c r="E1228" s="51"/>
      <c r="F1228" s="51"/>
      <c r="G1228" s="51"/>
      <c r="H1228" s="51"/>
      <c r="I1228" s="51"/>
      <c r="J1228" s="51"/>
      <c r="K1228" s="51"/>
      <c r="L1228" s="51"/>
      <c r="M1228" s="51"/>
      <c r="N1228" s="51"/>
      <c r="O1228" s="51"/>
      <c r="P1228" s="51"/>
      <c r="Q1228" s="51"/>
      <c r="R1228" s="51"/>
    </row>
    <row r="1229">
      <c r="A1229" s="51"/>
      <c r="B1229" s="51"/>
      <c r="C1229" s="51"/>
      <c r="D1229" s="247" t="s">
        <v>2372</v>
      </c>
      <c r="E1229" s="51"/>
      <c r="F1229" s="51"/>
      <c r="G1229" s="51"/>
      <c r="H1229" s="51"/>
      <c r="I1229" s="51"/>
      <c r="J1229" s="51"/>
      <c r="K1229" s="51"/>
      <c r="L1229" s="51"/>
      <c r="M1229" s="51"/>
      <c r="N1229" s="51"/>
      <c r="O1229" s="51"/>
      <c r="P1229" s="51"/>
      <c r="Q1229" s="51"/>
      <c r="R1229" s="51"/>
    </row>
    <row r="1230">
      <c r="A1230" s="51"/>
      <c r="B1230" s="51"/>
      <c r="C1230" s="51"/>
      <c r="D1230" s="247" t="s">
        <v>2415</v>
      </c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>
      <c r="A1231" s="51"/>
      <c r="B1231" s="51"/>
      <c r="C1231" s="51"/>
      <c r="D1231" s="245" t="s">
        <v>5033</v>
      </c>
      <c r="E1231" s="51"/>
      <c r="F1231" s="51"/>
      <c r="G1231" s="51"/>
      <c r="H1231" s="51"/>
      <c r="I1231" s="51"/>
      <c r="J1231" s="51"/>
      <c r="K1231" s="51"/>
      <c r="L1231" s="51"/>
      <c r="M1231" s="51"/>
      <c r="N1231" s="51"/>
      <c r="O1231" s="51"/>
      <c r="P1231" s="51"/>
      <c r="Q1231" s="51"/>
      <c r="R1231" s="51"/>
    </row>
    <row r="1232">
      <c r="A1232" s="51"/>
      <c r="B1232" s="51"/>
      <c r="C1232" s="51"/>
      <c r="D1232" s="245" t="s">
        <v>5787</v>
      </c>
      <c r="E1232" s="51"/>
      <c r="F1232" s="51"/>
      <c r="G1232" s="51"/>
      <c r="H1232" s="51"/>
      <c r="I1232" s="51"/>
      <c r="J1232" s="51"/>
      <c r="K1232" s="51"/>
      <c r="L1232" s="51"/>
      <c r="M1232" s="51"/>
      <c r="N1232" s="51"/>
      <c r="O1232" s="51"/>
      <c r="P1232" s="51"/>
      <c r="Q1232" s="51"/>
      <c r="R1232" s="51"/>
    </row>
    <row r="1233">
      <c r="A1233" s="51"/>
      <c r="B1233" s="51"/>
      <c r="C1233" s="51"/>
      <c r="D1233" s="245" t="s">
        <v>2613</v>
      </c>
      <c r="E1233" s="51"/>
      <c r="F1233" s="51"/>
      <c r="G1233" s="51"/>
      <c r="H1233" s="51"/>
      <c r="I1233" s="51"/>
      <c r="J1233" s="51"/>
      <c r="K1233" s="51"/>
      <c r="L1233" s="51"/>
      <c r="M1233" s="51"/>
      <c r="N1233" s="51"/>
      <c r="O1233" s="51"/>
      <c r="P1233" s="51"/>
      <c r="Q1233" s="51"/>
      <c r="R1233" s="51"/>
    </row>
    <row r="1234">
      <c r="A1234" s="51"/>
      <c r="B1234" s="51"/>
      <c r="C1234" s="51"/>
      <c r="D1234" s="245" t="s">
        <v>5788</v>
      </c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>
      <c r="A1235" s="51"/>
      <c r="B1235" s="51"/>
      <c r="C1235" s="51"/>
      <c r="D1235" s="245" t="s">
        <v>186</v>
      </c>
      <c r="E1235" s="51"/>
      <c r="F1235" s="51"/>
      <c r="G1235" s="51"/>
      <c r="H1235" s="51"/>
      <c r="I1235" s="51"/>
      <c r="J1235" s="51"/>
      <c r="K1235" s="51"/>
      <c r="L1235" s="51"/>
      <c r="M1235" s="51"/>
      <c r="N1235" s="51"/>
      <c r="O1235" s="51"/>
      <c r="P1235" s="51"/>
      <c r="Q1235" s="51"/>
      <c r="R1235" s="51"/>
    </row>
    <row r="1236">
      <c r="A1236" s="51"/>
      <c r="B1236" s="51"/>
      <c r="C1236" s="51"/>
      <c r="D1236" s="245" t="s">
        <v>5789</v>
      </c>
      <c r="E1236" s="51"/>
      <c r="F1236" s="51"/>
      <c r="G1236" s="51"/>
      <c r="H1236" s="51"/>
      <c r="I1236" s="51"/>
      <c r="J1236" s="51"/>
      <c r="K1236" s="51"/>
      <c r="L1236" s="51"/>
      <c r="M1236" s="51"/>
      <c r="N1236" s="51"/>
      <c r="O1236" s="51"/>
      <c r="P1236" s="51"/>
      <c r="Q1236" s="51"/>
      <c r="R1236" s="51"/>
    </row>
    <row r="1237">
      <c r="A1237" s="51"/>
      <c r="B1237" s="51"/>
      <c r="C1237" s="51"/>
      <c r="D1237" s="245" t="s">
        <v>2017</v>
      </c>
      <c r="E1237" s="51"/>
      <c r="F1237" s="51"/>
      <c r="G1237" s="51"/>
      <c r="H1237" s="51"/>
      <c r="I1237" s="51"/>
      <c r="J1237" s="51"/>
      <c r="K1237" s="51"/>
      <c r="L1237" s="51"/>
      <c r="M1237" s="51"/>
      <c r="N1237" s="51"/>
      <c r="O1237" s="51"/>
      <c r="P1237" s="51"/>
      <c r="Q1237" s="51"/>
      <c r="R1237" s="51"/>
    </row>
    <row r="1238">
      <c r="A1238" s="51"/>
      <c r="B1238" s="51"/>
      <c r="C1238" s="51"/>
      <c r="D1238" s="244" t="s">
        <v>1905</v>
      </c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>
      <c r="A1239" s="51"/>
      <c r="B1239" s="51"/>
      <c r="C1239" s="51"/>
      <c r="D1239" s="246" t="s">
        <v>1912</v>
      </c>
      <c r="E1239" s="51"/>
      <c r="F1239" s="51"/>
      <c r="G1239" s="51"/>
      <c r="H1239" s="51"/>
      <c r="I1239" s="51"/>
      <c r="J1239" s="51"/>
      <c r="K1239" s="51"/>
      <c r="L1239" s="51"/>
      <c r="M1239" s="51"/>
      <c r="N1239" s="51"/>
      <c r="O1239" s="51"/>
      <c r="P1239" s="51"/>
      <c r="Q1239" s="51"/>
      <c r="R1239" s="51"/>
    </row>
    <row r="1240">
      <c r="A1240" s="51"/>
      <c r="B1240" s="51"/>
      <c r="C1240" s="51"/>
      <c r="D1240" s="246" t="s">
        <v>1919</v>
      </c>
      <c r="E1240" s="51"/>
      <c r="F1240" s="51"/>
      <c r="G1240" s="51"/>
      <c r="H1240" s="51"/>
      <c r="I1240" s="51"/>
      <c r="J1240" s="51"/>
      <c r="K1240" s="51"/>
      <c r="L1240" s="51"/>
      <c r="M1240" s="51"/>
      <c r="N1240" s="51"/>
      <c r="O1240" s="51"/>
      <c r="P1240" s="51"/>
      <c r="Q1240" s="51"/>
      <c r="R1240" s="51"/>
    </row>
    <row r="1241">
      <c r="A1241" s="51"/>
      <c r="B1241" s="51"/>
      <c r="C1241" s="51"/>
      <c r="D1241" s="246" t="s">
        <v>3015</v>
      </c>
      <c r="E1241" s="51"/>
      <c r="F1241" s="51"/>
      <c r="G1241" s="51"/>
      <c r="H1241" s="51"/>
      <c r="I1241" s="51"/>
      <c r="J1241" s="51"/>
      <c r="K1241" s="51"/>
      <c r="L1241" s="51"/>
      <c r="M1241" s="51"/>
      <c r="N1241" s="51"/>
      <c r="O1241" s="51"/>
      <c r="P1241" s="51"/>
      <c r="Q1241" s="51"/>
      <c r="R1241" s="51"/>
    </row>
    <row r="1242">
      <c r="A1242" s="51"/>
      <c r="B1242" s="51"/>
      <c r="C1242" s="51"/>
      <c r="D1242" s="246" t="s">
        <v>4881</v>
      </c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>
      <c r="A1243" s="51"/>
      <c r="B1243" s="51"/>
      <c r="C1243" s="51"/>
      <c r="D1243" s="246" t="s">
        <v>3007</v>
      </c>
      <c r="E1243" s="51"/>
      <c r="F1243" s="51"/>
      <c r="G1243" s="51"/>
      <c r="H1243" s="51"/>
      <c r="I1243" s="51"/>
      <c r="J1243" s="51"/>
      <c r="K1243" s="51"/>
      <c r="L1243" s="51"/>
      <c r="M1243" s="51"/>
      <c r="N1243" s="51"/>
      <c r="O1243" s="51"/>
      <c r="P1243" s="51"/>
      <c r="Q1243" s="51"/>
      <c r="R1243" s="51"/>
    </row>
    <row r="1244">
      <c r="A1244" s="51"/>
      <c r="B1244" s="51"/>
      <c r="C1244" s="51"/>
      <c r="D1244" s="246" t="s">
        <v>2886</v>
      </c>
      <c r="E1244" s="51"/>
      <c r="F1244" s="51"/>
      <c r="G1244" s="51"/>
      <c r="H1244" s="51"/>
      <c r="I1244" s="51"/>
      <c r="J1244" s="51"/>
      <c r="K1244" s="51"/>
      <c r="L1244" s="51"/>
      <c r="M1244" s="51"/>
      <c r="N1244" s="51"/>
      <c r="O1244" s="51"/>
      <c r="P1244" s="51"/>
      <c r="Q1244" s="51"/>
      <c r="R1244" s="51"/>
    </row>
    <row r="1245">
      <c r="A1245" s="51"/>
      <c r="B1245" s="51"/>
      <c r="C1245" s="51"/>
      <c r="D1245" s="246" t="s">
        <v>4752</v>
      </c>
      <c r="E1245" s="51"/>
      <c r="F1245" s="51"/>
      <c r="G1245" s="51"/>
      <c r="H1245" s="51"/>
      <c r="I1245" s="51"/>
      <c r="J1245" s="51"/>
      <c r="K1245" s="51"/>
      <c r="L1245" s="51"/>
      <c r="M1245" s="51"/>
      <c r="N1245" s="51"/>
      <c r="O1245" s="51"/>
      <c r="P1245" s="51"/>
      <c r="Q1245" s="51"/>
      <c r="R1245" s="51"/>
    </row>
    <row r="1246">
      <c r="A1246" s="51"/>
      <c r="B1246" s="51"/>
      <c r="C1246" s="51"/>
      <c r="D1246" s="246" t="s">
        <v>4744</v>
      </c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>
      <c r="A1247" s="51"/>
      <c r="B1247" s="51"/>
      <c r="C1247" s="51"/>
      <c r="D1247" s="248" t="s">
        <v>2422</v>
      </c>
      <c r="E1247" s="51"/>
      <c r="F1247" s="51"/>
      <c r="G1247" s="51"/>
      <c r="H1247" s="51"/>
      <c r="I1247" s="51"/>
      <c r="J1247" s="51"/>
      <c r="K1247" s="51"/>
      <c r="L1247" s="51"/>
      <c r="M1247" s="51"/>
      <c r="N1247" s="51"/>
      <c r="O1247" s="51"/>
      <c r="P1247" s="51"/>
      <c r="Q1247" s="51"/>
      <c r="R1247" s="51"/>
    </row>
    <row r="1248">
      <c r="A1248" s="51"/>
      <c r="B1248" s="51"/>
      <c r="C1248" s="51"/>
      <c r="D1248" s="246"/>
      <c r="E1248" s="51"/>
      <c r="F1248" s="51"/>
      <c r="G1248" s="51"/>
      <c r="H1248" s="51"/>
      <c r="I1248" s="51"/>
      <c r="J1248" s="51"/>
      <c r="K1248" s="51"/>
      <c r="L1248" s="51"/>
      <c r="M1248" s="51"/>
      <c r="N1248" s="51"/>
      <c r="O1248" s="51"/>
      <c r="P1248" s="51"/>
      <c r="Q1248" s="51"/>
      <c r="R1248" s="51"/>
    </row>
    <row r="1249">
      <c r="A1249" s="51"/>
      <c r="B1249" s="51"/>
      <c r="C1249" s="51"/>
      <c r="D1249" s="246"/>
      <c r="E1249" s="51"/>
      <c r="F1249" s="51"/>
      <c r="G1249" s="51"/>
      <c r="H1249" s="51"/>
      <c r="I1249" s="51"/>
      <c r="J1249" s="51"/>
      <c r="K1249" s="51"/>
      <c r="L1249" s="51"/>
      <c r="M1249" s="51"/>
      <c r="N1249" s="51"/>
      <c r="O1249" s="51"/>
      <c r="P1249" s="51"/>
      <c r="Q1249" s="51"/>
      <c r="R1249" s="51"/>
    </row>
    <row r="1250">
      <c r="A1250" s="51"/>
      <c r="B1250" s="51"/>
      <c r="C1250" s="51"/>
      <c r="D1250" s="246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>
      <c r="A1251" s="51"/>
      <c r="B1251" s="51"/>
      <c r="C1251" s="51"/>
      <c r="D1251" s="246"/>
      <c r="E1251" s="51"/>
      <c r="F1251" s="51"/>
      <c r="G1251" s="51"/>
      <c r="H1251" s="51"/>
      <c r="I1251" s="51"/>
      <c r="J1251" s="51"/>
      <c r="K1251" s="51"/>
      <c r="L1251" s="51"/>
      <c r="M1251" s="51"/>
      <c r="N1251" s="51"/>
      <c r="O1251" s="51"/>
      <c r="P1251" s="51"/>
      <c r="Q1251" s="51"/>
      <c r="R1251" s="51"/>
    </row>
    <row r="1252">
      <c r="A1252" s="51"/>
      <c r="B1252" s="51"/>
      <c r="C1252" s="51"/>
      <c r="D1252" s="246"/>
      <c r="E1252" s="51"/>
      <c r="F1252" s="51"/>
      <c r="G1252" s="51"/>
      <c r="H1252" s="51"/>
      <c r="I1252" s="51"/>
      <c r="J1252" s="51"/>
      <c r="K1252" s="51"/>
      <c r="L1252" s="51"/>
      <c r="M1252" s="51"/>
      <c r="N1252" s="51"/>
      <c r="O1252" s="51"/>
      <c r="P1252" s="51"/>
      <c r="Q1252" s="51"/>
      <c r="R1252" s="51"/>
    </row>
  </sheetData>
  <mergeCells count="4">
    <mergeCell ref="A1:A4"/>
    <mergeCell ref="B1:B4"/>
    <mergeCell ref="C1:C4"/>
    <mergeCell ref="D1:D4"/>
  </mergeCells>
  <drawing r:id="rId1"/>
</worksheet>
</file>